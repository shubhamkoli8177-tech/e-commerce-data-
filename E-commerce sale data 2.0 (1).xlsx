
<file path=[Content_Types].xml><?xml version="1.0" encoding="utf-8"?>
<Types xmlns="http://schemas.openxmlformats.org/package/2006/content-types">
  <Default Extension="bin" ContentType="application/vnd.openxmlformats-officedocument.spreadsheetml.printerSettings"/>
  <Default Extension="com" ContentType="image/png"/>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ff6cd13beadb186/Documents/"/>
    </mc:Choice>
  </mc:AlternateContent>
  <xr:revisionPtr revIDLastSave="0" documentId="8_{AC7B1515-C53D-4FD1-83D9-DA1CAC078785}" xr6:coauthVersionLast="47" xr6:coauthVersionMax="47" xr10:uidLastSave="{00000000-0000-0000-0000-000000000000}"/>
  <bookViews>
    <workbookView xWindow="-120" yWindow="-120" windowWidth="24240" windowHeight="13140" activeTab="6" xr2:uid="{073F4DD5-A01F-47AF-83B4-6C8FCCFB0E57}"/>
  </bookViews>
  <sheets>
    <sheet name="E-Commerce Sales Data" sheetId="2" r:id="rId1"/>
    <sheet name="pivot_table " sheetId="1" r:id="rId2"/>
    <sheet name="charts" sheetId="3" r:id="rId3"/>
    <sheet name="kpi" sheetId="4" r:id="rId4"/>
    <sheet name="silenser" sheetId="5" r:id="rId5"/>
    <sheet name="Dashboard" sheetId="8" r:id="rId6"/>
    <sheet name="Sheet1" sheetId="9" r:id="rId7"/>
  </sheets>
  <definedNames>
    <definedName name="_xlchart.v5.0" hidden="1">charts!$U$32</definedName>
    <definedName name="_xlchart.v5.1" hidden="1">charts!$U$33:$U$52</definedName>
    <definedName name="_xlchart.v5.2" hidden="1">charts!$V$32</definedName>
    <definedName name="_xlchart.v5.3" hidden="1">charts!$V$33:$V$52</definedName>
    <definedName name="_xlchart.v5.4" hidden="1">charts!$U$32</definedName>
    <definedName name="_xlchart.v5.5" hidden="1">charts!$U$33:$U$52</definedName>
    <definedName name="_xlchart.v5.6" hidden="1">charts!$V$32</definedName>
    <definedName name="_xlchart.v5.7" hidden="1">charts!$V$33:$V$52</definedName>
    <definedName name="NativeTimeline_Order_Date">#N/A</definedName>
    <definedName name="Slicer_City">#N/A</definedName>
    <definedName name="Slicer_Gender">#N/A</definedName>
    <definedName name="Slicer_Payment_Mode">#N/A</definedName>
    <definedName name="Slicer_Product">#N/A</definedName>
    <definedName name="Slicer_State">#N/A</definedName>
  </definedNames>
  <calcPr calcId="191029"/>
  <pivotCaches>
    <pivotCache cacheId="14"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8" l="1"/>
  <c r="P7" i="8"/>
  <c r="K7" i="8"/>
  <c r="F7" i="8"/>
  <c r="A7" i="8"/>
  <c r="Z1201" i="2"/>
  <c r="Y1201" i="2"/>
  <c r="X1201" i="2"/>
  <c r="W1201" i="2"/>
  <c r="V1201" i="2"/>
  <c r="Z1200" i="2"/>
  <c r="Y1200" i="2"/>
  <c r="X1200" i="2"/>
  <c r="W1200" i="2"/>
  <c r="V1200" i="2"/>
  <c r="Z1199" i="2"/>
  <c r="Y1199" i="2"/>
  <c r="X1199" i="2"/>
  <c r="W1199" i="2"/>
  <c r="V1199" i="2"/>
  <c r="Z1198" i="2"/>
  <c r="Y1198" i="2"/>
  <c r="X1198" i="2"/>
  <c r="W1198" i="2"/>
  <c r="V1198" i="2"/>
  <c r="Z1197" i="2"/>
  <c r="Y1197" i="2"/>
  <c r="X1197" i="2"/>
  <c r="W1197" i="2"/>
  <c r="V1197" i="2"/>
  <c r="Z1196" i="2"/>
  <c r="Y1196" i="2"/>
  <c r="X1196" i="2"/>
  <c r="W1196" i="2"/>
  <c r="V1196" i="2"/>
  <c r="Z1195" i="2"/>
  <c r="Y1195" i="2"/>
  <c r="X1195" i="2"/>
  <c r="W1195" i="2"/>
  <c r="V1195" i="2"/>
  <c r="Z1194" i="2"/>
  <c r="Y1194" i="2"/>
  <c r="X1194" i="2"/>
  <c r="W1194" i="2"/>
  <c r="V1194" i="2"/>
  <c r="Z1193" i="2"/>
  <c r="Y1193" i="2"/>
  <c r="X1193" i="2"/>
  <c r="W1193" i="2"/>
  <c r="V1193" i="2"/>
  <c r="Z1192" i="2"/>
  <c r="Y1192" i="2"/>
  <c r="X1192" i="2"/>
  <c r="W1192" i="2"/>
  <c r="V1192" i="2"/>
  <c r="Z1191" i="2"/>
  <c r="Y1191" i="2"/>
  <c r="X1191" i="2"/>
  <c r="W1191" i="2"/>
  <c r="V1191" i="2"/>
  <c r="Z1190" i="2"/>
  <c r="Y1190" i="2"/>
  <c r="X1190" i="2"/>
  <c r="W1190" i="2"/>
  <c r="V1190" i="2"/>
  <c r="Z1189" i="2"/>
  <c r="Y1189" i="2"/>
  <c r="X1189" i="2"/>
  <c r="W1189" i="2"/>
  <c r="V1189" i="2"/>
  <c r="Z1188" i="2"/>
  <c r="Y1188" i="2"/>
  <c r="X1188" i="2"/>
  <c r="W1188" i="2"/>
  <c r="V1188" i="2"/>
  <c r="Z1187" i="2"/>
  <c r="Y1187" i="2"/>
  <c r="X1187" i="2"/>
  <c r="W1187" i="2"/>
  <c r="V1187" i="2"/>
  <c r="Z1186" i="2"/>
  <c r="Y1186" i="2"/>
  <c r="X1186" i="2"/>
  <c r="W1186" i="2"/>
  <c r="V1186" i="2"/>
  <c r="Z1185" i="2"/>
  <c r="Y1185" i="2"/>
  <c r="X1185" i="2"/>
  <c r="W1185" i="2"/>
  <c r="V1185" i="2"/>
  <c r="Z1184" i="2"/>
  <c r="Y1184" i="2"/>
  <c r="X1184" i="2"/>
  <c r="W1184" i="2"/>
  <c r="V1184" i="2"/>
  <c r="Z1183" i="2"/>
  <c r="Y1183" i="2"/>
  <c r="X1183" i="2"/>
  <c r="W1183" i="2"/>
  <c r="V1183" i="2"/>
  <c r="Z1182" i="2"/>
  <c r="Y1182" i="2"/>
  <c r="X1182" i="2"/>
  <c r="W1182" i="2"/>
  <c r="V1182" i="2"/>
  <c r="Z1181" i="2"/>
  <c r="Y1181" i="2"/>
  <c r="X1181" i="2"/>
  <c r="W1181" i="2"/>
  <c r="V1181" i="2"/>
  <c r="Z1180" i="2"/>
  <c r="Y1180" i="2"/>
  <c r="X1180" i="2"/>
  <c r="W1180" i="2"/>
  <c r="V1180" i="2"/>
  <c r="Z1179" i="2"/>
  <c r="Y1179" i="2"/>
  <c r="X1179" i="2"/>
  <c r="W1179" i="2"/>
  <c r="V1179" i="2"/>
  <c r="Z1178" i="2"/>
  <c r="Y1178" i="2"/>
  <c r="X1178" i="2"/>
  <c r="W1178" i="2"/>
  <c r="V1178" i="2"/>
  <c r="Z1177" i="2"/>
  <c r="Y1177" i="2"/>
  <c r="X1177" i="2"/>
  <c r="W1177" i="2"/>
  <c r="V1177" i="2"/>
  <c r="Z1176" i="2"/>
  <c r="Y1176" i="2"/>
  <c r="X1176" i="2"/>
  <c r="W1176" i="2"/>
  <c r="V1176" i="2"/>
  <c r="Z1175" i="2"/>
  <c r="Y1175" i="2"/>
  <c r="X1175" i="2"/>
  <c r="W1175" i="2"/>
  <c r="V1175" i="2"/>
  <c r="Z1174" i="2"/>
  <c r="Y1174" i="2"/>
  <c r="X1174" i="2"/>
  <c r="W1174" i="2"/>
  <c r="V1174" i="2"/>
  <c r="Z1173" i="2"/>
  <c r="Y1173" i="2"/>
  <c r="X1173" i="2"/>
  <c r="W1173" i="2"/>
  <c r="V1173" i="2"/>
  <c r="Z1172" i="2"/>
  <c r="Y1172" i="2"/>
  <c r="X1172" i="2"/>
  <c r="W1172" i="2"/>
  <c r="V1172" i="2"/>
  <c r="Z1171" i="2"/>
  <c r="Y1171" i="2"/>
  <c r="X1171" i="2"/>
  <c r="W1171" i="2"/>
  <c r="V1171" i="2"/>
  <c r="Z1170" i="2"/>
  <c r="Y1170" i="2"/>
  <c r="X1170" i="2"/>
  <c r="W1170" i="2"/>
  <c r="V1170" i="2"/>
  <c r="Z1169" i="2"/>
  <c r="Y1169" i="2"/>
  <c r="X1169" i="2"/>
  <c r="W1169" i="2"/>
  <c r="V1169" i="2"/>
  <c r="Z1168" i="2"/>
  <c r="Y1168" i="2"/>
  <c r="X1168" i="2"/>
  <c r="W1168" i="2"/>
  <c r="V1168" i="2"/>
  <c r="Z1167" i="2"/>
  <c r="Y1167" i="2"/>
  <c r="X1167" i="2"/>
  <c r="W1167" i="2"/>
  <c r="V1167" i="2"/>
  <c r="Z1166" i="2"/>
  <c r="Y1166" i="2"/>
  <c r="X1166" i="2"/>
  <c r="W1166" i="2"/>
  <c r="V1166" i="2"/>
  <c r="Z1165" i="2"/>
  <c r="Y1165" i="2"/>
  <c r="X1165" i="2"/>
  <c r="W1165" i="2"/>
  <c r="V1165" i="2"/>
  <c r="Z1164" i="2"/>
  <c r="Y1164" i="2"/>
  <c r="X1164" i="2"/>
  <c r="W1164" i="2"/>
  <c r="V1164" i="2"/>
  <c r="Z1163" i="2"/>
  <c r="Y1163" i="2"/>
  <c r="X1163" i="2"/>
  <c r="W1163" i="2"/>
  <c r="V1163" i="2"/>
  <c r="Z1162" i="2"/>
  <c r="Y1162" i="2"/>
  <c r="X1162" i="2"/>
  <c r="W1162" i="2"/>
  <c r="V1162" i="2"/>
  <c r="Z1161" i="2"/>
  <c r="Y1161" i="2"/>
  <c r="X1161" i="2"/>
  <c r="W1161" i="2"/>
  <c r="V1161" i="2"/>
  <c r="Z1160" i="2"/>
  <c r="Y1160" i="2"/>
  <c r="X1160" i="2"/>
  <c r="W1160" i="2"/>
  <c r="V1160" i="2"/>
  <c r="Z1159" i="2"/>
  <c r="Y1159" i="2"/>
  <c r="X1159" i="2"/>
  <c r="W1159" i="2"/>
  <c r="V1159" i="2"/>
  <c r="Z1158" i="2"/>
  <c r="Y1158" i="2"/>
  <c r="X1158" i="2"/>
  <c r="W1158" i="2"/>
  <c r="V1158" i="2"/>
  <c r="Z1157" i="2"/>
  <c r="Y1157" i="2"/>
  <c r="X1157" i="2"/>
  <c r="W1157" i="2"/>
  <c r="V1157" i="2"/>
  <c r="Z1156" i="2"/>
  <c r="Y1156" i="2"/>
  <c r="X1156" i="2"/>
  <c r="W1156" i="2"/>
  <c r="V1156" i="2"/>
  <c r="Z1155" i="2"/>
  <c r="Y1155" i="2"/>
  <c r="X1155" i="2"/>
  <c r="W1155" i="2"/>
  <c r="V1155" i="2"/>
  <c r="Z1154" i="2"/>
  <c r="Y1154" i="2"/>
  <c r="X1154" i="2"/>
  <c r="W1154" i="2"/>
  <c r="V1154" i="2"/>
  <c r="Z1153" i="2"/>
  <c r="Y1153" i="2"/>
  <c r="X1153" i="2"/>
  <c r="W1153" i="2"/>
  <c r="V1153" i="2"/>
  <c r="Z1152" i="2"/>
  <c r="Y1152" i="2"/>
  <c r="X1152" i="2"/>
  <c r="W1152" i="2"/>
  <c r="V1152" i="2"/>
  <c r="Z1151" i="2"/>
  <c r="Y1151" i="2"/>
  <c r="X1151" i="2"/>
  <c r="W1151" i="2"/>
  <c r="V1151" i="2"/>
  <c r="Z1150" i="2"/>
  <c r="Y1150" i="2"/>
  <c r="X1150" i="2"/>
  <c r="W1150" i="2"/>
  <c r="V1150" i="2"/>
  <c r="Z1149" i="2"/>
  <c r="Y1149" i="2"/>
  <c r="X1149" i="2"/>
  <c r="W1149" i="2"/>
  <c r="V1149" i="2"/>
  <c r="Z1148" i="2"/>
  <c r="Y1148" i="2"/>
  <c r="X1148" i="2"/>
  <c r="W1148" i="2"/>
  <c r="V1148" i="2"/>
  <c r="Z1147" i="2"/>
  <c r="Y1147" i="2"/>
  <c r="X1147" i="2"/>
  <c r="W1147" i="2"/>
  <c r="V1147" i="2"/>
  <c r="Z1146" i="2"/>
  <c r="Y1146" i="2"/>
  <c r="X1146" i="2"/>
  <c r="W1146" i="2"/>
  <c r="V1146" i="2"/>
  <c r="Z1145" i="2"/>
  <c r="Y1145" i="2"/>
  <c r="X1145" i="2"/>
  <c r="W1145" i="2"/>
  <c r="V1145" i="2"/>
  <c r="Z1144" i="2"/>
  <c r="Y1144" i="2"/>
  <c r="X1144" i="2"/>
  <c r="W1144" i="2"/>
  <c r="V1144" i="2"/>
  <c r="Z1143" i="2"/>
  <c r="Y1143" i="2"/>
  <c r="X1143" i="2"/>
  <c r="W1143" i="2"/>
  <c r="V1143" i="2"/>
  <c r="Z1142" i="2"/>
  <c r="Y1142" i="2"/>
  <c r="X1142" i="2"/>
  <c r="W1142" i="2"/>
  <c r="V1142" i="2"/>
  <c r="Z1141" i="2"/>
  <c r="Y1141" i="2"/>
  <c r="X1141" i="2"/>
  <c r="W1141" i="2"/>
  <c r="V1141" i="2"/>
  <c r="Z1140" i="2"/>
  <c r="Y1140" i="2"/>
  <c r="X1140" i="2"/>
  <c r="W1140" i="2"/>
  <c r="V1140" i="2"/>
  <c r="Z1139" i="2"/>
  <c r="Y1139" i="2"/>
  <c r="X1139" i="2"/>
  <c r="W1139" i="2"/>
  <c r="V1139" i="2"/>
  <c r="Z1138" i="2"/>
  <c r="Y1138" i="2"/>
  <c r="X1138" i="2"/>
  <c r="W1138" i="2"/>
  <c r="V1138" i="2"/>
  <c r="Z1137" i="2"/>
  <c r="Y1137" i="2"/>
  <c r="X1137" i="2"/>
  <c r="W1137" i="2"/>
  <c r="V1137" i="2"/>
  <c r="Z1136" i="2"/>
  <c r="Y1136" i="2"/>
  <c r="X1136" i="2"/>
  <c r="W1136" i="2"/>
  <c r="V1136" i="2"/>
  <c r="Z1135" i="2"/>
  <c r="Y1135" i="2"/>
  <c r="X1135" i="2"/>
  <c r="W1135" i="2"/>
  <c r="V1135" i="2"/>
  <c r="Z1134" i="2"/>
  <c r="Y1134" i="2"/>
  <c r="X1134" i="2"/>
  <c r="W1134" i="2"/>
  <c r="V1134" i="2"/>
  <c r="Z1133" i="2"/>
  <c r="Y1133" i="2"/>
  <c r="X1133" i="2"/>
  <c r="W1133" i="2"/>
  <c r="V1133" i="2"/>
  <c r="Z1132" i="2"/>
  <c r="Y1132" i="2"/>
  <c r="X1132" i="2"/>
  <c r="W1132" i="2"/>
  <c r="V1132" i="2"/>
  <c r="Z1131" i="2"/>
  <c r="Y1131" i="2"/>
  <c r="X1131" i="2"/>
  <c r="W1131" i="2"/>
  <c r="V1131" i="2"/>
  <c r="Z1130" i="2"/>
  <c r="Y1130" i="2"/>
  <c r="X1130" i="2"/>
  <c r="W1130" i="2"/>
  <c r="V1130" i="2"/>
  <c r="Z1129" i="2"/>
  <c r="Y1129" i="2"/>
  <c r="X1129" i="2"/>
  <c r="W1129" i="2"/>
  <c r="V1129" i="2"/>
  <c r="Z1128" i="2"/>
  <c r="Y1128" i="2"/>
  <c r="X1128" i="2"/>
  <c r="W1128" i="2"/>
  <c r="V1128" i="2"/>
  <c r="Z1127" i="2"/>
  <c r="Y1127" i="2"/>
  <c r="X1127" i="2"/>
  <c r="W1127" i="2"/>
  <c r="V1127" i="2"/>
  <c r="Z1126" i="2"/>
  <c r="Y1126" i="2"/>
  <c r="X1126" i="2"/>
  <c r="W1126" i="2"/>
  <c r="V1126" i="2"/>
  <c r="Z1125" i="2"/>
  <c r="Y1125" i="2"/>
  <c r="X1125" i="2"/>
  <c r="W1125" i="2"/>
  <c r="V1125" i="2"/>
  <c r="Z1124" i="2"/>
  <c r="Y1124" i="2"/>
  <c r="X1124" i="2"/>
  <c r="W1124" i="2"/>
  <c r="V1124" i="2"/>
  <c r="Z1123" i="2"/>
  <c r="Y1123" i="2"/>
  <c r="X1123" i="2"/>
  <c r="W1123" i="2"/>
  <c r="V1123" i="2"/>
  <c r="Z1122" i="2"/>
  <c r="Y1122" i="2"/>
  <c r="X1122" i="2"/>
  <c r="W1122" i="2"/>
  <c r="V1122" i="2"/>
  <c r="Z1121" i="2"/>
  <c r="Y1121" i="2"/>
  <c r="X1121" i="2"/>
  <c r="W1121" i="2"/>
  <c r="V1121" i="2"/>
  <c r="Z1120" i="2"/>
  <c r="Y1120" i="2"/>
  <c r="X1120" i="2"/>
  <c r="W1120" i="2"/>
  <c r="V1120" i="2"/>
  <c r="Z1119" i="2"/>
  <c r="Y1119" i="2"/>
  <c r="X1119" i="2"/>
  <c r="W1119" i="2"/>
  <c r="V1119" i="2"/>
  <c r="Z1118" i="2"/>
  <c r="Y1118" i="2"/>
  <c r="X1118" i="2"/>
  <c r="W1118" i="2"/>
  <c r="V1118" i="2"/>
  <c r="Z1117" i="2"/>
  <c r="Y1117" i="2"/>
  <c r="X1117" i="2"/>
  <c r="W1117" i="2"/>
  <c r="V1117" i="2"/>
  <c r="Z1116" i="2"/>
  <c r="Y1116" i="2"/>
  <c r="X1116" i="2"/>
  <c r="W1116" i="2"/>
  <c r="V1116" i="2"/>
  <c r="Z1115" i="2"/>
  <c r="Y1115" i="2"/>
  <c r="X1115" i="2"/>
  <c r="W1115" i="2"/>
  <c r="V1115" i="2"/>
  <c r="Z1114" i="2"/>
  <c r="Y1114" i="2"/>
  <c r="X1114" i="2"/>
  <c r="W1114" i="2"/>
  <c r="V1114" i="2"/>
  <c r="Z1113" i="2"/>
  <c r="Y1113" i="2"/>
  <c r="X1113" i="2"/>
  <c r="W1113" i="2"/>
  <c r="V1113" i="2"/>
  <c r="Z1112" i="2"/>
  <c r="Y1112" i="2"/>
  <c r="X1112" i="2"/>
  <c r="W1112" i="2"/>
  <c r="V1112" i="2"/>
  <c r="Z1111" i="2"/>
  <c r="Y1111" i="2"/>
  <c r="X1111" i="2"/>
  <c r="W1111" i="2"/>
  <c r="V1111" i="2"/>
  <c r="Z1110" i="2"/>
  <c r="Y1110" i="2"/>
  <c r="X1110" i="2"/>
  <c r="W1110" i="2"/>
  <c r="V1110" i="2"/>
  <c r="Z1109" i="2"/>
  <c r="Y1109" i="2"/>
  <c r="X1109" i="2"/>
  <c r="W1109" i="2"/>
  <c r="V1109" i="2"/>
  <c r="Z1108" i="2"/>
  <c r="Y1108" i="2"/>
  <c r="X1108" i="2"/>
  <c r="W1108" i="2"/>
  <c r="V1108" i="2"/>
  <c r="Z1107" i="2"/>
  <c r="Y1107" i="2"/>
  <c r="X1107" i="2"/>
  <c r="W1107" i="2"/>
  <c r="V1107" i="2"/>
  <c r="Z1106" i="2"/>
  <c r="Y1106" i="2"/>
  <c r="X1106" i="2"/>
  <c r="W1106" i="2"/>
  <c r="V1106" i="2"/>
  <c r="Z1105" i="2"/>
  <c r="Y1105" i="2"/>
  <c r="X1105" i="2"/>
  <c r="W1105" i="2"/>
  <c r="V1105" i="2"/>
  <c r="Z1104" i="2"/>
  <c r="Y1104" i="2"/>
  <c r="X1104" i="2"/>
  <c r="W1104" i="2"/>
  <c r="V1104" i="2"/>
  <c r="Z1103" i="2"/>
  <c r="Y1103" i="2"/>
  <c r="X1103" i="2"/>
  <c r="W1103" i="2"/>
  <c r="V1103" i="2"/>
  <c r="Z1102" i="2"/>
  <c r="Y1102" i="2"/>
  <c r="X1102" i="2"/>
  <c r="W1102" i="2"/>
  <c r="V1102" i="2"/>
  <c r="Z1101" i="2"/>
  <c r="Y1101" i="2"/>
  <c r="X1101" i="2"/>
  <c r="W1101" i="2"/>
  <c r="V1101" i="2"/>
  <c r="Z1100" i="2"/>
  <c r="Y1100" i="2"/>
  <c r="X1100" i="2"/>
  <c r="W1100" i="2"/>
  <c r="V1100" i="2"/>
  <c r="Z1099" i="2"/>
  <c r="Y1099" i="2"/>
  <c r="X1099" i="2"/>
  <c r="W1099" i="2"/>
  <c r="V1099" i="2"/>
  <c r="Z1098" i="2"/>
  <c r="Y1098" i="2"/>
  <c r="X1098" i="2"/>
  <c r="W1098" i="2"/>
  <c r="V1098" i="2"/>
  <c r="Z1097" i="2"/>
  <c r="Y1097" i="2"/>
  <c r="X1097" i="2"/>
  <c r="W1097" i="2"/>
  <c r="V1097" i="2"/>
  <c r="Z1096" i="2"/>
  <c r="Y1096" i="2"/>
  <c r="X1096" i="2"/>
  <c r="W1096" i="2"/>
  <c r="V1096" i="2"/>
  <c r="Z1095" i="2"/>
  <c r="Y1095" i="2"/>
  <c r="X1095" i="2"/>
  <c r="W1095" i="2"/>
  <c r="V1095" i="2"/>
  <c r="Z1094" i="2"/>
  <c r="Y1094" i="2"/>
  <c r="X1094" i="2"/>
  <c r="W1094" i="2"/>
  <c r="V1094" i="2"/>
  <c r="Z1093" i="2"/>
  <c r="Y1093" i="2"/>
  <c r="X1093" i="2"/>
  <c r="W1093" i="2"/>
  <c r="V1093" i="2"/>
  <c r="Z1092" i="2"/>
  <c r="Y1092" i="2"/>
  <c r="X1092" i="2"/>
  <c r="W1092" i="2"/>
  <c r="V1092" i="2"/>
  <c r="Z1091" i="2"/>
  <c r="Y1091" i="2"/>
  <c r="X1091" i="2"/>
  <c r="W1091" i="2"/>
  <c r="V1091" i="2"/>
  <c r="Z1090" i="2"/>
  <c r="Y1090" i="2"/>
  <c r="X1090" i="2"/>
  <c r="W1090" i="2"/>
  <c r="V1090" i="2"/>
  <c r="Z1089" i="2"/>
  <c r="Y1089" i="2"/>
  <c r="X1089" i="2"/>
  <c r="W1089" i="2"/>
  <c r="V1089" i="2"/>
  <c r="Z1088" i="2"/>
  <c r="Y1088" i="2"/>
  <c r="X1088" i="2"/>
  <c r="W1088" i="2"/>
  <c r="V1088" i="2"/>
  <c r="Z1087" i="2"/>
  <c r="Y1087" i="2"/>
  <c r="X1087" i="2"/>
  <c r="W1087" i="2"/>
  <c r="V1087" i="2"/>
  <c r="Z1086" i="2"/>
  <c r="Y1086" i="2"/>
  <c r="X1086" i="2"/>
  <c r="W1086" i="2"/>
  <c r="V1086" i="2"/>
  <c r="Z1085" i="2"/>
  <c r="Y1085" i="2"/>
  <c r="X1085" i="2"/>
  <c r="W1085" i="2"/>
  <c r="V1085" i="2"/>
  <c r="Z1084" i="2"/>
  <c r="Y1084" i="2"/>
  <c r="X1084" i="2"/>
  <c r="W1084" i="2"/>
  <c r="V1084" i="2"/>
  <c r="Z1083" i="2"/>
  <c r="Y1083" i="2"/>
  <c r="X1083" i="2"/>
  <c r="W1083" i="2"/>
  <c r="V1083" i="2"/>
  <c r="Z1082" i="2"/>
  <c r="Y1082" i="2"/>
  <c r="X1082" i="2"/>
  <c r="W1082" i="2"/>
  <c r="V1082" i="2"/>
  <c r="Z1081" i="2"/>
  <c r="Y1081" i="2"/>
  <c r="X1081" i="2"/>
  <c r="W1081" i="2"/>
  <c r="V1081" i="2"/>
  <c r="Z1080" i="2"/>
  <c r="Y1080" i="2"/>
  <c r="X1080" i="2"/>
  <c r="W1080" i="2"/>
  <c r="V1080" i="2"/>
  <c r="Z1079" i="2"/>
  <c r="Y1079" i="2"/>
  <c r="X1079" i="2"/>
  <c r="W1079" i="2"/>
  <c r="V1079" i="2"/>
  <c r="Z1078" i="2"/>
  <c r="Y1078" i="2"/>
  <c r="X1078" i="2"/>
  <c r="W1078" i="2"/>
  <c r="V1078" i="2"/>
  <c r="Z1077" i="2"/>
  <c r="Y1077" i="2"/>
  <c r="X1077" i="2"/>
  <c r="W1077" i="2"/>
  <c r="V1077" i="2"/>
  <c r="Z1076" i="2"/>
  <c r="Y1076" i="2"/>
  <c r="X1076" i="2"/>
  <c r="W1076" i="2"/>
  <c r="V1076" i="2"/>
  <c r="Z1075" i="2"/>
  <c r="Y1075" i="2"/>
  <c r="X1075" i="2"/>
  <c r="W1075" i="2"/>
  <c r="V1075" i="2"/>
  <c r="Z1074" i="2"/>
  <c r="Y1074" i="2"/>
  <c r="X1074" i="2"/>
  <c r="W1074" i="2"/>
  <c r="V1074" i="2"/>
  <c r="Z1073" i="2"/>
  <c r="Y1073" i="2"/>
  <c r="X1073" i="2"/>
  <c r="W1073" i="2"/>
  <c r="V1073" i="2"/>
  <c r="Z1072" i="2"/>
  <c r="Y1072" i="2"/>
  <c r="X1072" i="2"/>
  <c r="W1072" i="2"/>
  <c r="V1072" i="2"/>
  <c r="Z1071" i="2"/>
  <c r="Y1071" i="2"/>
  <c r="X1071" i="2"/>
  <c r="W1071" i="2"/>
  <c r="V1071" i="2"/>
  <c r="Z1070" i="2"/>
  <c r="Y1070" i="2"/>
  <c r="X1070" i="2"/>
  <c r="W1070" i="2"/>
  <c r="V1070" i="2"/>
  <c r="Z1069" i="2"/>
  <c r="Y1069" i="2"/>
  <c r="X1069" i="2"/>
  <c r="W1069" i="2"/>
  <c r="V1069" i="2"/>
  <c r="Z1068" i="2"/>
  <c r="Y1068" i="2"/>
  <c r="X1068" i="2"/>
  <c r="W1068" i="2"/>
  <c r="V1068" i="2"/>
  <c r="Z1067" i="2"/>
  <c r="Y1067" i="2"/>
  <c r="X1067" i="2"/>
  <c r="W1067" i="2"/>
  <c r="V1067" i="2"/>
  <c r="Z1066" i="2"/>
  <c r="Y1066" i="2"/>
  <c r="X1066" i="2"/>
  <c r="W1066" i="2"/>
  <c r="V1066" i="2"/>
  <c r="Z1065" i="2"/>
  <c r="Y1065" i="2"/>
  <c r="X1065" i="2"/>
  <c r="W1065" i="2"/>
  <c r="V1065" i="2"/>
  <c r="Z1064" i="2"/>
  <c r="Y1064" i="2"/>
  <c r="X1064" i="2"/>
  <c r="W1064" i="2"/>
  <c r="V1064" i="2"/>
  <c r="Z1063" i="2"/>
  <c r="Y1063" i="2"/>
  <c r="X1063" i="2"/>
  <c r="W1063" i="2"/>
  <c r="V1063" i="2"/>
  <c r="Z1062" i="2"/>
  <c r="Y1062" i="2"/>
  <c r="X1062" i="2"/>
  <c r="W1062" i="2"/>
  <c r="V1062" i="2"/>
  <c r="Z1061" i="2"/>
  <c r="Y1061" i="2"/>
  <c r="X1061" i="2"/>
  <c r="W1061" i="2"/>
  <c r="V1061" i="2"/>
  <c r="Z1060" i="2"/>
  <c r="Y1060" i="2"/>
  <c r="X1060" i="2"/>
  <c r="W1060" i="2"/>
  <c r="V1060" i="2"/>
  <c r="Z1059" i="2"/>
  <c r="Y1059" i="2"/>
  <c r="X1059" i="2"/>
  <c r="W1059" i="2"/>
  <c r="V1059" i="2"/>
  <c r="Z1058" i="2"/>
  <c r="Y1058" i="2"/>
  <c r="X1058" i="2"/>
  <c r="W1058" i="2"/>
  <c r="V1058" i="2"/>
  <c r="Z1057" i="2"/>
  <c r="Y1057" i="2"/>
  <c r="X1057" i="2"/>
  <c r="W1057" i="2"/>
  <c r="V1057" i="2"/>
  <c r="Z1056" i="2"/>
  <c r="Y1056" i="2"/>
  <c r="X1056" i="2"/>
  <c r="W1056" i="2"/>
  <c r="V1056" i="2"/>
  <c r="Z1055" i="2"/>
  <c r="Y1055" i="2"/>
  <c r="X1055" i="2"/>
  <c r="W1055" i="2"/>
  <c r="V1055" i="2"/>
  <c r="Z1054" i="2"/>
  <c r="Y1054" i="2"/>
  <c r="X1054" i="2"/>
  <c r="W1054" i="2"/>
  <c r="V1054" i="2"/>
  <c r="Z1053" i="2"/>
  <c r="Y1053" i="2"/>
  <c r="X1053" i="2"/>
  <c r="W1053" i="2"/>
  <c r="V1053" i="2"/>
  <c r="Z1052" i="2"/>
  <c r="Y1052" i="2"/>
  <c r="X1052" i="2"/>
  <c r="W1052" i="2"/>
  <c r="V1052" i="2"/>
  <c r="Z1051" i="2"/>
  <c r="Y1051" i="2"/>
  <c r="X1051" i="2"/>
  <c r="W1051" i="2"/>
  <c r="V1051" i="2"/>
  <c r="Z1050" i="2"/>
  <c r="Y1050" i="2"/>
  <c r="X1050" i="2"/>
  <c r="W1050" i="2"/>
  <c r="V1050" i="2"/>
  <c r="Z1049" i="2"/>
  <c r="Y1049" i="2"/>
  <c r="X1049" i="2"/>
  <c r="W1049" i="2"/>
  <c r="V1049" i="2"/>
  <c r="Z1048" i="2"/>
  <c r="Y1048" i="2"/>
  <c r="X1048" i="2"/>
  <c r="W1048" i="2"/>
  <c r="V1048" i="2"/>
  <c r="Z1047" i="2"/>
  <c r="Y1047" i="2"/>
  <c r="X1047" i="2"/>
  <c r="W1047" i="2"/>
  <c r="V1047" i="2"/>
  <c r="Z1046" i="2"/>
  <c r="Y1046" i="2"/>
  <c r="X1046" i="2"/>
  <c r="W1046" i="2"/>
  <c r="V1046" i="2"/>
  <c r="Z1045" i="2"/>
  <c r="Y1045" i="2"/>
  <c r="X1045" i="2"/>
  <c r="W1045" i="2"/>
  <c r="V1045" i="2"/>
  <c r="Z1044" i="2"/>
  <c r="Y1044" i="2"/>
  <c r="X1044" i="2"/>
  <c r="W1044" i="2"/>
  <c r="V1044" i="2"/>
  <c r="Z1043" i="2"/>
  <c r="Y1043" i="2"/>
  <c r="X1043" i="2"/>
  <c r="W1043" i="2"/>
  <c r="V1043" i="2"/>
  <c r="Z1042" i="2"/>
  <c r="Y1042" i="2"/>
  <c r="X1042" i="2"/>
  <c r="W1042" i="2"/>
  <c r="V1042" i="2"/>
  <c r="Z1041" i="2"/>
  <c r="Y1041" i="2"/>
  <c r="X1041" i="2"/>
  <c r="W1041" i="2"/>
  <c r="V1041" i="2"/>
  <c r="Z1040" i="2"/>
  <c r="Y1040" i="2"/>
  <c r="X1040" i="2"/>
  <c r="W1040" i="2"/>
  <c r="V1040" i="2"/>
  <c r="Z1039" i="2"/>
  <c r="Y1039" i="2"/>
  <c r="X1039" i="2"/>
  <c r="W1039" i="2"/>
  <c r="V1039" i="2"/>
  <c r="Z1038" i="2"/>
  <c r="Y1038" i="2"/>
  <c r="X1038" i="2"/>
  <c r="W1038" i="2"/>
  <c r="V1038" i="2"/>
  <c r="Z1037" i="2"/>
  <c r="Y1037" i="2"/>
  <c r="X1037" i="2"/>
  <c r="W1037" i="2"/>
  <c r="V1037" i="2"/>
  <c r="Z1036" i="2"/>
  <c r="Y1036" i="2"/>
  <c r="X1036" i="2"/>
  <c r="W1036" i="2"/>
  <c r="V1036" i="2"/>
  <c r="Z1035" i="2"/>
  <c r="Y1035" i="2"/>
  <c r="X1035" i="2"/>
  <c r="W1035" i="2"/>
  <c r="V1035" i="2"/>
  <c r="Z1034" i="2"/>
  <c r="Y1034" i="2"/>
  <c r="X1034" i="2"/>
  <c r="W1034" i="2"/>
  <c r="V1034" i="2"/>
  <c r="Z1033" i="2"/>
  <c r="Y1033" i="2"/>
  <c r="X1033" i="2"/>
  <c r="W1033" i="2"/>
  <c r="V1033" i="2"/>
  <c r="Z1032" i="2"/>
  <c r="Y1032" i="2"/>
  <c r="X1032" i="2"/>
  <c r="W1032" i="2"/>
  <c r="V1032" i="2"/>
  <c r="Z1031" i="2"/>
  <c r="Y1031" i="2"/>
  <c r="X1031" i="2"/>
  <c r="W1031" i="2"/>
  <c r="V1031" i="2"/>
  <c r="Z1030" i="2"/>
  <c r="Y1030" i="2"/>
  <c r="X1030" i="2"/>
  <c r="W1030" i="2"/>
  <c r="V1030" i="2"/>
  <c r="Z1029" i="2"/>
  <c r="Y1029" i="2"/>
  <c r="X1029" i="2"/>
  <c r="W1029" i="2"/>
  <c r="V1029" i="2"/>
  <c r="Z1028" i="2"/>
  <c r="Y1028" i="2"/>
  <c r="X1028" i="2"/>
  <c r="W1028" i="2"/>
  <c r="V1028" i="2"/>
  <c r="Z1027" i="2"/>
  <c r="Y1027" i="2"/>
  <c r="X1027" i="2"/>
  <c r="W1027" i="2"/>
  <c r="V1027" i="2"/>
  <c r="Z1026" i="2"/>
  <c r="Y1026" i="2"/>
  <c r="X1026" i="2"/>
  <c r="W1026" i="2"/>
  <c r="V1026" i="2"/>
  <c r="Z1025" i="2"/>
  <c r="Y1025" i="2"/>
  <c r="X1025" i="2"/>
  <c r="W1025" i="2"/>
  <c r="V1025" i="2"/>
  <c r="Z1024" i="2"/>
  <c r="Y1024" i="2"/>
  <c r="X1024" i="2"/>
  <c r="W1024" i="2"/>
  <c r="V1024" i="2"/>
  <c r="Z1023" i="2"/>
  <c r="Y1023" i="2"/>
  <c r="X1023" i="2"/>
  <c r="W1023" i="2"/>
  <c r="V1023" i="2"/>
  <c r="Z1022" i="2"/>
  <c r="Y1022" i="2"/>
  <c r="X1022" i="2"/>
  <c r="W1022" i="2"/>
  <c r="V1022" i="2"/>
  <c r="Z1021" i="2"/>
  <c r="Y1021" i="2"/>
  <c r="X1021" i="2"/>
  <c r="W1021" i="2"/>
  <c r="V1021" i="2"/>
  <c r="Z1020" i="2"/>
  <c r="Y1020" i="2"/>
  <c r="X1020" i="2"/>
  <c r="W1020" i="2"/>
  <c r="V1020" i="2"/>
  <c r="Z1019" i="2"/>
  <c r="Y1019" i="2"/>
  <c r="X1019" i="2"/>
  <c r="W1019" i="2"/>
  <c r="V1019" i="2"/>
  <c r="Z1018" i="2"/>
  <c r="Y1018" i="2"/>
  <c r="X1018" i="2"/>
  <c r="W1018" i="2"/>
  <c r="V1018" i="2"/>
  <c r="Z1017" i="2"/>
  <c r="Y1017" i="2"/>
  <c r="X1017" i="2"/>
  <c r="W1017" i="2"/>
  <c r="V1017" i="2"/>
  <c r="Z1016" i="2"/>
  <c r="Y1016" i="2"/>
  <c r="X1016" i="2"/>
  <c r="W1016" i="2"/>
  <c r="V1016" i="2"/>
  <c r="Z1015" i="2"/>
  <c r="Y1015" i="2"/>
  <c r="X1015" i="2"/>
  <c r="W1015" i="2"/>
  <c r="V1015" i="2"/>
  <c r="Z1014" i="2"/>
  <c r="Y1014" i="2"/>
  <c r="X1014" i="2"/>
  <c r="W1014" i="2"/>
  <c r="V1014" i="2"/>
  <c r="Z1013" i="2"/>
  <c r="Y1013" i="2"/>
  <c r="X1013" i="2"/>
  <c r="W1013" i="2"/>
  <c r="V1013" i="2"/>
  <c r="Z1012" i="2"/>
  <c r="Y1012" i="2"/>
  <c r="X1012" i="2"/>
  <c r="W1012" i="2"/>
  <c r="V1012" i="2"/>
  <c r="Z1011" i="2"/>
  <c r="Y1011" i="2"/>
  <c r="X1011" i="2"/>
  <c r="W1011" i="2"/>
  <c r="V1011" i="2"/>
  <c r="Z1010" i="2"/>
  <c r="Y1010" i="2"/>
  <c r="X1010" i="2"/>
  <c r="W1010" i="2"/>
  <c r="V1010" i="2"/>
  <c r="Z1009" i="2"/>
  <c r="Y1009" i="2"/>
  <c r="X1009" i="2"/>
  <c r="W1009" i="2"/>
  <c r="V1009" i="2"/>
  <c r="Z1008" i="2"/>
  <c r="Y1008" i="2"/>
  <c r="X1008" i="2"/>
  <c r="W1008" i="2"/>
  <c r="V1008" i="2"/>
  <c r="Z1007" i="2"/>
  <c r="Y1007" i="2"/>
  <c r="X1007" i="2"/>
  <c r="W1007" i="2"/>
  <c r="V1007" i="2"/>
  <c r="Z1006" i="2"/>
  <c r="Y1006" i="2"/>
  <c r="X1006" i="2"/>
  <c r="W1006" i="2"/>
  <c r="V1006" i="2"/>
  <c r="Z1005" i="2"/>
  <c r="Y1005" i="2"/>
  <c r="X1005" i="2"/>
  <c r="W1005" i="2"/>
  <c r="V1005" i="2"/>
  <c r="Z1004" i="2"/>
  <c r="Y1004" i="2"/>
  <c r="X1004" i="2"/>
  <c r="W1004" i="2"/>
  <c r="V1004" i="2"/>
  <c r="Z1003" i="2"/>
  <c r="Y1003" i="2"/>
  <c r="X1003" i="2"/>
  <c r="W1003" i="2"/>
  <c r="V1003" i="2"/>
  <c r="Z1002" i="2"/>
  <c r="Y1002" i="2"/>
  <c r="X1002" i="2"/>
  <c r="W1002" i="2"/>
  <c r="V1002" i="2"/>
  <c r="Z1001" i="2"/>
  <c r="Y1001" i="2"/>
  <c r="X1001" i="2"/>
  <c r="W1001" i="2"/>
  <c r="V1001" i="2"/>
  <c r="Z1000" i="2"/>
  <c r="Y1000" i="2"/>
  <c r="X1000" i="2"/>
  <c r="W1000" i="2"/>
  <c r="V1000" i="2"/>
  <c r="Z999" i="2"/>
  <c r="Y999" i="2"/>
  <c r="X999" i="2"/>
  <c r="W999" i="2"/>
  <c r="V999" i="2"/>
  <c r="Z998" i="2"/>
  <c r="Y998" i="2"/>
  <c r="X998" i="2"/>
  <c r="W998" i="2"/>
  <c r="V998" i="2"/>
  <c r="Z997" i="2"/>
  <c r="Y997" i="2"/>
  <c r="X997" i="2"/>
  <c r="W997" i="2"/>
  <c r="V997" i="2"/>
  <c r="Z996" i="2"/>
  <c r="Y996" i="2"/>
  <c r="X996" i="2"/>
  <c r="W996" i="2"/>
  <c r="V996" i="2"/>
  <c r="Z995" i="2"/>
  <c r="Y995" i="2"/>
  <c r="X995" i="2"/>
  <c r="W995" i="2"/>
  <c r="V995" i="2"/>
  <c r="Z994" i="2"/>
  <c r="Y994" i="2"/>
  <c r="X994" i="2"/>
  <c r="W994" i="2"/>
  <c r="V994" i="2"/>
  <c r="Z993" i="2"/>
  <c r="Y993" i="2"/>
  <c r="X993" i="2"/>
  <c r="W993" i="2"/>
  <c r="V993" i="2"/>
  <c r="Z992" i="2"/>
  <c r="Y992" i="2"/>
  <c r="X992" i="2"/>
  <c r="W992" i="2"/>
  <c r="V992" i="2"/>
  <c r="Z991" i="2"/>
  <c r="Y991" i="2"/>
  <c r="X991" i="2"/>
  <c r="W991" i="2"/>
  <c r="V991" i="2"/>
  <c r="Z990" i="2"/>
  <c r="Y990" i="2"/>
  <c r="X990" i="2"/>
  <c r="W990" i="2"/>
  <c r="V990" i="2"/>
  <c r="Z989" i="2"/>
  <c r="Y989" i="2"/>
  <c r="X989" i="2"/>
  <c r="W989" i="2"/>
  <c r="V989" i="2"/>
  <c r="Z988" i="2"/>
  <c r="Y988" i="2"/>
  <c r="X988" i="2"/>
  <c r="W988" i="2"/>
  <c r="V988" i="2"/>
  <c r="Z987" i="2"/>
  <c r="Y987" i="2"/>
  <c r="X987" i="2"/>
  <c r="W987" i="2"/>
  <c r="V987" i="2"/>
  <c r="Z986" i="2"/>
  <c r="Y986" i="2"/>
  <c r="X986" i="2"/>
  <c r="W986" i="2"/>
  <c r="V986" i="2"/>
  <c r="Z985" i="2"/>
  <c r="Y985" i="2"/>
  <c r="X985" i="2"/>
  <c r="W985" i="2"/>
  <c r="V985" i="2"/>
  <c r="Z984" i="2"/>
  <c r="Y984" i="2"/>
  <c r="X984" i="2"/>
  <c r="W984" i="2"/>
  <c r="V984" i="2"/>
  <c r="Z983" i="2"/>
  <c r="Y983" i="2"/>
  <c r="X983" i="2"/>
  <c r="W983" i="2"/>
  <c r="V983" i="2"/>
  <c r="Z982" i="2"/>
  <c r="Y982" i="2"/>
  <c r="X982" i="2"/>
  <c r="W982" i="2"/>
  <c r="V982" i="2"/>
  <c r="Z981" i="2"/>
  <c r="Y981" i="2"/>
  <c r="X981" i="2"/>
  <c r="W981" i="2"/>
  <c r="V981" i="2"/>
  <c r="Z980" i="2"/>
  <c r="Y980" i="2"/>
  <c r="X980" i="2"/>
  <c r="W980" i="2"/>
  <c r="V980" i="2"/>
  <c r="Z979" i="2"/>
  <c r="Y979" i="2"/>
  <c r="X979" i="2"/>
  <c r="W979" i="2"/>
  <c r="V979" i="2"/>
  <c r="Z978" i="2"/>
  <c r="Y978" i="2"/>
  <c r="X978" i="2"/>
  <c r="W978" i="2"/>
  <c r="V978" i="2"/>
  <c r="Z977" i="2"/>
  <c r="Y977" i="2"/>
  <c r="X977" i="2"/>
  <c r="W977" i="2"/>
  <c r="V977" i="2"/>
  <c r="Z976" i="2"/>
  <c r="Y976" i="2"/>
  <c r="X976" i="2"/>
  <c r="W976" i="2"/>
  <c r="V976" i="2"/>
  <c r="Z975" i="2"/>
  <c r="Y975" i="2"/>
  <c r="X975" i="2"/>
  <c r="W975" i="2"/>
  <c r="V975" i="2"/>
  <c r="Z974" i="2"/>
  <c r="Y974" i="2"/>
  <c r="X974" i="2"/>
  <c r="W974" i="2"/>
  <c r="V974" i="2"/>
  <c r="Z973" i="2"/>
  <c r="Y973" i="2"/>
  <c r="X973" i="2"/>
  <c r="W973" i="2"/>
  <c r="V973" i="2"/>
  <c r="Z972" i="2"/>
  <c r="Y972" i="2"/>
  <c r="X972" i="2"/>
  <c r="W972" i="2"/>
  <c r="V972" i="2"/>
  <c r="Z971" i="2"/>
  <c r="Y971" i="2"/>
  <c r="X971" i="2"/>
  <c r="W971" i="2"/>
  <c r="V971" i="2"/>
  <c r="Z970" i="2"/>
  <c r="Y970" i="2"/>
  <c r="X970" i="2"/>
  <c r="W970" i="2"/>
  <c r="V970" i="2"/>
  <c r="Z969" i="2"/>
  <c r="Y969" i="2"/>
  <c r="X969" i="2"/>
  <c r="W969" i="2"/>
  <c r="V969" i="2"/>
  <c r="Z968" i="2"/>
  <c r="Y968" i="2"/>
  <c r="X968" i="2"/>
  <c r="W968" i="2"/>
  <c r="V968" i="2"/>
  <c r="Z967" i="2"/>
  <c r="Y967" i="2"/>
  <c r="X967" i="2"/>
  <c r="W967" i="2"/>
  <c r="V967" i="2"/>
  <c r="Z966" i="2"/>
  <c r="Y966" i="2"/>
  <c r="X966" i="2"/>
  <c r="W966" i="2"/>
  <c r="V966" i="2"/>
  <c r="Z965" i="2"/>
  <c r="Y965" i="2"/>
  <c r="X965" i="2"/>
  <c r="W965" i="2"/>
  <c r="V965" i="2"/>
  <c r="Z964" i="2"/>
  <c r="Y964" i="2"/>
  <c r="X964" i="2"/>
  <c r="W964" i="2"/>
  <c r="V964" i="2"/>
  <c r="Z963" i="2"/>
  <c r="Y963" i="2"/>
  <c r="X963" i="2"/>
  <c r="W963" i="2"/>
  <c r="V963" i="2"/>
  <c r="Z962" i="2"/>
  <c r="Y962" i="2"/>
  <c r="X962" i="2"/>
  <c r="W962" i="2"/>
  <c r="V962" i="2"/>
  <c r="Z961" i="2"/>
  <c r="Y961" i="2"/>
  <c r="X961" i="2"/>
  <c r="W961" i="2"/>
  <c r="V961" i="2"/>
  <c r="Z960" i="2"/>
  <c r="Y960" i="2"/>
  <c r="X960" i="2"/>
  <c r="W960" i="2"/>
  <c r="V960" i="2"/>
  <c r="Z959" i="2"/>
  <c r="Y959" i="2"/>
  <c r="X959" i="2"/>
  <c r="W959" i="2"/>
  <c r="V959" i="2"/>
  <c r="Z958" i="2"/>
  <c r="Y958" i="2"/>
  <c r="X958" i="2"/>
  <c r="W958" i="2"/>
  <c r="V958" i="2"/>
  <c r="Z957" i="2"/>
  <c r="Y957" i="2"/>
  <c r="X957" i="2"/>
  <c r="W957" i="2"/>
  <c r="V957" i="2"/>
  <c r="Z956" i="2"/>
  <c r="Y956" i="2"/>
  <c r="X956" i="2"/>
  <c r="W956" i="2"/>
  <c r="V956" i="2"/>
  <c r="Z955" i="2"/>
  <c r="Y955" i="2"/>
  <c r="X955" i="2"/>
  <c r="W955" i="2"/>
  <c r="V955" i="2"/>
  <c r="Z954" i="2"/>
  <c r="Y954" i="2"/>
  <c r="X954" i="2"/>
  <c r="W954" i="2"/>
  <c r="V954" i="2"/>
  <c r="Z953" i="2"/>
  <c r="Y953" i="2"/>
  <c r="X953" i="2"/>
  <c r="W953" i="2"/>
  <c r="V953" i="2"/>
  <c r="Z952" i="2"/>
  <c r="Y952" i="2"/>
  <c r="X952" i="2"/>
  <c r="W952" i="2"/>
  <c r="V952" i="2"/>
  <c r="Z951" i="2"/>
  <c r="Y951" i="2"/>
  <c r="X951" i="2"/>
  <c r="W951" i="2"/>
  <c r="V951" i="2"/>
  <c r="Z950" i="2"/>
  <c r="Y950" i="2"/>
  <c r="X950" i="2"/>
  <c r="W950" i="2"/>
  <c r="V950" i="2"/>
  <c r="Z949" i="2"/>
  <c r="Y949" i="2"/>
  <c r="X949" i="2"/>
  <c r="W949" i="2"/>
  <c r="V949" i="2"/>
  <c r="Z948" i="2"/>
  <c r="Y948" i="2"/>
  <c r="X948" i="2"/>
  <c r="W948" i="2"/>
  <c r="V948" i="2"/>
  <c r="Z947" i="2"/>
  <c r="Y947" i="2"/>
  <c r="X947" i="2"/>
  <c r="W947" i="2"/>
  <c r="V947" i="2"/>
  <c r="Z946" i="2"/>
  <c r="Y946" i="2"/>
  <c r="X946" i="2"/>
  <c r="W946" i="2"/>
  <c r="V946" i="2"/>
  <c r="Z945" i="2"/>
  <c r="Y945" i="2"/>
  <c r="X945" i="2"/>
  <c r="W945" i="2"/>
  <c r="V945" i="2"/>
  <c r="Z944" i="2"/>
  <c r="Y944" i="2"/>
  <c r="X944" i="2"/>
  <c r="W944" i="2"/>
  <c r="V944" i="2"/>
  <c r="Z943" i="2"/>
  <c r="Y943" i="2"/>
  <c r="X943" i="2"/>
  <c r="W943" i="2"/>
  <c r="V943" i="2"/>
  <c r="Z942" i="2"/>
  <c r="Y942" i="2"/>
  <c r="X942" i="2"/>
  <c r="W942" i="2"/>
  <c r="V942" i="2"/>
  <c r="Z941" i="2"/>
  <c r="Y941" i="2"/>
  <c r="X941" i="2"/>
  <c r="W941" i="2"/>
  <c r="V941" i="2"/>
  <c r="Z940" i="2"/>
  <c r="Y940" i="2"/>
  <c r="X940" i="2"/>
  <c r="W940" i="2"/>
  <c r="V940" i="2"/>
  <c r="Z939" i="2"/>
  <c r="Y939" i="2"/>
  <c r="X939" i="2"/>
  <c r="W939" i="2"/>
  <c r="V939" i="2"/>
  <c r="Z938" i="2"/>
  <c r="Y938" i="2"/>
  <c r="X938" i="2"/>
  <c r="W938" i="2"/>
  <c r="V938" i="2"/>
  <c r="Z937" i="2"/>
  <c r="Y937" i="2"/>
  <c r="X937" i="2"/>
  <c r="W937" i="2"/>
  <c r="V937" i="2"/>
  <c r="Z936" i="2"/>
  <c r="Y936" i="2"/>
  <c r="X936" i="2"/>
  <c r="W936" i="2"/>
  <c r="V936" i="2"/>
  <c r="Z935" i="2"/>
  <c r="Y935" i="2"/>
  <c r="X935" i="2"/>
  <c r="W935" i="2"/>
  <c r="V935" i="2"/>
  <c r="Z934" i="2"/>
  <c r="Y934" i="2"/>
  <c r="X934" i="2"/>
  <c r="W934" i="2"/>
  <c r="V934" i="2"/>
  <c r="Z933" i="2"/>
  <c r="Y933" i="2"/>
  <c r="X933" i="2"/>
  <c r="W933" i="2"/>
  <c r="V933" i="2"/>
  <c r="Z932" i="2"/>
  <c r="Y932" i="2"/>
  <c r="X932" i="2"/>
  <c r="W932" i="2"/>
  <c r="V932" i="2"/>
  <c r="Z931" i="2"/>
  <c r="Y931" i="2"/>
  <c r="X931" i="2"/>
  <c r="W931" i="2"/>
  <c r="V931" i="2"/>
  <c r="Z930" i="2"/>
  <c r="Y930" i="2"/>
  <c r="X930" i="2"/>
  <c r="W930" i="2"/>
  <c r="V930" i="2"/>
  <c r="Z929" i="2"/>
  <c r="Y929" i="2"/>
  <c r="X929" i="2"/>
  <c r="W929" i="2"/>
  <c r="V929" i="2"/>
  <c r="Z928" i="2"/>
  <c r="Y928" i="2"/>
  <c r="X928" i="2"/>
  <c r="W928" i="2"/>
  <c r="V928" i="2"/>
  <c r="Z927" i="2"/>
  <c r="Y927" i="2"/>
  <c r="X927" i="2"/>
  <c r="W927" i="2"/>
  <c r="V927" i="2"/>
  <c r="Z926" i="2"/>
  <c r="Y926" i="2"/>
  <c r="X926" i="2"/>
  <c r="W926" i="2"/>
  <c r="V926" i="2"/>
  <c r="Z925" i="2"/>
  <c r="Y925" i="2"/>
  <c r="X925" i="2"/>
  <c r="W925" i="2"/>
  <c r="V925" i="2"/>
  <c r="Z924" i="2"/>
  <c r="Y924" i="2"/>
  <c r="X924" i="2"/>
  <c r="W924" i="2"/>
  <c r="V924" i="2"/>
  <c r="Z923" i="2"/>
  <c r="Y923" i="2"/>
  <c r="X923" i="2"/>
  <c r="W923" i="2"/>
  <c r="V923" i="2"/>
  <c r="Z922" i="2"/>
  <c r="Y922" i="2"/>
  <c r="X922" i="2"/>
  <c r="W922" i="2"/>
  <c r="V922" i="2"/>
  <c r="Z921" i="2"/>
  <c r="Y921" i="2"/>
  <c r="X921" i="2"/>
  <c r="W921" i="2"/>
  <c r="V921" i="2"/>
  <c r="Z920" i="2"/>
  <c r="Y920" i="2"/>
  <c r="X920" i="2"/>
  <c r="W920" i="2"/>
  <c r="V920" i="2"/>
  <c r="Z919" i="2"/>
  <c r="Y919" i="2"/>
  <c r="X919" i="2"/>
  <c r="W919" i="2"/>
  <c r="V919" i="2"/>
  <c r="Z918" i="2"/>
  <c r="Y918" i="2"/>
  <c r="X918" i="2"/>
  <c r="W918" i="2"/>
  <c r="V918" i="2"/>
  <c r="Z917" i="2"/>
  <c r="Y917" i="2"/>
  <c r="X917" i="2"/>
  <c r="W917" i="2"/>
  <c r="V917" i="2"/>
  <c r="Z916" i="2"/>
  <c r="Y916" i="2"/>
  <c r="X916" i="2"/>
  <c r="W916" i="2"/>
  <c r="V916" i="2"/>
  <c r="Z915" i="2"/>
  <c r="Y915" i="2"/>
  <c r="X915" i="2"/>
  <c r="W915" i="2"/>
  <c r="V915" i="2"/>
  <c r="Z914" i="2"/>
  <c r="Y914" i="2"/>
  <c r="X914" i="2"/>
  <c r="W914" i="2"/>
  <c r="V914" i="2"/>
  <c r="Z913" i="2"/>
  <c r="Y913" i="2"/>
  <c r="X913" i="2"/>
  <c r="W913" i="2"/>
  <c r="V913" i="2"/>
  <c r="Z912" i="2"/>
  <c r="Y912" i="2"/>
  <c r="X912" i="2"/>
  <c r="W912" i="2"/>
  <c r="V912" i="2"/>
  <c r="Z911" i="2"/>
  <c r="Y911" i="2"/>
  <c r="X911" i="2"/>
  <c r="W911" i="2"/>
  <c r="V911" i="2"/>
  <c r="Z910" i="2"/>
  <c r="Y910" i="2"/>
  <c r="X910" i="2"/>
  <c r="W910" i="2"/>
  <c r="V910" i="2"/>
  <c r="Z909" i="2"/>
  <c r="Y909" i="2"/>
  <c r="X909" i="2"/>
  <c r="W909" i="2"/>
  <c r="V909" i="2"/>
  <c r="Z908" i="2"/>
  <c r="Y908" i="2"/>
  <c r="X908" i="2"/>
  <c r="W908" i="2"/>
  <c r="V908" i="2"/>
  <c r="Z907" i="2"/>
  <c r="Y907" i="2"/>
  <c r="X907" i="2"/>
  <c r="W907" i="2"/>
  <c r="V907" i="2"/>
  <c r="Z906" i="2"/>
  <c r="Y906" i="2"/>
  <c r="X906" i="2"/>
  <c r="W906" i="2"/>
  <c r="V906" i="2"/>
  <c r="Z905" i="2"/>
  <c r="Y905" i="2"/>
  <c r="X905" i="2"/>
  <c r="W905" i="2"/>
  <c r="V905" i="2"/>
  <c r="Z904" i="2"/>
  <c r="Y904" i="2"/>
  <c r="X904" i="2"/>
  <c r="W904" i="2"/>
  <c r="V904" i="2"/>
  <c r="Z903" i="2"/>
  <c r="Y903" i="2"/>
  <c r="X903" i="2"/>
  <c r="W903" i="2"/>
  <c r="V903" i="2"/>
  <c r="Z902" i="2"/>
  <c r="Y902" i="2"/>
  <c r="X902" i="2"/>
  <c r="W902" i="2"/>
  <c r="V902" i="2"/>
  <c r="Z901" i="2"/>
  <c r="Y901" i="2"/>
  <c r="X901" i="2"/>
  <c r="W901" i="2"/>
  <c r="V901" i="2"/>
  <c r="Z900" i="2"/>
  <c r="Y900" i="2"/>
  <c r="X900" i="2"/>
  <c r="W900" i="2"/>
  <c r="V900" i="2"/>
  <c r="Z899" i="2"/>
  <c r="Y899" i="2"/>
  <c r="X899" i="2"/>
  <c r="W899" i="2"/>
  <c r="V899" i="2"/>
  <c r="Z898" i="2"/>
  <c r="Y898" i="2"/>
  <c r="X898" i="2"/>
  <c r="W898" i="2"/>
  <c r="V898" i="2"/>
  <c r="Z897" i="2"/>
  <c r="Y897" i="2"/>
  <c r="X897" i="2"/>
  <c r="W897" i="2"/>
  <c r="V897" i="2"/>
  <c r="Z896" i="2"/>
  <c r="Y896" i="2"/>
  <c r="X896" i="2"/>
  <c r="W896" i="2"/>
  <c r="V896" i="2"/>
  <c r="Z895" i="2"/>
  <c r="Y895" i="2"/>
  <c r="X895" i="2"/>
  <c r="W895" i="2"/>
  <c r="V895" i="2"/>
  <c r="Z894" i="2"/>
  <c r="Y894" i="2"/>
  <c r="X894" i="2"/>
  <c r="W894" i="2"/>
  <c r="V894" i="2"/>
  <c r="Z893" i="2"/>
  <c r="Y893" i="2"/>
  <c r="X893" i="2"/>
  <c r="W893" i="2"/>
  <c r="V893" i="2"/>
  <c r="Z892" i="2"/>
  <c r="Y892" i="2"/>
  <c r="X892" i="2"/>
  <c r="W892" i="2"/>
  <c r="V892" i="2"/>
  <c r="Z891" i="2"/>
  <c r="Y891" i="2"/>
  <c r="X891" i="2"/>
  <c r="W891" i="2"/>
  <c r="V891" i="2"/>
  <c r="Z890" i="2"/>
  <c r="Y890" i="2"/>
  <c r="X890" i="2"/>
  <c r="W890" i="2"/>
  <c r="V890" i="2"/>
  <c r="Z889" i="2"/>
  <c r="Y889" i="2"/>
  <c r="X889" i="2"/>
  <c r="W889" i="2"/>
  <c r="V889" i="2"/>
  <c r="Z888" i="2"/>
  <c r="Y888" i="2"/>
  <c r="X888" i="2"/>
  <c r="W888" i="2"/>
  <c r="V888" i="2"/>
  <c r="Z887" i="2"/>
  <c r="Y887" i="2"/>
  <c r="X887" i="2"/>
  <c r="W887" i="2"/>
  <c r="V887" i="2"/>
  <c r="Z886" i="2"/>
  <c r="Y886" i="2"/>
  <c r="X886" i="2"/>
  <c r="W886" i="2"/>
  <c r="V886" i="2"/>
  <c r="Z885" i="2"/>
  <c r="Y885" i="2"/>
  <c r="X885" i="2"/>
  <c r="W885" i="2"/>
  <c r="V885" i="2"/>
  <c r="Z884" i="2"/>
  <c r="Y884" i="2"/>
  <c r="X884" i="2"/>
  <c r="W884" i="2"/>
  <c r="V884" i="2"/>
  <c r="Z883" i="2"/>
  <c r="Y883" i="2"/>
  <c r="X883" i="2"/>
  <c r="W883" i="2"/>
  <c r="V883" i="2"/>
  <c r="Z882" i="2"/>
  <c r="Y882" i="2"/>
  <c r="X882" i="2"/>
  <c r="W882" i="2"/>
  <c r="V882" i="2"/>
  <c r="Z881" i="2"/>
  <c r="Y881" i="2"/>
  <c r="X881" i="2"/>
  <c r="W881" i="2"/>
  <c r="V881" i="2"/>
  <c r="Z880" i="2"/>
  <c r="Y880" i="2"/>
  <c r="X880" i="2"/>
  <c r="W880" i="2"/>
  <c r="V880" i="2"/>
  <c r="Z879" i="2"/>
  <c r="Y879" i="2"/>
  <c r="X879" i="2"/>
  <c r="W879" i="2"/>
  <c r="V879" i="2"/>
  <c r="Z878" i="2"/>
  <c r="Y878" i="2"/>
  <c r="X878" i="2"/>
  <c r="W878" i="2"/>
  <c r="V878" i="2"/>
  <c r="Z877" i="2"/>
  <c r="Y877" i="2"/>
  <c r="X877" i="2"/>
  <c r="W877" i="2"/>
  <c r="V877" i="2"/>
  <c r="Z876" i="2"/>
  <c r="Y876" i="2"/>
  <c r="X876" i="2"/>
  <c r="W876" i="2"/>
  <c r="V876" i="2"/>
  <c r="Z875" i="2"/>
  <c r="Y875" i="2"/>
  <c r="X875" i="2"/>
  <c r="W875" i="2"/>
  <c r="V875" i="2"/>
  <c r="Z874" i="2"/>
  <c r="Y874" i="2"/>
  <c r="X874" i="2"/>
  <c r="W874" i="2"/>
  <c r="V874" i="2"/>
  <c r="Z873" i="2"/>
  <c r="Y873" i="2"/>
  <c r="X873" i="2"/>
  <c r="W873" i="2"/>
  <c r="V873" i="2"/>
  <c r="Z872" i="2"/>
  <c r="Y872" i="2"/>
  <c r="X872" i="2"/>
  <c r="W872" i="2"/>
  <c r="V872" i="2"/>
  <c r="Z871" i="2"/>
  <c r="Y871" i="2"/>
  <c r="X871" i="2"/>
  <c r="W871" i="2"/>
  <c r="V871" i="2"/>
  <c r="Z870" i="2"/>
  <c r="Y870" i="2"/>
  <c r="X870" i="2"/>
  <c r="W870" i="2"/>
  <c r="V870" i="2"/>
  <c r="Z869" i="2"/>
  <c r="Y869" i="2"/>
  <c r="X869" i="2"/>
  <c r="W869" i="2"/>
  <c r="V869" i="2"/>
  <c r="Z868" i="2"/>
  <c r="Y868" i="2"/>
  <c r="X868" i="2"/>
  <c r="W868" i="2"/>
  <c r="V868" i="2"/>
  <c r="Z867" i="2"/>
  <c r="Y867" i="2"/>
  <c r="X867" i="2"/>
  <c r="W867" i="2"/>
  <c r="V867" i="2"/>
  <c r="Z866" i="2"/>
  <c r="Y866" i="2"/>
  <c r="X866" i="2"/>
  <c r="W866" i="2"/>
  <c r="V866" i="2"/>
  <c r="Z865" i="2"/>
  <c r="Y865" i="2"/>
  <c r="X865" i="2"/>
  <c r="W865" i="2"/>
  <c r="V865" i="2"/>
  <c r="Z864" i="2"/>
  <c r="Y864" i="2"/>
  <c r="X864" i="2"/>
  <c r="W864" i="2"/>
  <c r="V864" i="2"/>
  <c r="Z863" i="2"/>
  <c r="Y863" i="2"/>
  <c r="X863" i="2"/>
  <c r="W863" i="2"/>
  <c r="V863" i="2"/>
  <c r="Z862" i="2"/>
  <c r="Y862" i="2"/>
  <c r="X862" i="2"/>
  <c r="W862" i="2"/>
  <c r="V862" i="2"/>
  <c r="Z861" i="2"/>
  <c r="Y861" i="2"/>
  <c r="X861" i="2"/>
  <c r="W861" i="2"/>
  <c r="V861" i="2"/>
  <c r="Z860" i="2"/>
  <c r="Y860" i="2"/>
  <c r="X860" i="2"/>
  <c r="W860" i="2"/>
  <c r="V860" i="2"/>
  <c r="Z859" i="2"/>
  <c r="Y859" i="2"/>
  <c r="X859" i="2"/>
  <c r="W859" i="2"/>
  <c r="V859" i="2"/>
  <c r="Z858" i="2"/>
  <c r="Y858" i="2"/>
  <c r="X858" i="2"/>
  <c r="W858" i="2"/>
  <c r="V858" i="2"/>
  <c r="Z857" i="2"/>
  <c r="Y857" i="2"/>
  <c r="X857" i="2"/>
  <c r="W857" i="2"/>
  <c r="V857" i="2"/>
  <c r="Z856" i="2"/>
  <c r="Y856" i="2"/>
  <c r="X856" i="2"/>
  <c r="W856" i="2"/>
  <c r="V856" i="2"/>
  <c r="Z855" i="2"/>
  <c r="Y855" i="2"/>
  <c r="X855" i="2"/>
  <c r="W855" i="2"/>
  <c r="V855" i="2"/>
  <c r="Z854" i="2"/>
  <c r="Y854" i="2"/>
  <c r="X854" i="2"/>
  <c r="W854" i="2"/>
  <c r="V854" i="2"/>
  <c r="Z853" i="2"/>
  <c r="Y853" i="2"/>
  <c r="X853" i="2"/>
  <c r="W853" i="2"/>
  <c r="V853" i="2"/>
  <c r="Z852" i="2"/>
  <c r="Y852" i="2"/>
  <c r="X852" i="2"/>
  <c r="W852" i="2"/>
  <c r="V852" i="2"/>
  <c r="Z851" i="2"/>
  <c r="Y851" i="2"/>
  <c r="X851" i="2"/>
  <c r="W851" i="2"/>
  <c r="V851" i="2"/>
  <c r="Z850" i="2"/>
  <c r="Y850" i="2"/>
  <c r="X850" i="2"/>
  <c r="W850" i="2"/>
  <c r="V850" i="2"/>
  <c r="Z849" i="2"/>
  <c r="Y849" i="2"/>
  <c r="X849" i="2"/>
  <c r="W849" i="2"/>
  <c r="V849" i="2"/>
  <c r="Z848" i="2"/>
  <c r="Y848" i="2"/>
  <c r="X848" i="2"/>
  <c r="W848" i="2"/>
  <c r="V848" i="2"/>
  <c r="Z847" i="2"/>
  <c r="Y847" i="2"/>
  <c r="X847" i="2"/>
  <c r="W847" i="2"/>
  <c r="V847" i="2"/>
  <c r="Z846" i="2"/>
  <c r="Y846" i="2"/>
  <c r="X846" i="2"/>
  <c r="W846" i="2"/>
  <c r="V846" i="2"/>
  <c r="Z845" i="2"/>
  <c r="Y845" i="2"/>
  <c r="X845" i="2"/>
  <c r="W845" i="2"/>
  <c r="V845" i="2"/>
  <c r="Z844" i="2"/>
  <c r="Y844" i="2"/>
  <c r="X844" i="2"/>
  <c r="W844" i="2"/>
  <c r="V844" i="2"/>
  <c r="Z843" i="2"/>
  <c r="Y843" i="2"/>
  <c r="X843" i="2"/>
  <c r="W843" i="2"/>
  <c r="V843" i="2"/>
  <c r="Z842" i="2"/>
  <c r="Y842" i="2"/>
  <c r="X842" i="2"/>
  <c r="W842" i="2"/>
  <c r="V842" i="2"/>
  <c r="Z841" i="2"/>
  <c r="Y841" i="2"/>
  <c r="X841" i="2"/>
  <c r="W841" i="2"/>
  <c r="V841" i="2"/>
  <c r="Z840" i="2"/>
  <c r="Y840" i="2"/>
  <c r="X840" i="2"/>
  <c r="W840" i="2"/>
  <c r="V840" i="2"/>
  <c r="Z839" i="2"/>
  <c r="Y839" i="2"/>
  <c r="X839" i="2"/>
  <c r="W839" i="2"/>
  <c r="V839" i="2"/>
  <c r="Z838" i="2"/>
  <c r="Y838" i="2"/>
  <c r="X838" i="2"/>
  <c r="W838" i="2"/>
  <c r="V838" i="2"/>
  <c r="Z837" i="2"/>
  <c r="Y837" i="2"/>
  <c r="X837" i="2"/>
  <c r="W837" i="2"/>
  <c r="V837" i="2"/>
  <c r="Z836" i="2"/>
  <c r="Y836" i="2"/>
  <c r="X836" i="2"/>
  <c r="W836" i="2"/>
  <c r="V836" i="2"/>
  <c r="Z835" i="2"/>
  <c r="Y835" i="2"/>
  <c r="X835" i="2"/>
  <c r="W835" i="2"/>
  <c r="V835" i="2"/>
  <c r="Z834" i="2"/>
  <c r="Y834" i="2"/>
  <c r="X834" i="2"/>
  <c r="W834" i="2"/>
  <c r="V834" i="2"/>
  <c r="Z833" i="2"/>
  <c r="Y833" i="2"/>
  <c r="X833" i="2"/>
  <c r="W833" i="2"/>
  <c r="V833" i="2"/>
  <c r="Z832" i="2"/>
  <c r="Y832" i="2"/>
  <c r="X832" i="2"/>
  <c r="W832" i="2"/>
  <c r="V832" i="2"/>
  <c r="Z831" i="2"/>
  <c r="Y831" i="2"/>
  <c r="X831" i="2"/>
  <c r="W831" i="2"/>
  <c r="V831" i="2"/>
  <c r="Z830" i="2"/>
  <c r="Y830" i="2"/>
  <c r="X830" i="2"/>
  <c r="W830" i="2"/>
  <c r="V830" i="2"/>
  <c r="Z829" i="2"/>
  <c r="Y829" i="2"/>
  <c r="X829" i="2"/>
  <c r="W829" i="2"/>
  <c r="V829" i="2"/>
  <c r="Z828" i="2"/>
  <c r="Y828" i="2"/>
  <c r="X828" i="2"/>
  <c r="W828" i="2"/>
  <c r="V828" i="2"/>
  <c r="Z827" i="2"/>
  <c r="Y827" i="2"/>
  <c r="X827" i="2"/>
  <c r="W827" i="2"/>
  <c r="V827" i="2"/>
  <c r="Z826" i="2"/>
  <c r="Y826" i="2"/>
  <c r="X826" i="2"/>
  <c r="W826" i="2"/>
  <c r="V826" i="2"/>
  <c r="Z825" i="2"/>
  <c r="Y825" i="2"/>
  <c r="X825" i="2"/>
  <c r="W825" i="2"/>
  <c r="V825" i="2"/>
  <c r="Z824" i="2"/>
  <c r="Y824" i="2"/>
  <c r="X824" i="2"/>
  <c r="W824" i="2"/>
  <c r="V824" i="2"/>
  <c r="Z823" i="2"/>
  <c r="Y823" i="2"/>
  <c r="X823" i="2"/>
  <c r="W823" i="2"/>
  <c r="V823" i="2"/>
  <c r="Z822" i="2"/>
  <c r="Y822" i="2"/>
  <c r="X822" i="2"/>
  <c r="W822" i="2"/>
  <c r="V822" i="2"/>
  <c r="Z821" i="2"/>
  <c r="Y821" i="2"/>
  <c r="X821" i="2"/>
  <c r="W821" i="2"/>
  <c r="V821" i="2"/>
  <c r="Z820" i="2"/>
  <c r="Y820" i="2"/>
  <c r="X820" i="2"/>
  <c r="W820" i="2"/>
  <c r="V820" i="2"/>
  <c r="Z819" i="2"/>
  <c r="Y819" i="2"/>
  <c r="X819" i="2"/>
  <c r="W819" i="2"/>
  <c r="V819" i="2"/>
  <c r="Z818" i="2"/>
  <c r="Y818" i="2"/>
  <c r="X818" i="2"/>
  <c r="W818" i="2"/>
  <c r="V818" i="2"/>
  <c r="Z817" i="2"/>
  <c r="Y817" i="2"/>
  <c r="X817" i="2"/>
  <c r="W817" i="2"/>
  <c r="V817" i="2"/>
  <c r="Z816" i="2"/>
  <c r="Y816" i="2"/>
  <c r="X816" i="2"/>
  <c r="W816" i="2"/>
  <c r="V816" i="2"/>
  <c r="Z815" i="2"/>
  <c r="Y815" i="2"/>
  <c r="X815" i="2"/>
  <c r="W815" i="2"/>
  <c r="V815" i="2"/>
  <c r="Z814" i="2"/>
  <c r="Y814" i="2"/>
  <c r="X814" i="2"/>
  <c r="W814" i="2"/>
  <c r="V814" i="2"/>
  <c r="Z813" i="2"/>
  <c r="Y813" i="2"/>
  <c r="X813" i="2"/>
  <c r="W813" i="2"/>
  <c r="V813" i="2"/>
  <c r="Z812" i="2"/>
  <c r="Y812" i="2"/>
  <c r="X812" i="2"/>
  <c r="W812" i="2"/>
  <c r="V812" i="2"/>
  <c r="Z811" i="2"/>
  <c r="Y811" i="2"/>
  <c r="X811" i="2"/>
  <c r="W811" i="2"/>
  <c r="V811" i="2"/>
  <c r="Z810" i="2"/>
  <c r="Y810" i="2"/>
  <c r="X810" i="2"/>
  <c r="W810" i="2"/>
  <c r="V810" i="2"/>
  <c r="Z809" i="2"/>
  <c r="Y809" i="2"/>
  <c r="X809" i="2"/>
  <c r="W809" i="2"/>
  <c r="V809" i="2"/>
  <c r="Z808" i="2"/>
  <c r="Y808" i="2"/>
  <c r="X808" i="2"/>
  <c r="W808" i="2"/>
  <c r="V808" i="2"/>
  <c r="Z807" i="2"/>
  <c r="Y807" i="2"/>
  <c r="X807" i="2"/>
  <c r="W807" i="2"/>
  <c r="V807" i="2"/>
  <c r="Z806" i="2"/>
  <c r="Y806" i="2"/>
  <c r="X806" i="2"/>
  <c r="W806" i="2"/>
  <c r="V806" i="2"/>
  <c r="Z805" i="2"/>
  <c r="Y805" i="2"/>
  <c r="X805" i="2"/>
  <c r="W805" i="2"/>
  <c r="V805" i="2"/>
  <c r="Z804" i="2"/>
  <c r="Y804" i="2"/>
  <c r="X804" i="2"/>
  <c r="W804" i="2"/>
  <c r="V804" i="2"/>
  <c r="Z803" i="2"/>
  <c r="Y803" i="2"/>
  <c r="X803" i="2"/>
  <c r="W803" i="2"/>
  <c r="V803" i="2"/>
  <c r="Z802" i="2"/>
  <c r="Y802" i="2"/>
  <c r="X802" i="2"/>
  <c r="W802" i="2"/>
  <c r="V802" i="2"/>
  <c r="Z801" i="2"/>
  <c r="Y801" i="2"/>
  <c r="X801" i="2"/>
  <c r="W801" i="2"/>
  <c r="V801" i="2"/>
  <c r="Z800" i="2"/>
  <c r="Y800" i="2"/>
  <c r="X800" i="2"/>
  <c r="W800" i="2"/>
  <c r="V800" i="2"/>
  <c r="Z799" i="2"/>
  <c r="Y799" i="2"/>
  <c r="X799" i="2"/>
  <c r="W799" i="2"/>
  <c r="V799" i="2"/>
  <c r="Z798" i="2"/>
  <c r="Y798" i="2"/>
  <c r="X798" i="2"/>
  <c r="W798" i="2"/>
  <c r="V798" i="2"/>
  <c r="Z797" i="2"/>
  <c r="Y797" i="2"/>
  <c r="X797" i="2"/>
  <c r="W797" i="2"/>
  <c r="V797" i="2"/>
  <c r="Z796" i="2"/>
  <c r="Y796" i="2"/>
  <c r="X796" i="2"/>
  <c r="W796" i="2"/>
  <c r="V796" i="2"/>
  <c r="Z795" i="2"/>
  <c r="Y795" i="2"/>
  <c r="X795" i="2"/>
  <c r="W795" i="2"/>
  <c r="V795" i="2"/>
  <c r="Z794" i="2"/>
  <c r="Y794" i="2"/>
  <c r="X794" i="2"/>
  <c r="W794" i="2"/>
  <c r="V794" i="2"/>
  <c r="Z793" i="2"/>
  <c r="Y793" i="2"/>
  <c r="X793" i="2"/>
  <c r="W793" i="2"/>
  <c r="V793" i="2"/>
  <c r="Z792" i="2"/>
  <c r="Y792" i="2"/>
  <c r="X792" i="2"/>
  <c r="W792" i="2"/>
  <c r="V792" i="2"/>
  <c r="Z791" i="2"/>
  <c r="Y791" i="2"/>
  <c r="X791" i="2"/>
  <c r="W791" i="2"/>
  <c r="V791" i="2"/>
  <c r="Z790" i="2"/>
  <c r="Y790" i="2"/>
  <c r="X790" i="2"/>
  <c r="W790" i="2"/>
  <c r="V790" i="2"/>
  <c r="Z789" i="2"/>
  <c r="Y789" i="2"/>
  <c r="X789" i="2"/>
  <c r="W789" i="2"/>
  <c r="V789" i="2"/>
  <c r="Z788" i="2"/>
  <c r="Y788" i="2"/>
  <c r="X788" i="2"/>
  <c r="W788" i="2"/>
  <c r="V788" i="2"/>
  <c r="Z787" i="2"/>
  <c r="Y787" i="2"/>
  <c r="X787" i="2"/>
  <c r="W787" i="2"/>
  <c r="V787" i="2"/>
  <c r="Z786" i="2"/>
  <c r="Y786" i="2"/>
  <c r="X786" i="2"/>
  <c r="W786" i="2"/>
  <c r="V786" i="2"/>
  <c r="Z785" i="2"/>
  <c r="Y785" i="2"/>
  <c r="X785" i="2"/>
  <c r="W785" i="2"/>
  <c r="V785" i="2"/>
  <c r="Z784" i="2"/>
  <c r="Y784" i="2"/>
  <c r="X784" i="2"/>
  <c r="W784" i="2"/>
  <c r="V784" i="2"/>
  <c r="Z783" i="2"/>
  <c r="Y783" i="2"/>
  <c r="X783" i="2"/>
  <c r="W783" i="2"/>
  <c r="V783" i="2"/>
  <c r="Z782" i="2"/>
  <c r="Y782" i="2"/>
  <c r="X782" i="2"/>
  <c r="W782" i="2"/>
  <c r="V782" i="2"/>
  <c r="Z781" i="2"/>
  <c r="Y781" i="2"/>
  <c r="X781" i="2"/>
  <c r="W781" i="2"/>
  <c r="V781" i="2"/>
  <c r="Z780" i="2"/>
  <c r="Y780" i="2"/>
  <c r="X780" i="2"/>
  <c r="W780" i="2"/>
  <c r="V780" i="2"/>
  <c r="Z779" i="2"/>
  <c r="Y779" i="2"/>
  <c r="X779" i="2"/>
  <c r="W779" i="2"/>
  <c r="V779" i="2"/>
  <c r="Z778" i="2"/>
  <c r="Y778" i="2"/>
  <c r="X778" i="2"/>
  <c r="W778" i="2"/>
  <c r="V778" i="2"/>
  <c r="Z777" i="2"/>
  <c r="Y777" i="2"/>
  <c r="X777" i="2"/>
  <c r="W777" i="2"/>
  <c r="V777" i="2"/>
  <c r="Z776" i="2"/>
  <c r="Y776" i="2"/>
  <c r="X776" i="2"/>
  <c r="W776" i="2"/>
  <c r="V776" i="2"/>
  <c r="Z775" i="2"/>
  <c r="Y775" i="2"/>
  <c r="X775" i="2"/>
  <c r="W775" i="2"/>
  <c r="V775" i="2"/>
  <c r="Z774" i="2"/>
  <c r="Y774" i="2"/>
  <c r="X774" i="2"/>
  <c r="W774" i="2"/>
  <c r="V774" i="2"/>
  <c r="Z773" i="2"/>
  <c r="Y773" i="2"/>
  <c r="X773" i="2"/>
  <c r="W773" i="2"/>
  <c r="V773" i="2"/>
  <c r="Z772" i="2"/>
  <c r="Y772" i="2"/>
  <c r="X772" i="2"/>
  <c r="W772" i="2"/>
  <c r="V772" i="2"/>
  <c r="Z771" i="2"/>
  <c r="Y771" i="2"/>
  <c r="X771" i="2"/>
  <c r="W771" i="2"/>
  <c r="V771" i="2"/>
  <c r="Z770" i="2"/>
  <c r="Y770" i="2"/>
  <c r="X770" i="2"/>
  <c r="W770" i="2"/>
  <c r="V770" i="2"/>
  <c r="Z769" i="2"/>
  <c r="Y769" i="2"/>
  <c r="X769" i="2"/>
  <c r="W769" i="2"/>
  <c r="V769" i="2"/>
  <c r="Z768" i="2"/>
  <c r="Y768" i="2"/>
  <c r="X768" i="2"/>
  <c r="W768" i="2"/>
  <c r="V768" i="2"/>
  <c r="Z767" i="2"/>
  <c r="Y767" i="2"/>
  <c r="X767" i="2"/>
  <c r="W767" i="2"/>
  <c r="V767" i="2"/>
  <c r="Z766" i="2"/>
  <c r="Y766" i="2"/>
  <c r="X766" i="2"/>
  <c r="W766" i="2"/>
  <c r="V766" i="2"/>
  <c r="Z765" i="2"/>
  <c r="Y765" i="2"/>
  <c r="X765" i="2"/>
  <c r="W765" i="2"/>
  <c r="V765" i="2"/>
  <c r="Z764" i="2"/>
  <c r="Y764" i="2"/>
  <c r="X764" i="2"/>
  <c r="W764" i="2"/>
  <c r="V764" i="2"/>
  <c r="Z763" i="2"/>
  <c r="Y763" i="2"/>
  <c r="X763" i="2"/>
  <c r="W763" i="2"/>
  <c r="V763" i="2"/>
  <c r="Z762" i="2"/>
  <c r="Y762" i="2"/>
  <c r="X762" i="2"/>
  <c r="W762" i="2"/>
  <c r="V762" i="2"/>
  <c r="Z761" i="2"/>
  <c r="Y761" i="2"/>
  <c r="X761" i="2"/>
  <c r="W761" i="2"/>
  <c r="V761" i="2"/>
  <c r="Z760" i="2"/>
  <c r="Y760" i="2"/>
  <c r="X760" i="2"/>
  <c r="W760" i="2"/>
  <c r="V760" i="2"/>
  <c r="Z759" i="2"/>
  <c r="Y759" i="2"/>
  <c r="X759" i="2"/>
  <c r="W759" i="2"/>
  <c r="V759" i="2"/>
  <c r="Z758" i="2"/>
  <c r="Y758" i="2"/>
  <c r="X758" i="2"/>
  <c r="W758" i="2"/>
  <c r="V758" i="2"/>
  <c r="Z757" i="2"/>
  <c r="Y757" i="2"/>
  <c r="X757" i="2"/>
  <c r="W757" i="2"/>
  <c r="V757" i="2"/>
  <c r="Z756" i="2"/>
  <c r="Y756" i="2"/>
  <c r="X756" i="2"/>
  <c r="W756" i="2"/>
  <c r="V756" i="2"/>
  <c r="Z755" i="2"/>
  <c r="Y755" i="2"/>
  <c r="X755" i="2"/>
  <c r="W755" i="2"/>
  <c r="V755" i="2"/>
  <c r="Z754" i="2"/>
  <c r="Y754" i="2"/>
  <c r="X754" i="2"/>
  <c r="W754" i="2"/>
  <c r="V754" i="2"/>
  <c r="Z753" i="2"/>
  <c r="Y753" i="2"/>
  <c r="X753" i="2"/>
  <c r="W753" i="2"/>
  <c r="V753" i="2"/>
  <c r="Z752" i="2"/>
  <c r="Y752" i="2"/>
  <c r="X752" i="2"/>
  <c r="W752" i="2"/>
  <c r="V752" i="2"/>
  <c r="Z751" i="2"/>
  <c r="Y751" i="2"/>
  <c r="X751" i="2"/>
  <c r="W751" i="2"/>
  <c r="V751" i="2"/>
  <c r="Z750" i="2"/>
  <c r="Y750" i="2"/>
  <c r="X750" i="2"/>
  <c r="W750" i="2"/>
  <c r="V750" i="2"/>
  <c r="Z749" i="2"/>
  <c r="Y749" i="2"/>
  <c r="X749" i="2"/>
  <c r="W749" i="2"/>
  <c r="V749" i="2"/>
  <c r="Z748" i="2"/>
  <c r="Y748" i="2"/>
  <c r="X748" i="2"/>
  <c r="W748" i="2"/>
  <c r="V748" i="2"/>
  <c r="Z747" i="2"/>
  <c r="Y747" i="2"/>
  <c r="X747" i="2"/>
  <c r="W747" i="2"/>
  <c r="V747" i="2"/>
  <c r="Z746" i="2"/>
  <c r="Y746" i="2"/>
  <c r="X746" i="2"/>
  <c r="W746" i="2"/>
  <c r="V746" i="2"/>
  <c r="Z745" i="2"/>
  <c r="Y745" i="2"/>
  <c r="X745" i="2"/>
  <c r="W745" i="2"/>
  <c r="V745" i="2"/>
  <c r="Z744" i="2"/>
  <c r="Y744" i="2"/>
  <c r="X744" i="2"/>
  <c r="W744" i="2"/>
  <c r="V744" i="2"/>
  <c r="Z743" i="2"/>
  <c r="Y743" i="2"/>
  <c r="X743" i="2"/>
  <c r="W743" i="2"/>
  <c r="V743" i="2"/>
  <c r="Z742" i="2"/>
  <c r="Y742" i="2"/>
  <c r="X742" i="2"/>
  <c r="W742" i="2"/>
  <c r="V742" i="2"/>
  <c r="Z741" i="2"/>
  <c r="Y741" i="2"/>
  <c r="X741" i="2"/>
  <c r="W741" i="2"/>
  <c r="V741" i="2"/>
  <c r="Z740" i="2"/>
  <c r="Y740" i="2"/>
  <c r="X740" i="2"/>
  <c r="W740" i="2"/>
  <c r="V740" i="2"/>
  <c r="Z739" i="2"/>
  <c r="Y739" i="2"/>
  <c r="X739" i="2"/>
  <c r="W739" i="2"/>
  <c r="V739" i="2"/>
  <c r="Z738" i="2"/>
  <c r="Y738" i="2"/>
  <c r="X738" i="2"/>
  <c r="W738" i="2"/>
  <c r="V738" i="2"/>
  <c r="Z737" i="2"/>
  <c r="Y737" i="2"/>
  <c r="X737" i="2"/>
  <c r="W737" i="2"/>
  <c r="V737" i="2"/>
  <c r="Z736" i="2"/>
  <c r="Y736" i="2"/>
  <c r="X736" i="2"/>
  <c r="W736" i="2"/>
  <c r="V736" i="2"/>
  <c r="Z735" i="2"/>
  <c r="Y735" i="2"/>
  <c r="X735" i="2"/>
  <c r="W735" i="2"/>
  <c r="V735" i="2"/>
  <c r="Z734" i="2"/>
  <c r="Y734" i="2"/>
  <c r="X734" i="2"/>
  <c r="W734" i="2"/>
  <c r="V734" i="2"/>
  <c r="Z733" i="2"/>
  <c r="Y733" i="2"/>
  <c r="X733" i="2"/>
  <c r="W733" i="2"/>
  <c r="V733" i="2"/>
  <c r="Z732" i="2"/>
  <c r="Y732" i="2"/>
  <c r="X732" i="2"/>
  <c r="W732" i="2"/>
  <c r="V732" i="2"/>
  <c r="Z731" i="2"/>
  <c r="Y731" i="2"/>
  <c r="X731" i="2"/>
  <c r="W731" i="2"/>
  <c r="V731" i="2"/>
  <c r="Z730" i="2"/>
  <c r="Y730" i="2"/>
  <c r="X730" i="2"/>
  <c r="W730" i="2"/>
  <c r="V730" i="2"/>
  <c r="Z729" i="2"/>
  <c r="Y729" i="2"/>
  <c r="X729" i="2"/>
  <c r="W729" i="2"/>
  <c r="V729" i="2"/>
  <c r="Z728" i="2"/>
  <c r="Y728" i="2"/>
  <c r="X728" i="2"/>
  <c r="W728" i="2"/>
  <c r="V728" i="2"/>
  <c r="Z727" i="2"/>
  <c r="Y727" i="2"/>
  <c r="X727" i="2"/>
  <c r="W727" i="2"/>
  <c r="V727" i="2"/>
  <c r="Z726" i="2"/>
  <c r="Y726" i="2"/>
  <c r="X726" i="2"/>
  <c r="W726" i="2"/>
  <c r="V726" i="2"/>
  <c r="Z725" i="2"/>
  <c r="Y725" i="2"/>
  <c r="X725" i="2"/>
  <c r="W725" i="2"/>
  <c r="V725" i="2"/>
  <c r="Z724" i="2"/>
  <c r="Y724" i="2"/>
  <c r="X724" i="2"/>
  <c r="W724" i="2"/>
  <c r="V724" i="2"/>
  <c r="Z723" i="2"/>
  <c r="Y723" i="2"/>
  <c r="X723" i="2"/>
  <c r="W723" i="2"/>
  <c r="V723" i="2"/>
  <c r="Z722" i="2"/>
  <c r="Y722" i="2"/>
  <c r="X722" i="2"/>
  <c r="W722" i="2"/>
  <c r="V722" i="2"/>
  <c r="Z721" i="2"/>
  <c r="Y721" i="2"/>
  <c r="X721" i="2"/>
  <c r="W721" i="2"/>
  <c r="V721" i="2"/>
  <c r="Z720" i="2"/>
  <c r="Y720" i="2"/>
  <c r="X720" i="2"/>
  <c r="W720" i="2"/>
  <c r="V720" i="2"/>
  <c r="Z719" i="2"/>
  <c r="Y719" i="2"/>
  <c r="X719" i="2"/>
  <c r="W719" i="2"/>
  <c r="V719" i="2"/>
  <c r="Z718" i="2"/>
  <c r="Y718" i="2"/>
  <c r="X718" i="2"/>
  <c r="W718" i="2"/>
  <c r="V718" i="2"/>
  <c r="Z717" i="2"/>
  <c r="Y717" i="2"/>
  <c r="X717" i="2"/>
  <c r="W717" i="2"/>
  <c r="V717" i="2"/>
  <c r="Z716" i="2"/>
  <c r="Y716" i="2"/>
  <c r="X716" i="2"/>
  <c r="W716" i="2"/>
  <c r="V716" i="2"/>
  <c r="Z715" i="2"/>
  <c r="Y715" i="2"/>
  <c r="X715" i="2"/>
  <c r="W715" i="2"/>
  <c r="V715" i="2"/>
  <c r="Z714" i="2"/>
  <c r="Y714" i="2"/>
  <c r="X714" i="2"/>
  <c r="W714" i="2"/>
  <c r="V714" i="2"/>
  <c r="Z713" i="2"/>
  <c r="Y713" i="2"/>
  <c r="X713" i="2"/>
  <c r="W713" i="2"/>
  <c r="V713" i="2"/>
  <c r="Z712" i="2"/>
  <c r="Y712" i="2"/>
  <c r="X712" i="2"/>
  <c r="W712" i="2"/>
  <c r="V712" i="2"/>
  <c r="Z711" i="2"/>
  <c r="Y711" i="2"/>
  <c r="X711" i="2"/>
  <c r="W711" i="2"/>
  <c r="V711" i="2"/>
  <c r="Z710" i="2"/>
  <c r="Y710" i="2"/>
  <c r="X710" i="2"/>
  <c r="W710" i="2"/>
  <c r="V710" i="2"/>
  <c r="Z709" i="2"/>
  <c r="Y709" i="2"/>
  <c r="X709" i="2"/>
  <c r="W709" i="2"/>
  <c r="V709" i="2"/>
  <c r="Z708" i="2"/>
  <c r="Y708" i="2"/>
  <c r="X708" i="2"/>
  <c r="W708" i="2"/>
  <c r="V708" i="2"/>
  <c r="Z707" i="2"/>
  <c r="Y707" i="2"/>
  <c r="X707" i="2"/>
  <c r="W707" i="2"/>
  <c r="V707" i="2"/>
  <c r="Z706" i="2"/>
  <c r="Y706" i="2"/>
  <c r="X706" i="2"/>
  <c r="W706" i="2"/>
  <c r="V706" i="2"/>
  <c r="Z705" i="2"/>
  <c r="Y705" i="2"/>
  <c r="X705" i="2"/>
  <c r="W705" i="2"/>
  <c r="V705" i="2"/>
  <c r="Z704" i="2"/>
  <c r="Y704" i="2"/>
  <c r="X704" i="2"/>
  <c r="W704" i="2"/>
  <c r="V704" i="2"/>
  <c r="Z703" i="2"/>
  <c r="Y703" i="2"/>
  <c r="X703" i="2"/>
  <c r="W703" i="2"/>
  <c r="V703" i="2"/>
  <c r="Z702" i="2"/>
  <c r="Y702" i="2"/>
  <c r="X702" i="2"/>
  <c r="W702" i="2"/>
  <c r="V702" i="2"/>
  <c r="Z701" i="2"/>
  <c r="Y701" i="2"/>
  <c r="X701" i="2"/>
  <c r="W701" i="2"/>
  <c r="V701" i="2"/>
  <c r="Z700" i="2"/>
  <c r="Y700" i="2"/>
  <c r="X700" i="2"/>
  <c r="W700" i="2"/>
  <c r="V700" i="2"/>
  <c r="Z699" i="2"/>
  <c r="Y699" i="2"/>
  <c r="X699" i="2"/>
  <c r="W699" i="2"/>
  <c r="V699" i="2"/>
  <c r="Z698" i="2"/>
  <c r="Y698" i="2"/>
  <c r="X698" i="2"/>
  <c r="W698" i="2"/>
  <c r="V698" i="2"/>
  <c r="Z697" i="2"/>
  <c r="Y697" i="2"/>
  <c r="X697" i="2"/>
  <c r="W697" i="2"/>
  <c r="V697" i="2"/>
  <c r="Z696" i="2"/>
  <c r="Y696" i="2"/>
  <c r="X696" i="2"/>
  <c r="W696" i="2"/>
  <c r="V696" i="2"/>
  <c r="Z695" i="2"/>
  <c r="Y695" i="2"/>
  <c r="X695" i="2"/>
  <c r="W695" i="2"/>
  <c r="V695" i="2"/>
  <c r="Z694" i="2"/>
  <c r="Y694" i="2"/>
  <c r="X694" i="2"/>
  <c r="W694" i="2"/>
  <c r="V694" i="2"/>
  <c r="Z693" i="2"/>
  <c r="Y693" i="2"/>
  <c r="X693" i="2"/>
  <c r="W693" i="2"/>
  <c r="V693" i="2"/>
  <c r="Z692" i="2"/>
  <c r="Y692" i="2"/>
  <c r="X692" i="2"/>
  <c r="W692" i="2"/>
  <c r="V692" i="2"/>
  <c r="Z691" i="2"/>
  <c r="Y691" i="2"/>
  <c r="X691" i="2"/>
  <c r="W691" i="2"/>
  <c r="V691" i="2"/>
  <c r="Z690" i="2"/>
  <c r="Y690" i="2"/>
  <c r="X690" i="2"/>
  <c r="W690" i="2"/>
  <c r="V690" i="2"/>
  <c r="Z689" i="2"/>
  <c r="Y689" i="2"/>
  <c r="X689" i="2"/>
  <c r="W689" i="2"/>
  <c r="V689" i="2"/>
  <c r="Z688" i="2"/>
  <c r="Y688" i="2"/>
  <c r="X688" i="2"/>
  <c r="W688" i="2"/>
  <c r="V688" i="2"/>
  <c r="Z687" i="2"/>
  <c r="Y687" i="2"/>
  <c r="X687" i="2"/>
  <c r="W687" i="2"/>
  <c r="V687" i="2"/>
  <c r="Z686" i="2"/>
  <c r="Y686" i="2"/>
  <c r="X686" i="2"/>
  <c r="W686" i="2"/>
  <c r="V686" i="2"/>
  <c r="Z685" i="2"/>
  <c r="Y685" i="2"/>
  <c r="X685" i="2"/>
  <c r="W685" i="2"/>
  <c r="V685" i="2"/>
  <c r="Z684" i="2"/>
  <c r="Y684" i="2"/>
  <c r="X684" i="2"/>
  <c r="W684" i="2"/>
  <c r="V684" i="2"/>
  <c r="Z683" i="2"/>
  <c r="Y683" i="2"/>
  <c r="X683" i="2"/>
  <c r="W683" i="2"/>
  <c r="V683" i="2"/>
  <c r="Z682" i="2"/>
  <c r="Y682" i="2"/>
  <c r="X682" i="2"/>
  <c r="W682" i="2"/>
  <c r="V682" i="2"/>
  <c r="Z681" i="2"/>
  <c r="Y681" i="2"/>
  <c r="X681" i="2"/>
  <c r="W681" i="2"/>
  <c r="V681" i="2"/>
  <c r="Z680" i="2"/>
  <c r="Y680" i="2"/>
  <c r="X680" i="2"/>
  <c r="W680" i="2"/>
  <c r="V680" i="2"/>
  <c r="Z679" i="2"/>
  <c r="Y679" i="2"/>
  <c r="X679" i="2"/>
  <c r="W679" i="2"/>
  <c r="V679" i="2"/>
  <c r="Z678" i="2"/>
  <c r="Y678" i="2"/>
  <c r="X678" i="2"/>
  <c r="W678" i="2"/>
  <c r="V678" i="2"/>
  <c r="Z677" i="2"/>
  <c r="Y677" i="2"/>
  <c r="X677" i="2"/>
  <c r="W677" i="2"/>
  <c r="V677" i="2"/>
  <c r="Z676" i="2"/>
  <c r="Y676" i="2"/>
  <c r="X676" i="2"/>
  <c r="W676" i="2"/>
  <c r="V676" i="2"/>
  <c r="Z675" i="2"/>
  <c r="Y675" i="2"/>
  <c r="X675" i="2"/>
  <c r="W675" i="2"/>
  <c r="V675" i="2"/>
  <c r="Z674" i="2"/>
  <c r="Y674" i="2"/>
  <c r="X674" i="2"/>
  <c r="W674" i="2"/>
  <c r="V674" i="2"/>
  <c r="Z673" i="2"/>
  <c r="Y673" i="2"/>
  <c r="X673" i="2"/>
  <c r="W673" i="2"/>
  <c r="V673" i="2"/>
  <c r="Z672" i="2"/>
  <c r="Y672" i="2"/>
  <c r="X672" i="2"/>
  <c r="W672" i="2"/>
  <c r="V672" i="2"/>
  <c r="Z671" i="2"/>
  <c r="Y671" i="2"/>
  <c r="X671" i="2"/>
  <c r="W671" i="2"/>
  <c r="V671" i="2"/>
  <c r="Z670" i="2"/>
  <c r="Y670" i="2"/>
  <c r="X670" i="2"/>
  <c r="W670" i="2"/>
  <c r="V670" i="2"/>
  <c r="Z669" i="2"/>
  <c r="Y669" i="2"/>
  <c r="X669" i="2"/>
  <c r="W669" i="2"/>
  <c r="V669" i="2"/>
  <c r="Z668" i="2"/>
  <c r="Y668" i="2"/>
  <c r="X668" i="2"/>
  <c r="W668" i="2"/>
  <c r="V668" i="2"/>
  <c r="Z667" i="2"/>
  <c r="Y667" i="2"/>
  <c r="X667" i="2"/>
  <c r="W667" i="2"/>
  <c r="V667" i="2"/>
  <c r="Z666" i="2"/>
  <c r="Y666" i="2"/>
  <c r="X666" i="2"/>
  <c r="W666" i="2"/>
  <c r="V666" i="2"/>
  <c r="Z665" i="2"/>
  <c r="Y665" i="2"/>
  <c r="X665" i="2"/>
  <c r="W665" i="2"/>
  <c r="V665" i="2"/>
  <c r="Z664" i="2"/>
  <c r="Y664" i="2"/>
  <c r="X664" i="2"/>
  <c r="W664" i="2"/>
  <c r="V664" i="2"/>
  <c r="Z663" i="2"/>
  <c r="Y663" i="2"/>
  <c r="X663" i="2"/>
  <c r="W663" i="2"/>
  <c r="V663" i="2"/>
  <c r="Z662" i="2"/>
  <c r="Y662" i="2"/>
  <c r="X662" i="2"/>
  <c r="W662" i="2"/>
  <c r="V662" i="2"/>
  <c r="Z661" i="2"/>
  <c r="Y661" i="2"/>
  <c r="X661" i="2"/>
  <c r="W661" i="2"/>
  <c r="V661" i="2"/>
  <c r="Z660" i="2"/>
  <c r="Y660" i="2"/>
  <c r="X660" i="2"/>
  <c r="W660" i="2"/>
  <c r="V660" i="2"/>
  <c r="Z659" i="2"/>
  <c r="Y659" i="2"/>
  <c r="X659" i="2"/>
  <c r="W659" i="2"/>
  <c r="V659" i="2"/>
  <c r="Z658" i="2"/>
  <c r="Y658" i="2"/>
  <c r="X658" i="2"/>
  <c r="W658" i="2"/>
  <c r="V658" i="2"/>
  <c r="Z657" i="2"/>
  <c r="Y657" i="2"/>
  <c r="X657" i="2"/>
  <c r="W657" i="2"/>
  <c r="V657" i="2"/>
  <c r="Z656" i="2"/>
  <c r="Y656" i="2"/>
  <c r="X656" i="2"/>
  <c r="W656" i="2"/>
  <c r="V656" i="2"/>
  <c r="Z655" i="2"/>
  <c r="Y655" i="2"/>
  <c r="X655" i="2"/>
  <c r="W655" i="2"/>
  <c r="V655" i="2"/>
  <c r="Z654" i="2"/>
  <c r="Y654" i="2"/>
  <c r="X654" i="2"/>
  <c r="W654" i="2"/>
  <c r="V654" i="2"/>
  <c r="Z653" i="2"/>
  <c r="Y653" i="2"/>
  <c r="X653" i="2"/>
  <c r="W653" i="2"/>
  <c r="V653" i="2"/>
  <c r="Z652" i="2"/>
  <c r="Y652" i="2"/>
  <c r="X652" i="2"/>
  <c r="W652" i="2"/>
  <c r="V652" i="2"/>
  <c r="Z651" i="2"/>
  <c r="Y651" i="2"/>
  <c r="X651" i="2"/>
  <c r="W651" i="2"/>
  <c r="V651" i="2"/>
  <c r="Z650" i="2"/>
  <c r="Y650" i="2"/>
  <c r="X650" i="2"/>
  <c r="W650" i="2"/>
  <c r="V650" i="2"/>
  <c r="Z649" i="2"/>
  <c r="Y649" i="2"/>
  <c r="X649" i="2"/>
  <c r="W649" i="2"/>
  <c r="V649" i="2"/>
  <c r="Z648" i="2"/>
  <c r="Y648" i="2"/>
  <c r="X648" i="2"/>
  <c r="W648" i="2"/>
  <c r="V648" i="2"/>
  <c r="Z647" i="2"/>
  <c r="Y647" i="2"/>
  <c r="X647" i="2"/>
  <c r="W647" i="2"/>
  <c r="V647" i="2"/>
  <c r="Z646" i="2"/>
  <c r="Y646" i="2"/>
  <c r="X646" i="2"/>
  <c r="W646" i="2"/>
  <c r="V646" i="2"/>
  <c r="Z645" i="2"/>
  <c r="Y645" i="2"/>
  <c r="X645" i="2"/>
  <c r="W645" i="2"/>
  <c r="V645" i="2"/>
  <c r="Z644" i="2"/>
  <c r="Y644" i="2"/>
  <c r="X644" i="2"/>
  <c r="W644" i="2"/>
  <c r="V644" i="2"/>
  <c r="Z643" i="2"/>
  <c r="Y643" i="2"/>
  <c r="X643" i="2"/>
  <c r="W643" i="2"/>
  <c r="V643" i="2"/>
  <c r="Z642" i="2"/>
  <c r="Y642" i="2"/>
  <c r="X642" i="2"/>
  <c r="W642" i="2"/>
  <c r="V642" i="2"/>
  <c r="Z641" i="2"/>
  <c r="Y641" i="2"/>
  <c r="X641" i="2"/>
  <c r="W641" i="2"/>
  <c r="V641" i="2"/>
  <c r="Z640" i="2"/>
  <c r="Y640" i="2"/>
  <c r="X640" i="2"/>
  <c r="W640" i="2"/>
  <c r="V640" i="2"/>
  <c r="Z639" i="2"/>
  <c r="Y639" i="2"/>
  <c r="X639" i="2"/>
  <c r="W639" i="2"/>
  <c r="V639" i="2"/>
  <c r="Z638" i="2"/>
  <c r="Y638" i="2"/>
  <c r="X638" i="2"/>
  <c r="W638" i="2"/>
  <c r="V638" i="2"/>
  <c r="Z637" i="2"/>
  <c r="Y637" i="2"/>
  <c r="X637" i="2"/>
  <c r="W637" i="2"/>
  <c r="V637" i="2"/>
  <c r="Z636" i="2"/>
  <c r="Y636" i="2"/>
  <c r="X636" i="2"/>
  <c r="W636" i="2"/>
  <c r="V636" i="2"/>
  <c r="Z635" i="2"/>
  <c r="Y635" i="2"/>
  <c r="X635" i="2"/>
  <c r="W635" i="2"/>
  <c r="V635" i="2"/>
  <c r="Z634" i="2"/>
  <c r="Y634" i="2"/>
  <c r="X634" i="2"/>
  <c r="W634" i="2"/>
  <c r="V634" i="2"/>
  <c r="Z633" i="2"/>
  <c r="Y633" i="2"/>
  <c r="X633" i="2"/>
  <c r="W633" i="2"/>
  <c r="V633" i="2"/>
  <c r="Z632" i="2"/>
  <c r="Y632" i="2"/>
  <c r="X632" i="2"/>
  <c r="W632" i="2"/>
  <c r="V632" i="2"/>
  <c r="Z631" i="2"/>
  <c r="Y631" i="2"/>
  <c r="X631" i="2"/>
  <c r="W631" i="2"/>
  <c r="V631" i="2"/>
  <c r="Z630" i="2"/>
  <c r="Y630" i="2"/>
  <c r="X630" i="2"/>
  <c r="W630" i="2"/>
  <c r="V630" i="2"/>
  <c r="Z629" i="2"/>
  <c r="Y629" i="2"/>
  <c r="X629" i="2"/>
  <c r="W629" i="2"/>
  <c r="V629" i="2"/>
  <c r="Z628" i="2"/>
  <c r="Y628" i="2"/>
  <c r="X628" i="2"/>
  <c r="W628" i="2"/>
  <c r="V628" i="2"/>
  <c r="Z627" i="2"/>
  <c r="Y627" i="2"/>
  <c r="X627" i="2"/>
  <c r="W627" i="2"/>
  <c r="V627" i="2"/>
  <c r="Z626" i="2"/>
  <c r="Y626" i="2"/>
  <c r="X626" i="2"/>
  <c r="W626" i="2"/>
  <c r="V626" i="2"/>
  <c r="Z625" i="2"/>
  <c r="Y625" i="2"/>
  <c r="X625" i="2"/>
  <c r="W625" i="2"/>
  <c r="V625" i="2"/>
  <c r="Z624" i="2"/>
  <c r="Y624" i="2"/>
  <c r="X624" i="2"/>
  <c r="W624" i="2"/>
  <c r="V624" i="2"/>
  <c r="Z623" i="2"/>
  <c r="Y623" i="2"/>
  <c r="X623" i="2"/>
  <c r="W623" i="2"/>
  <c r="V623" i="2"/>
  <c r="Z622" i="2"/>
  <c r="Y622" i="2"/>
  <c r="X622" i="2"/>
  <c r="W622" i="2"/>
  <c r="V622" i="2"/>
  <c r="Z621" i="2"/>
  <c r="Y621" i="2"/>
  <c r="X621" i="2"/>
  <c r="W621" i="2"/>
  <c r="V621" i="2"/>
  <c r="Z620" i="2"/>
  <c r="Y620" i="2"/>
  <c r="X620" i="2"/>
  <c r="W620" i="2"/>
  <c r="V620" i="2"/>
  <c r="Z619" i="2"/>
  <c r="Y619" i="2"/>
  <c r="X619" i="2"/>
  <c r="W619" i="2"/>
  <c r="V619" i="2"/>
  <c r="Z618" i="2"/>
  <c r="Y618" i="2"/>
  <c r="X618" i="2"/>
  <c r="W618" i="2"/>
  <c r="V618" i="2"/>
  <c r="Z617" i="2"/>
  <c r="Y617" i="2"/>
  <c r="X617" i="2"/>
  <c r="W617" i="2"/>
  <c r="V617" i="2"/>
  <c r="Z616" i="2"/>
  <c r="Y616" i="2"/>
  <c r="X616" i="2"/>
  <c r="W616" i="2"/>
  <c r="V616" i="2"/>
  <c r="Z615" i="2"/>
  <c r="Y615" i="2"/>
  <c r="X615" i="2"/>
  <c r="W615" i="2"/>
  <c r="V615" i="2"/>
  <c r="Z614" i="2"/>
  <c r="Y614" i="2"/>
  <c r="X614" i="2"/>
  <c r="W614" i="2"/>
  <c r="V614" i="2"/>
  <c r="Z613" i="2"/>
  <c r="Y613" i="2"/>
  <c r="X613" i="2"/>
  <c r="W613" i="2"/>
  <c r="V613" i="2"/>
  <c r="Z612" i="2"/>
  <c r="Y612" i="2"/>
  <c r="X612" i="2"/>
  <c r="W612" i="2"/>
  <c r="V612" i="2"/>
  <c r="Z611" i="2"/>
  <c r="Y611" i="2"/>
  <c r="X611" i="2"/>
  <c r="W611" i="2"/>
  <c r="V611" i="2"/>
  <c r="Z610" i="2"/>
  <c r="Y610" i="2"/>
  <c r="X610" i="2"/>
  <c r="W610" i="2"/>
  <c r="V610" i="2"/>
  <c r="Z609" i="2"/>
  <c r="Y609" i="2"/>
  <c r="X609" i="2"/>
  <c r="W609" i="2"/>
  <c r="V609" i="2"/>
  <c r="Z608" i="2"/>
  <c r="Y608" i="2"/>
  <c r="X608" i="2"/>
  <c r="W608" i="2"/>
  <c r="V608" i="2"/>
  <c r="Z607" i="2"/>
  <c r="Y607" i="2"/>
  <c r="X607" i="2"/>
  <c r="W607" i="2"/>
  <c r="V607" i="2"/>
  <c r="Z606" i="2"/>
  <c r="Y606" i="2"/>
  <c r="X606" i="2"/>
  <c r="W606" i="2"/>
  <c r="V606" i="2"/>
  <c r="Z605" i="2"/>
  <c r="Y605" i="2"/>
  <c r="X605" i="2"/>
  <c r="W605" i="2"/>
  <c r="V605" i="2"/>
  <c r="Z604" i="2"/>
  <c r="Y604" i="2"/>
  <c r="X604" i="2"/>
  <c r="W604" i="2"/>
  <c r="V604" i="2"/>
  <c r="Z603" i="2"/>
  <c r="Y603" i="2"/>
  <c r="X603" i="2"/>
  <c r="W603" i="2"/>
  <c r="V603" i="2"/>
  <c r="Z602" i="2"/>
  <c r="Y602" i="2"/>
  <c r="X602" i="2"/>
  <c r="W602" i="2"/>
  <c r="V602" i="2"/>
  <c r="Z601" i="2"/>
  <c r="Y601" i="2"/>
  <c r="X601" i="2"/>
  <c r="W601" i="2"/>
  <c r="V601" i="2"/>
  <c r="Z600" i="2"/>
  <c r="Y600" i="2"/>
  <c r="X600" i="2"/>
  <c r="W600" i="2"/>
  <c r="V600" i="2"/>
  <c r="Z599" i="2"/>
  <c r="Y599" i="2"/>
  <c r="X599" i="2"/>
  <c r="W599" i="2"/>
  <c r="V599" i="2"/>
  <c r="Z598" i="2"/>
  <c r="Y598" i="2"/>
  <c r="X598" i="2"/>
  <c r="W598" i="2"/>
  <c r="V598" i="2"/>
  <c r="Z597" i="2"/>
  <c r="Y597" i="2"/>
  <c r="X597" i="2"/>
  <c r="W597" i="2"/>
  <c r="V597" i="2"/>
  <c r="Z596" i="2"/>
  <c r="Y596" i="2"/>
  <c r="X596" i="2"/>
  <c r="W596" i="2"/>
  <c r="V596" i="2"/>
  <c r="Z595" i="2"/>
  <c r="Y595" i="2"/>
  <c r="X595" i="2"/>
  <c r="W595" i="2"/>
  <c r="V595" i="2"/>
  <c r="Z594" i="2"/>
  <c r="Y594" i="2"/>
  <c r="X594" i="2"/>
  <c r="W594" i="2"/>
  <c r="V594" i="2"/>
  <c r="Z593" i="2"/>
  <c r="Y593" i="2"/>
  <c r="X593" i="2"/>
  <c r="W593" i="2"/>
  <c r="V593" i="2"/>
  <c r="Z592" i="2"/>
  <c r="Y592" i="2"/>
  <c r="X592" i="2"/>
  <c r="W592" i="2"/>
  <c r="V592" i="2"/>
  <c r="Z591" i="2"/>
  <c r="Y591" i="2"/>
  <c r="X591" i="2"/>
  <c r="W591" i="2"/>
  <c r="V591" i="2"/>
  <c r="Z590" i="2"/>
  <c r="Y590" i="2"/>
  <c r="X590" i="2"/>
  <c r="W590" i="2"/>
  <c r="V590" i="2"/>
  <c r="Z589" i="2"/>
  <c r="Y589" i="2"/>
  <c r="X589" i="2"/>
  <c r="W589" i="2"/>
  <c r="V589" i="2"/>
  <c r="Z588" i="2"/>
  <c r="Y588" i="2"/>
  <c r="X588" i="2"/>
  <c r="W588" i="2"/>
  <c r="V588" i="2"/>
  <c r="Z587" i="2"/>
  <c r="Y587" i="2"/>
  <c r="X587" i="2"/>
  <c r="W587" i="2"/>
  <c r="V587" i="2"/>
  <c r="Z586" i="2"/>
  <c r="Y586" i="2"/>
  <c r="X586" i="2"/>
  <c r="W586" i="2"/>
  <c r="V586" i="2"/>
  <c r="Z585" i="2"/>
  <c r="Y585" i="2"/>
  <c r="X585" i="2"/>
  <c r="W585" i="2"/>
  <c r="V585" i="2"/>
  <c r="Z584" i="2"/>
  <c r="Y584" i="2"/>
  <c r="X584" i="2"/>
  <c r="W584" i="2"/>
  <c r="V584" i="2"/>
  <c r="Z583" i="2"/>
  <c r="Y583" i="2"/>
  <c r="X583" i="2"/>
  <c r="W583" i="2"/>
  <c r="V583" i="2"/>
  <c r="Z582" i="2"/>
  <c r="Y582" i="2"/>
  <c r="X582" i="2"/>
  <c r="W582" i="2"/>
  <c r="V582" i="2"/>
  <c r="Z581" i="2"/>
  <c r="Y581" i="2"/>
  <c r="X581" i="2"/>
  <c r="W581" i="2"/>
  <c r="V581" i="2"/>
  <c r="Z580" i="2"/>
  <c r="Y580" i="2"/>
  <c r="X580" i="2"/>
  <c r="W580" i="2"/>
  <c r="V580" i="2"/>
  <c r="Z579" i="2"/>
  <c r="Y579" i="2"/>
  <c r="X579" i="2"/>
  <c r="W579" i="2"/>
  <c r="V579" i="2"/>
  <c r="Z578" i="2"/>
  <c r="Y578" i="2"/>
  <c r="X578" i="2"/>
  <c r="W578" i="2"/>
  <c r="V578" i="2"/>
  <c r="Z577" i="2"/>
  <c r="Y577" i="2"/>
  <c r="X577" i="2"/>
  <c r="W577" i="2"/>
  <c r="V577" i="2"/>
  <c r="Z576" i="2"/>
  <c r="Y576" i="2"/>
  <c r="X576" i="2"/>
  <c r="W576" i="2"/>
  <c r="V576" i="2"/>
  <c r="Z575" i="2"/>
  <c r="Y575" i="2"/>
  <c r="X575" i="2"/>
  <c r="W575" i="2"/>
  <c r="V575" i="2"/>
  <c r="Z574" i="2"/>
  <c r="Y574" i="2"/>
  <c r="X574" i="2"/>
  <c r="W574" i="2"/>
  <c r="V574" i="2"/>
  <c r="Z573" i="2"/>
  <c r="Y573" i="2"/>
  <c r="X573" i="2"/>
  <c r="W573" i="2"/>
  <c r="V573" i="2"/>
  <c r="Z572" i="2"/>
  <c r="Y572" i="2"/>
  <c r="X572" i="2"/>
  <c r="W572" i="2"/>
  <c r="V572" i="2"/>
  <c r="Z571" i="2"/>
  <c r="Y571" i="2"/>
  <c r="X571" i="2"/>
  <c r="W571" i="2"/>
  <c r="V571" i="2"/>
  <c r="Z570" i="2"/>
  <c r="Y570" i="2"/>
  <c r="X570" i="2"/>
  <c r="W570" i="2"/>
  <c r="V570" i="2"/>
  <c r="Z569" i="2"/>
  <c r="Y569" i="2"/>
  <c r="X569" i="2"/>
  <c r="W569" i="2"/>
  <c r="V569" i="2"/>
  <c r="Z568" i="2"/>
  <c r="Y568" i="2"/>
  <c r="X568" i="2"/>
  <c r="W568" i="2"/>
  <c r="V568" i="2"/>
  <c r="Z567" i="2"/>
  <c r="Y567" i="2"/>
  <c r="X567" i="2"/>
  <c r="W567" i="2"/>
  <c r="V567" i="2"/>
  <c r="Z566" i="2"/>
  <c r="Y566" i="2"/>
  <c r="X566" i="2"/>
  <c r="W566" i="2"/>
  <c r="V566" i="2"/>
  <c r="Z565" i="2"/>
  <c r="Y565" i="2"/>
  <c r="X565" i="2"/>
  <c r="W565" i="2"/>
  <c r="V565" i="2"/>
  <c r="Z564" i="2"/>
  <c r="Y564" i="2"/>
  <c r="X564" i="2"/>
  <c r="W564" i="2"/>
  <c r="V564" i="2"/>
  <c r="Z563" i="2"/>
  <c r="Y563" i="2"/>
  <c r="X563" i="2"/>
  <c r="W563" i="2"/>
  <c r="V563" i="2"/>
  <c r="Z562" i="2"/>
  <c r="Y562" i="2"/>
  <c r="X562" i="2"/>
  <c r="W562" i="2"/>
  <c r="V562" i="2"/>
  <c r="Z561" i="2"/>
  <c r="Y561" i="2"/>
  <c r="X561" i="2"/>
  <c r="W561" i="2"/>
  <c r="V561" i="2"/>
  <c r="Z560" i="2"/>
  <c r="Y560" i="2"/>
  <c r="X560" i="2"/>
  <c r="W560" i="2"/>
  <c r="V560" i="2"/>
  <c r="Z559" i="2"/>
  <c r="Y559" i="2"/>
  <c r="X559" i="2"/>
  <c r="W559" i="2"/>
  <c r="V559" i="2"/>
  <c r="Z558" i="2"/>
  <c r="Y558" i="2"/>
  <c r="X558" i="2"/>
  <c r="W558" i="2"/>
  <c r="V558" i="2"/>
  <c r="Z557" i="2"/>
  <c r="Y557" i="2"/>
  <c r="X557" i="2"/>
  <c r="W557" i="2"/>
  <c r="V557" i="2"/>
  <c r="Z556" i="2"/>
  <c r="Y556" i="2"/>
  <c r="X556" i="2"/>
  <c r="W556" i="2"/>
  <c r="V556" i="2"/>
  <c r="Z555" i="2"/>
  <c r="Y555" i="2"/>
  <c r="X555" i="2"/>
  <c r="W555" i="2"/>
  <c r="V555" i="2"/>
  <c r="Z554" i="2"/>
  <c r="Y554" i="2"/>
  <c r="X554" i="2"/>
  <c r="W554" i="2"/>
  <c r="V554" i="2"/>
  <c r="Z553" i="2"/>
  <c r="Y553" i="2"/>
  <c r="X553" i="2"/>
  <c r="W553" i="2"/>
  <c r="V553" i="2"/>
  <c r="Z552" i="2"/>
  <c r="Y552" i="2"/>
  <c r="X552" i="2"/>
  <c r="W552" i="2"/>
  <c r="V552" i="2"/>
  <c r="Z551" i="2"/>
  <c r="Y551" i="2"/>
  <c r="X551" i="2"/>
  <c r="W551" i="2"/>
  <c r="V551" i="2"/>
  <c r="Z550" i="2"/>
  <c r="Y550" i="2"/>
  <c r="X550" i="2"/>
  <c r="W550" i="2"/>
  <c r="V550" i="2"/>
  <c r="Z549" i="2"/>
  <c r="Y549" i="2"/>
  <c r="X549" i="2"/>
  <c r="W549" i="2"/>
  <c r="V549" i="2"/>
  <c r="Z548" i="2"/>
  <c r="Y548" i="2"/>
  <c r="X548" i="2"/>
  <c r="W548" i="2"/>
  <c r="V548" i="2"/>
  <c r="Z547" i="2"/>
  <c r="Y547" i="2"/>
  <c r="X547" i="2"/>
  <c r="W547" i="2"/>
  <c r="V547" i="2"/>
  <c r="Z546" i="2"/>
  <c r="Y546" i="2"/>
  <c r="X546" i="2"/>
  <c r="W546" i="2"/>
  <c r="V546" i="2"/>
  <c r="Z545" i="2"/>
  <c r="Y545" i="2"/>
  <c r="X545" i="2"/>
  <c r="W545" i="2"/>
  <c r="V545" i="2"/>
  <c r="Z544" i="2"/>
  <c r="Y544" i="2"/>
  <c r="X544" i="2"/>
  <c r="W544" i="2"/>
  <c r="V544" i="2"/>
  <c r="Z543" i="2"/>
  <c r="Y543" i="2"/>
  <c r="X543" i="2"/>
  <c r="W543" i="2"/>
  <c r="V543" i="2"/>
  <c r="Z542" i="2"/>
  <c r="Y542" i="2"/>
  <c r="X542" i="2"/>
  <c r="W542" i="2"/>
  <c r="V542" i="2"/>
  <c r="Z541" i="2"/>
  <c r="Y541" i="2"/>
  <c r="X541" i="2"/>
  <c r="W541" i="2"/>
  <c r="V541" i="2"/>
  <c r="Z540" i="2"/>
  <c r="Y540" i="2"/>
  <c r="X540" i="2"/>
  <c r="W540" i="2"/>
  <c r="V540" i="2"/>
  <c r="Z539" i="2"/>
  <c r="Y539" i="2"/>
  <c r="X539" i="2"/>
  <c r="W539" i="2"/>
  <c r="V539" i="2"/>
  <c r="Z538" i="2"/>
  <c r="Y538" i="2"/>
  <c r="X538" i="2"/>
  <c r="W538" i="2"/>
  <c r="V538" i="2"/>
  <c r="Z537" i="2"/>
  <c r="Y537" i="2"/>
  <c r="X537" i="2"/>
  <c r="W537" i="2"/>
  <c r="V537" i="2"/>
  <c r="Z536" i="2"/>
  <c r="Y536" i="2"/>
  <c r="X536" i="2"/>
  <c r="W536" i="2"/>
  <c r="V536" i="2"/>
  <c r="Z535" i="2"/>
  <c r="Y535" i="2"/>
  <c r="X535" i="2"/>
  <c r="W535" i="2"/>
  <c r="V535" i="2"/>
  <c r="Z534" i="2"/>
  <c r="Y534" i="2"/>
  <c r="X534" i="2"/>
  <c r="W534" i="2"/>
  <c r="V534" i="2"/>
  <c r="Z533" i="2"/>
  <c r="Y533" i="2"/>
  <c r="X533" i="2"/>
  <c r="W533" i="2"/>
  <c r="V533" i="2"/>
  <c r="Z532" i="2"/>
  <c r="Y532" i="2"/>
  <c r="X532" i="2"/>
  <c r="W532" i="2"/>
  <c r="V532" i="2"/>
  <c r="Z531" i="2"/>
  <c r="Y531" i="2"/>
  <c r="X531" i="2"/>
  <c r="W531" i="2"/>
  <c r="V531" i="2"/>
  <c r="Z530" i="2"/>
  <c r="Y530" i="2"/>
  <c r="X530" i="2"/>
  <c r="W530" i="2"/>
  <c r="V530" i="2"/>
  <c r="Z529" i="2"/>
  <c r="Y529" i="2"/>
  <c r="X529" i="2"/>
  <c r="W529" i="2"/>
  <c r="V529" i="2"/>
  <c r="Z528" i="2"/>
  <c r="Y528" i="2"/>
  <c r="X528" i="2"/>
  <c r="W528" i="2"/>
  <c r="V528" i="2"/>
  <c r="Z527" i="2"/>
  <c r="Y527" i="2"/>
  <c r="X527" i="2"/>
  <c r="W527" i="2"/>
  <c r="V527" i="2"/>
  <c r="Z526" i="2"/>
  <c r="Y526" i="2"/>
  <c r="X526" i="2"/>
  <c r="W526" i="2"/>
  <c r="V526" i="2"/>
  <c r="Z525" i="2"/>
  <c r="Y525" i="2"/>
  <c r="X525" i="2"/>
  <c r="W525" i="2"/>
  <c r="V525" i="2"/>
  <c r="Z524" i="2"/>
  <c r="Y524" i="2"/>
  <c r="X524" i="2"/>
  <c r="W524" i="2"/>
  <c r="V524" i="2"/>
  <c r="Z523" i="2"/>
  <c r="Y523" i="2"/>
  <c r="X523" i="2"/>
  <c r="W523" i="2"/>
  <c r="V523" i="2"/>
  <c r="Z522" i="2"/>
  <c r="Y522" i="2"/>
  <c r="X522" i="2"/>
  <c r="W522" i="2"/>
  <c r="V522" i="2"/>
  <c r="Z521" i="2"/>
  <c r="Y521" i="2"/>
  <c r="X521" i="2"/>
  <c r="W521" i="2"/>
  <c r="V521" i="2"/>
  <c r="Z520" i="2"/>
  <c r="Y520" i="2"/>
  <c r="X520" i="2"/>
  <c r="W520" i="2"/>
  <c r="V520" i="2"/>
  <c r="Z519" i="2"/>
  <c r="Y519" i="2"/>
  <c r="X519" i="2"/>
  <c r="W519" i="2"/>
  <c r="V519" i="2"/>
  <c r="Z518" i="2"/>
  <c r="Y518" i="2"/>
  <c r="X518" i="2"/>
  <c r="W518" i="2"/>
  <c r="V518" i="2"/>
  <c r="Z517" i="2"/>
  <c r="Y517" i="2"/>
  <c r="X517" i="2"/>
  <c r="W517" i="2"/>
  <c r="V517" i="2"/>
  <c r="Z516" i="2"/>
  <c r="Y516" i="2"/>
  <c r="X516" i="2"/>
  <c r="W516" i="2"/>
  <c r="V516" i="2"/>
  <c r="Z515" i="2"/>
  <c r="Y515" i="2"/>
  <c r="X515" i="2"/>
  <c r="W515" i="2"/>
  <c r="V515" i="2"/>
  <c r="Z514" i="2"/>
  <c r="Y514" i="2"/>
  <c r="X514" i="2"/>
  <c r="W514" i="2"/>
  <c r="V514" i="2"/>
  <c r="Z513" i="2"/>
  <c r="Y513" i="2"/>
  <c r="X513" i="2"/>
  <c r="W513" i="2"/>
  <c r="V513" i="2"/>
  <c r="Z512" i="2"/>
  <c r="Y512" i="2"/>
  <c r="X512" i="2"/>
  <c r="W512" i="2"/>
  <c r="V512" i="2"/>
  <c r="Z511" i="2"/>
  <c r="Y511" i="2"/>
  <c r="X511" i="2"/>
  <c r="W511" i="2"/>
  <c r="V511" i="2"/>
  <c r="Z510" i="2"/>
  <c r="Y510" i="2"/>
  <c r="X510" i="2"/>
  <c r="W510" i="2"/>
  <c r="V510" i="2"/>
  <c r="Z509" i="2"/>
  <c r="Y509" i="2"/>
  <c r="X509" i="2"/>
  <c r="W509" i="2"/>
  <c r="V509" i="2"/>
  <c r="Z508" i="2"/>
  <c r="Y508" i="2"/>
  <c r="X508" i="2"/>
  <c r="W508" i="2"/>
  <c r="V508" i="2"/>
  <c r="Z507" i="2"/>
  <c r="Y507" i="2"/>
  <c r="X507" i="2"/>
  <c r="W507" i="2"/>
  <c r="V507" i="2"/>
  <c r="Z506" i="2"/>
  <c r="Y506" i="2"/>
  <c r="X506" i="2"/>
  <c r="W506" i="2"/>
  <c r="V506" i="2"/>
  <c r="Z505" i="2"/>
  <c r="Y505" i="2"/>
  <c r="X505" i="2"/>
  <c r="W505" i="2"/>
  <c r="V505" i="2"/>
  <c r="Z504" i="2"/>
  <c r="Y504" i="2"/>
  <c r="X504" i="2"/>
  <c r="W504" i="2"/>
  <c r="V504" i="2"/>
  <c r="Z503" i="2"/>
  <c r="Y503" i="2"/>
  <c r="X503" i="2"/>
  <c r="W503" i="2"/>
  <c r="V503" i="2"/>
  <c r="Z502" i="2"/>
  <c r="Y502" i="2"/>
  <c r="X502" i="2"/>
  <c r="W502" i="2"/>
  <c r="V502" i="2"/>
  <c r="Z501" i="2"/>
  <c r="Y501" i="2"/>
  <c r="X501" i="2"/>
  <c r="W501" i="2"/>
  <c r="V501" i="2"/>
  <c r="Z500" i="2"/>
  <c r="Y500" i="2"/>
  <c r="X500" i="2"/>
  <c r="W500" i="2"/>
  <c r="V500" i="2"/>
  <c r="Z499" i="2"/>
  <c r="Y499" i="2"/>
  <c r="X499" i="2"/>
  <c r="W499" i="2"/>
  <c r="V499" i="2"/>
  <c r="Z498" i="2"/>
  <c r="Y498" i="2"/>
  <c r="X498" i="2"/>
  <c r="W498" i="2"/>
  <c r="V498" i="2"/>
  <c r="Z497" i="2"/>
  <c r="Y497" i="2"/>
  <c r="X497" i="2"/>
  <c r="W497" i="2"/>
  <c r="V497" i="2"/>
  <c r="Z496" i="2"/>
  <c r="Y496" i="2"/>
  <c r="X496" i="2"/>
  <c r="W496" i="2"/>
  <c r="V496" i="2"/>
  <c r="Z495" i="2"/>
  <c r="Y495" i="2"/>
  <c r="X495" i="2"/>
  <c r="W495" i="2"/>
  <c r="V495" i="2"/>
  <c r="Z494" i="2"/>
  <c r="Y494" i="2"/>
  <c r="X494" i="2"/>
  <c r="W494" i="2"/>
  <c r="V494" i="2"/>
  <c r="Z493" i="2"/>
  <c r="Y493" i="2"/>
  <c r="X493" i="2"/>
  <c r="W493" i="2"/>
  <c r="V493" i="2"/>
  <c r="Z492" i="2"/>
  <c r="Y492" i="2"/>
  <c r="X492" i="2"/>
  <c r="W492" i="2"/>
  <c r="V492" i="2"/>
  <c r="Z491" i="2"/>
  <c r="Y491" i="2"/>
  <c r="X491" i="2"/>
  <c r="W491" i="2"/>
  <c r="V491" i="2"/>
  <c r="Z490" i="2"/>
  <c r="Y490" i="2"/>
  <c r="X490" i="2"/>
  <c r="W490" i="2"/>
  <c r="V490" i="2"/>
  <c r="Z489" i="2"/>
  <c r="Y489" i="2"/>
  <c r="X489" i="2"/>
  <c r="W489" i="2"/>
  <c r="V489" i="2"/>
  <c r="Z488" i="2"/>
  <c r="Y488" i="2"/>
  <c r="X488" i="2"/>
  <c r="W488" i="2"/>
  <c r="V488" i="2"/>
  <c r="Z487" i="2"/>
  <c r="Y487" i="2"/>
  <c r="X487" i="2"/>
  <c r="W487" i="2"/>
  <c r="V487" i="2"/>
  <c r="Z486" i="2"/>
  <c r="Y486" i="2"/>
  <c r="X486" i="2"/>
  <c r="W486" i="2"/>
  <c r="V486" i="2"/>
  <c r="Z485" i="2"/>
  <c r="Y485" i="2"/>
  <c r="X485" i="2"/>
  <c r="W485" i="2"/>
  <c r="V485" i="2"/>
  <c r="Z484" i="2"/>
  <c r="Y484" i="2"/>
  <c r="X484" i="2"/>
  <c r="W484" i="2"/>
  <c r="V484" i="2"/>
  <c r="Z483" i="2"/>
  <c r="Y483" i="2"/>
  <c r="X483" i="2"/>
  <c r="W483" i="2"/>
  <c r="V483" i="2"/>
  <c r="Z482" i="2"/>
  <c r="Y482" i="2"/>
  <c r="X482" i="2"/>
  <c r="W482" i="2"/>
  <c r="V482" i="2"/>
  <c r="Z481" i="2"/>
  <c r="Y481" i="2"/>
  <c r="X481" i="2"/>
  <c r="W481" i="2"/>
  <c r="V481" i="2"/>
  <c r="Z480" i="2"/>
  <c r="Y480" i="2"/>
  <c r="X480" i="2"/>
  <c r="W480" i="2"/>
  <c r="V480" i="2"/>
  <c r="Z479" i="2"/>
  <c r="Y479" i="2"/>
  <c r="X479" i="2"/>
  <c r="W479" i="2"/>
  <c r="V479" i="2"/>
  <c r="Z478" i="2"/>
  <c r="Y478" i="2"/>
  <c r="X478" i="2"/>
  <c r="W478" i="2"/>
  <c r="V478" i="2"/>
  <c r="Z477" i="2"/>
  <c r="Y477" i="2"/>
  <c r="X477" i="2"/>
  <c r="W477" i="2"/>
  <c r="V477" i="2"/>
  <c r="Z476" i="2"/>
  <c r="Y476" i="2"/>
  <c r="X476" i="2"/>
  <c r="W476" i="2"/>
  <c r="V476" i="2"/>
  <c r="Z475" i="2"/>
  <c r="Y475" i="2"/>
  <c r="X475" i="2"/>
  <c r="W475" i="2"/>
  <c r="V475" i="2"/>
  <c r="Z474" i="2"/>
  <c r="Y474" i="2"/>
  <c r="X474" i="2"/>
  <c r="W474" i="2"/>
  <c r="V474" i="2"/>
  <c r="Z473" i="2"/>
  <c r="Y473" i="2"/>
  <c r="X473" i="2"/>
  <c r="W473" i="2"/>
  <c r="V473" i="2"/>
  <c r="Z472" i="2"/>
  <c r="Y472" i="2"/>
  <c r="X472" i="2"/>
  <c r="W472" i="2"/>
  <c r="V472" i="2"/>
  <c r="Z471" i="2"/>
  <c r="Y471" i="2"/>
  <c r="X471" i="2"/>
  <c r="W471" i="2"/>
  <c r="V471" i="2"/>
  <c r="Z470" i="2"/>
  <c r="Y470" i="2"/>
  <c r="X470" i="2"/>
  <c r="W470" i="2"/>
  <c r="V470" i="2"/>
  <c r="Z469" i="2"/>
  <c r="Y469" i="2"/>
  <c r="X469" i="2"/>
  <c r="W469" i="2"/>
  <c r="V469" i="2"/>
  <c r="Z468" i="2"/>
  <c r="Y468" i="2"/>
  <c r="X468" i="2"/>
  <c r="W468" i="2"/>
  <c r="V468" i="2"/>
  <c r="Z467" i="2"/>
  <c r="Y467" i="2"/>
  <c r="X467" i="2"/>
  <c r="W467" i="2"/>
  <c r="V467" i="2"/>
  <c r="Z466" i="2"/>
  <c r="Y466" i="2"/>
  <c r="X466" i="2"/>
  <c r="W466" i="2"/>
  <c r="V466" i="2"/>
  <c r="Z465" i="2"/>
  <c r="Y465" i="2"/>
  <c r="X465" i="2"/>
  <c r="W465" i="2"/>
  <c r="V465" i="2"/>
  <c r="Z464" i="2"/>
  <c r="Y464" i="2"/>
  <c r="X464" i="2"/>
  <c r="W464" i="2"/>
  <c r="V464" i="2"/>
  <c r="Z463" i="2"/>
  <c r="Y463" i="2"/>
  <c r="X463" i="2"/>
  <c r="W463" i="2"/>
  <c r="V463" i="2"/>
  <c r="Z462" i="2"/>
  <c r="Y462" i="2"/>
  <c r="X462" i="2"/>
  <c r="W462" i="2"/>
  <c r="V462" i="2"/>
  <c r="Z461" i="2"/>
  <c r="Y461" i="2"/>
  <c r="X461" i="2"/>
  <c r="W461" i="2"/>
  <c r="V461" i="2"/>
  <c r="Z460" i="2"/>
  <c r="Y460" i="2"/>
  <c r="X460" i="2"/>
  <c r="W460" i="2"/>
  <c r="V460" i="2"/>
  <c r="Z459" i="2"/>
  <c r="Y459" i="2"/>
  <c r="X459" i="2"/>
  <c r="W459" i="2"/>
  <c r="V459" i="2"/>
  <c r="Z458" i="2"/>
  <c r="Y458" i="2"/>
  <c r="X458" i="2"/>
  <c r="W458" i="2"/>
  <c r="V458" i="2"/>
  <c r="Z457" i="2"/>
  <c r="Y457" i="2"/>
  <c r="X457" i="2"/>
  <c r="W457" i="2"/>
  <c r="V457" i="2"/>
  <c r="Z456" i="2"/>
  <c r="Y456" i="2"/>
  <c r="X456" i="2"/>
  <c r="W456" i="2"/>
  <c r="V456" i="2"/>
  <c r="Z455" i="2"/>
  <c r="Y455" i="2"/>
  <c r="X455" i="2"/>
  <c r="W455" i="2"/>
  <c r="V455" i="2"/>
  <c r="Z454" i="2"/>
  <c r="Y454" i="2"/>
  <c r="X454" i="2"/>
  <c r="W454" i="2"/>
  <c r="V454" i="2"/>
  <c r="Z453" i="2"/>
  <c r="Y453" i="2"/>
  <c r="X453" i="2"/>
  <c r="W453" i="2"/>
  <c r="V453" i="2"/>
  <c r="Z452" i="2"/>
  <c r="Y452" i="2"/>
  <c r="X452" i="2"/>
  <c r="W452" i="2"/>
  <c r="V452" i="2"/>
  <c r="Z451" i="2"/>
  <c r="Y451" i="2"/>
  <c r="X451" i="2"/>
  <c r="W451" i="2"/>
  <c r="V451" i="2"/>
  <c r="Z450" i="2"/>
  <c r="Y450" i="2"/>
  <c r="X450" i="2"/>
  <c r="W450" i="2"/>
  <c r="V450" i="2"/>
  <c r="Z449" i="2"/>
  <c r="Y449" i="2"/>
  <c r="X449" i="2"/>
  <c r="W449" i="2"/>
  <c r="V449" i="2"/>
  <c r="Z448" i="2"/>
  <c r="Y448" i="2"/>
  <c r="X448" i="2"/>
  <c r="W448" i="2"/>
  <c r="V448" i="2"/>
  <c r="Z447" i="2"/>
  <c r="Y447" i="2"/>
  <c r="X447" i="2"/>
  <c r="W447" i="2"/>
  <c r="V447" i="2"/>
  <c r="Z446" i="2"/>
  <c r="Y446" i="2"/>
  <c r="X446" i="2"/>
  <c r="W446" i="2"/>
  <c r="V446" i="2"/>
  <c r="Z445" i="2"/>
  <c r="Y445" i="2"/>
  <c r="X445" i="2"/>
  <c r="W445" i="2"/>
  <c r="V445" i="2"/>
  <c r="Z444" i="2"/>
  <c r="Y444" i="2"/>
  <c r="X444" i="2"/>
  <c r="W444" i="2"/>
  <c r="V444" i="2"/>
  <c r="Z443" i="2"/>
  <c r="Y443" i="2"/>
  <c r="X443" i="2"/>
  <c r="W443" i="2"/>
  <c r="V443" i="2"/>
  <c r="Z442" i="2"/>
  <c r="Y442" i="2"/>
  <c r="X442" i="2"/>
  <c r="W442" i="2"/>
  <c r="V442" i="2"/>
  <c r="Z441" i="2"/>
  <c r="Y441" i="2"/>
  <c r="X441" i="2"/>
  <c r="W441" i="2"/>
  <c r="V441" i="2"/>
  <c r="Z440" i="2"/>
  <c r="Y440" i="2"/>
  <c r="X440" i="2"/>
  <c r="W440" i="2"/>
  <c r="V440" i="2"/>
  <c r="Z439" i="2"/>
  <c r="Y439" i="2"/>
  <c r="X439" i="2"/>
  <c r="W439" i="2"/>
  <c r="V439" i="2"/>
  <c r="Z438" i="2"/>
  <c r="Y438" i="2"/>
  <c r="X438" i="2"/>
  <c r="W438" i="2"/>
  <c r="V438" i="2"/>
  <c r="Z437" i="2"/>
  <c r="Y437" i="2"/>
  <c r="X437" i="2"/>
  <c r="W437" i="2"/>
  <c r="V437" i="2"/>
  <c r="Z436" i="2"/>
  <c r="Y436" i="2"/>
  <c r="X436" i="2"/>
  <c r="W436" i="2"/>
  <c r="V436" i="2"/>
  <c r="Z435" i="2"/>
  <c r="Y435" i="2"/>
  <c r="X435" i="2"/>
  <c r="W435" i="2"/>
  <c r="V435" i="2"/>
  <c r="Z434" i="2"/>
  <c r="Y434" i="2"/>
  <c r="X434" i="2"/>
  <c r="W434" i="2"/>
  <c r="V434" i="2"/>
  <c r="Z433" i="2"/>
  <c r="Y433" i="2"/>
  <c r="X433" i="2"/>
  <c r="W433" i="2"/>
  <c r="V433" i="2"/>
  <c r="Z432" i="2"/>
  <c r="Y432" i="2"/>
  <c r="X432" i="2"/>
  <c r="W432" i="2"/>
  <c r="V432" i="2"/>
  <c r="Z431" i="2"/>
  <c r="Y431" i="2"/>
  <c r="X431" i="2"/>
  <c r="W431" i="2"/>
  <c r="V431" i="2"/>
  <c r="Z430" i="2"/>
  <c r="Y430" i="2"/>
  <c r="X430" i="2"/>
  <c r="W430" i="2"/>
  <c r="V430" i="2"/>
  <c r="Z429" i="2"/>
  <c r="Y429" i="2"/>
  <c r="X429" i="2"/>
  <c r="W429" i="2"/>
  <c r="V429" i="2"/>
  <c r="Z428" i="2"/>
  <c r="Y428" i="2"/>
  <c r="X428" i="2"/>
  <c r="W428" i="2"/>
  <c r="V428" i="2"/>
  <c r="Z427" i="2"/>
  <c r="Y427" i="2"/>
  <c r="X427" i="2"/>
  <c r="W427" i="2"/>
  <c r="V427" i="2"/>
  <c r="Z426" i="2"/>
  <c r="Y426" i="2"/>
  <c r="X426" i="2"/>
  <c r="W426" i="2"/>
  <c r="V426" i="2"/>
  <c r="Z425" i="2"/>
  <c r="Y425" i="2"/>
  <c r="X425" i="2"/>
  <c r="W425" i="2"/>
  <c r="V425" i="2"/>
  <c r="Z424" i="2"/>
  <c r="Y424" i="2"/>
  <c r="X424" i="2"/>
  <c r="W424" i="2"/>
  <c r="V424" i="2"/>
  <c r="Z423" i="2"/>
  <c r="Y423" i="2"/>
  <c r="X423" i="2"/>
  <c r="W423" i="2"/>
  <c r="V423" i="2"/>
  <c r="Z422" i="2"/>
  <c r="Y422" i="2"/>
  <c r="X422" i="2"/>
  <c r="W422" i="2"/>
  <c r="V422" i="2"/>
  <c r="Z421" i="2"/>
  <c r="Y421" i="2"/>
  <c r="X421" i="2"/>
  <c r="W421" i="2"/>
  <c r="V421" i="2"/>
  <c r="Z420" i="2"/>
  <c r="Y420" i="2"/>
  <c r="X420" i="2"/>
  <c r="W420" i="2"/>
  <c r="V420" i="2"/>
  <c r="Z419" i="2"/>
  <c r="Y419" i="2"/>
  <c r="X419" i="2"/>
  <c r="W419" i="2"/>
  <c r="V419" i="2"/>
  <c r="Z418" i="2"/>
  <c r="Y418" i="2"/>
  <c r="X418" i="2"/>
  <c r="W418" i="2"/>
  <c r="V418" i="2"/>
  <c r="Z417" i="2"/>
  <c r="Y417" i="2"/>
  <c r="X417" i="2"/>
  <c r="W417" i="2"/>
  <c r="V417" i="2"/>
  <c r="Z416" i="2"/>
  <c r="Y416" i="2"/>
  <c r="X416" i="2"/>
  <c r="W416" i="2"/>
  <c r="V416" i="2"/>
  <c r="Z415" i="2"/>
  <c r="Y415" i="2"/>
  <c r="X415" i="2"/>
  <c r="W415" i="2"/>
  <c r="V415" i="2"/>
  <c r="Z414" i="2"/>
  <c r="Y414" i="2"/>
  <c r="X414" i="2"/>
  <c r="W414" i="2"/>
  <c r="V414" i="2"/>
  <c r="Z413" i="2"/>
  <c r="Y413" i="2"/>
  <c r="X413" i="2"/>
  <c r="W413" i="2"/>
  <c r="V413" i="2"/>
  <c r="Z412" i="2"/>
  <c r="Y412" i="2"/>
  <c r="X412" i="2"/>
  <c r="W412" i="2"/>
  <c r="V412" i="2"/>
  <c r="Z411" i="2"/>
  <c r="Y411" i="2"/>
  <c r="X411" i="2"/>
  <c r="W411" i="2"/>
  <c r="V411" i="2"/>
  <c r="Z410" i="2"/>
  <c r="Y410" i="2"/>
  <c r="X410" i="2"/>
  <c r="W410" i="2"/>
  <c r="V410" i="2"/>
  <c r="Z409" i="2"/>
  <c r="Y409" i="2"/>
  <c r="X409" i="2"/>
  <c r="W409" i="2"/>
  <c r="V409" i="2"/>
  <c r="Z408" i="2"/>
  <c r="Y408" i="2"/>
  <c r="X408" i="2"/>
  <c r="W408" i="2"/>
  <c r="V408" i="2"/>
  <c r="Z407" i="2"/>
  <c r="Y407" i="2"/>
  <c r="X407" i="2"/>
  <c r="W407" i="2"/>
  <c r="V407" i="2"/>
  <c r="Z406" i="2"/>
  <c r="Y406" i="2"/>
  <c r="X406" i="2"/>
  <c r="W406" i="2"/>
  <c r="V406" i="2"/>
  <c r="Z405" i="2"/>
  <c r="Y405" i="2"/>
  <c r="X405" i="2"/>
  <c r="W405" i="2"/>
  <c r="V405" i="2"/>
  <c r="Z404" i="2"/>
  <c r="Y404" i="2"/>
  <c r="X404" i="2"/>
  <c r="W404" i="2"/>
  <c r="V404" i="2"/>
  <c r="Z403" i="2"/>
  <c r="Y403" i="2"/>
  <c r="X403" i="2"/>
  <c r="W403" i="2"/>
  <c r="V403" i="2"/>
  <c r="Z402" i="2"/>
  <c r="Y402" i="2"/>
  <c r="X402" i="2"/>
  <c r="W402" i="2"/>
  <c r="V402" i="2"/>
  <c r="Z401" i="2"/>
  <c r="Y401" i="2"/>
  <c r="X401" i="2"/>
  <c r="W401" i="2"/>
  <c r="V401" i="2"/>
  <c r="Z400" i="2"/>
  <c r="Y400" i="2"/>
  <c r="X400" i="2"/>
  <c r="W400" i="2"/>
  <c r="V400" i="2"/>
  <c r="Z399" i="2"/>
  <c r="Y399" i="2"/>
  <c r="X399" i="2"/>
  <c r="W399" i="2"/>
  <c r="V399" i="2"/>
  <c r="Z398" i="2"/>
  <c r="Y398" i="2"/>
  <c r="X398" i="2"/>
  <c r="W398" i="2"/>
  <c r="V398" i="2"/>
  <c r="Z397" i="2"/>
  <c r="Y397" i="2"/>
  <c r="X397" i="2"/>
  <c r="W397" i="2"/>
  <c r="V397" i="2"/>
  <c r="Z396" i="2"/>
  <c r="Y396" i="2"/>
  <c r="X396" i="2"/>
  <c r="W396" i="2"/>
  <c r="V396" i="2"/>
  <c r="Z395" i="2"/>
  <c r="Y395" i="2"/>
  <c r="X395" i="2"/>
  <c r="W395" i="2"/>
  <c r="V395" i="2"/>
  <c r="Z394" i="2"/>
  <c r="Y394" i="2"/>
  <c r="X394" i="2"/>
  <c r="W394" i="2"/>
  <c r="V394" i="2"/>
  <c r="Z393" i="2"/>
  <c r="Y393" i="2"/>
  <c r="X393" i="2"/>
  <c r="W393" i="2"/>
  <c r="V393" i="2"/>
  <c r="Z392" i="2"/>
  <c r="Y392" i="2"/>
  <c r="X392" i="2"/>
  <c r="W392" i="2"/>
  <c r="V392" i="2"/>
  <c r="Z391" i="2"/>
  <c r="Y391" i="2"/>
  <c r="X391" i="2"/>
  <c r="W391" i="2"/>
  <c r="V391" i="2"/>
  <c r="Z390" i="2"/>
  <c r="Y390" i="2"/>
  <c r="X390" i="2"/>
  <c r="W390" i="2"/>
  <c r="V390" i="2"/>
  <c r="Z389" i="2"/>
  <c r="Y389" i="2"/>
  <c r="X389" i="2"/>
  <c r="W389" i="2"/>
  <c r="V389" i="2"/>
  <c r="Z388" i="2"/>
  <c r="Y388" i="2"/>
  <c r="X388" i="2"/>
  <c r="W388" i="2"/>
  <c r="V388" i="2"/>
  <c r="Z387" i="2"/>
  <c r="Y387" i="2"/>
  <c r="X387" i="2"/>
  <c r="W387" i="2"/>
  <c r="V387" i="2"/>
  <c r="Z386" i="2"/>
  <c r="Y386" i="2"/>
  <c r="X386" i="2"/>
  <c r="W386" i="2"/>
  <c r="V386" i="2"/>
  <c r="Z385" i="2"/>
  <c r="Y385" i="2"/>
  <c r="X385" i="2"/>
  <c r="W385" i="2"/>
  <c r="V385" i="2"/>
  <c r="Z384" i="2"/>
  <c r="Y384" i="2"/>
  <c r="X384" i="2"/>
  <c r="W384" i="2"/>
  <c r="V384" i="2"/>
  <c r="Z383" i="2"/>
  <c r="Y383" i="2"/>
  <c r="X383" i="2"/>
  <c r="W383" i="2"/>
  <c r="V383" i="2"/>
  <c r="Z382" i="2"/>
  <c r="Y382" i="2"/>
  <c r="X382" i="2"/>
  <c r="W382" i="2"/>
  <c r="V382" i="2"/>
  <c r="Z381" i="2"/>
  <c r="Y381" i="2"/>
  <c r="X381" i="2"/>
  <c r="W381" i="2"/>
  <c r="V381" i="2"/>
  <c r="Z380" i="2"/>
  <c r="Y380" i="2"/>
  <c r="X380" i="2"/>
  <c r="W380" i="2"/>
  <c r="V380" i="2"/>
  <c r="Z379" i="2"/>
  <c r="Y379" i="2"/>
  <c r="X379" i="2"/>
  <c r="W379" i="2"/>
  <c r="V379" i="2"/>
  <c r="Z378" i="2"/>
  <c r="Y378" i="2"/>
  <c r="X378" i="2"/>
  <c r="W378" i="2"/>
  <c r="V378" i="2"/>
  <c r="Z377" i="2"/>
  <c r="Y377" i="2"/>
  <c r="X377" i="2"/>
  <c r="W377" i="2"/>
  <c r="V377" i="2"/>
  <c r="Z376" i="2"/>
  <c r="Y376" i="2"/>
  <c r="X376" i="2"/>
  <c r="W376" i="2"/>
  <c r="V376" i="2"/>
  <c r="Z375" i="2"/>
  <c r="Y375" i="2"/>
  <c r="X375" i="2"/>
  <c r="W375" i="2"/>
  <c r="V375" i="2"/>
  <c r="Z374" i="2"/>
  <c r="Y374" i="2"/>
  <c r="X374" i="2"/>
  <c r="W374" i="2"/>
  <c r="V374" i="2"/>
  <c r="Z373" i="2"/>
  <c r="Y373" i="2"/>
  <c r="X373" i="2"/>
  <c r="W373" i="2"/>
  <c r="V373" i="2"/>
  <c r="Z372" i="2"/>
  <c r="Y372" i="2"/>
  <c r="X372" i="2"/>
  <c r="W372" i="2"/>
  <c r="V372" i="2"/>
  <c r="Z371" i="2"/>
  <c r="Y371" i="2"/>
  <c r="X371" i="2"/>
  <c r="W371" i="2"/>
  <c r="V371" i="2"/>
  <c r="Z370" i="2"/>
  <c r="Y370" i="2"/>
  <c r="X370" i="2"/>
  <c r="W370" i="2"/>
  <c r="V370" i="2"/>
  <c r="Z369" i="2"/>
  <c r="Y369" i="2"/>
  <c r="X369" i="2"/>
  <c r="W369" i="2"/>
  <c r="V369" i="2"/>
  <c r="Z368" i="2"/>
  <c r="Y368" i="2"/>
  <c r="X368" i="2"/>
  <c r="W368" i="2"/>
  <c r="V368" i="2"/>
  <c r="Z367" i="2"/>
  <c r="Y367" i="2"/>
  <c r="X367" i="2"/>
  <c r="W367" i="2"/>
  <c r="V367" i="2"/>
  <c r="Z366" i="2"/>
  <c r="Y366" i="2"/>
  <c r="X366" i="2"/>
  <c r="W366" i="2"/>
  <c r="V366" i="2"/>
  <c r="Z365" i="2"/>
  <c r="Y365" i="2"/>
  <c r="X365" i="2"/>
  <c r="W365" i="2"/>
  <c r="V365" i="2"/>
  <c r="Z364" i="2"/>
  <c r="Y364" i="2"/>
  <c r="X364" i="2"/>
  <c r="W364" i="2"/>
  <c r="V364" i="2"/>
  <c r="Z363" i="2"/>
  <c r="Y363" i="2"/>
  <c r="X363" i="2"/>
  <c r="W363" i="2"/>
  <c r="V363" i="2"/>
  <c r="Z362" i="2"/>
  <c r="Y362" i="2"/>
  <c r="X362" i="2"/>
  <c r="W362" i="2"/>
  <c r="V362" i="2"/>
  <c r="Z361" i="2"/>
  <c r="Y361" i="2"/>
  <c r="X361" i="2"/>
  <c r="W361" i="2"/>
  <c r="V361" i="2"/>
  <c r="Z360" i="2"/>
  <c r="Y360" i="2"/>
  <c r="X360" i="2"/>
  <c r="W360" i="2"/>
  <c r="V360" i="2"/>
  <c r="Z359" i="2"/>
  <c r="Y359" i="2"/>
  <c r="X359" i="2"/>
  <c r="W359" i="2"/>
  <c r="V359" i="2"/>
  <c r="Z358" i="2"/>
  <c r="Y358" i="2"/>
  <c r="X358" i="2"/>
  <c r="W358" i="2"/>
  <c r="V358" i="2"/>
  <c r="Z357" i="2"/>
  <c r="Y357" i="2"/>
  <c r="X357" i="2"/>
  <c r="W357" i="2"/>
  <c r="V357" i="2"/>
  <c r="Z356" i="2"/>
  <c r="Y356" i="2"/>
  <c r="X356" i="2"/>
  <c r="W356" i="2"/>
  <c r="V356" i="2"/>
  <c r="Z355" i="2"/>
  <c r="Y355" i="2"/>
  <c r="X355" i="2"/>
  <c r="W355" i="2"/>
  <c r="V355" i="2"/>
  <c r="Z354" i="2"/>
  <c r="Y354" i="2"/>
  <c r="X354" i="2"/>
  <c r="W354" i="2"/>
  <c r="V354" i="2"/>
  <c r="Z353" i="2"/>
  <c r="Y353" i="2"/>
  <c r="X353" i="2"/>
  <c r="W353" i="2"/>
  <c r="V353" i="2"/>
  <c r="Z352" i="2"/>
  <c r="Y352" i="2"/>
  <c r="X352" i="2"/>
  <c r="W352" i="2"/>
  <c r="V352" i="2"/>
  <c r="Z351" i="2"/>
  <c r="Y351" i="2"/>
  <c r="X351" i="2"/>
  <c r="W351" i="2"/>
  <c r="V351" i="2"/>
  <c r="Z350" i="2"/>
  <c r="Y350" i="2"/>
  <c r="X350" i="2"/>
  <c r="W350" i="2"/>
  <c r="V350" i="2"/>
  <c r="Z349" i="2"/>
  <c r="Y349" i="2"/>
  <c r="X349" i="2"/>
  <c r="W349" i="2"/>
  <c r="V349" i="2"/>
  <c r="Z348" i="2"/>
  <c r="Y348" i="2"/>
  <c r="X348" i="2"/>
  <c r="W348" i="2"/>
  <c r="V348" i="2"/>
  <c r="Z347" i="2"/>
  <c r="Y347" i="2"/>
  <c r="X347" i="2"/>
  <c r="W347" i="2"/>
  <c r="V347" i="2"/>
  <c r="Z346" i="2"/>
  <c r="Y346" i="2"/>
  <c r="X346" i="2"/>
  <c r="W346" i="2"/>
  <c r="V346" i="2"/>
  <c r="Z345" i="2"/>
  <c r="Y345" i="2"/>
  <c r="X345" i="2"/>
  <c r="W345" i="2"/>
  <c r="V345" i="2"/>
  <c r="Z344" i="2"/>
  <c r="Y344" i="2"/>
  <c r="X344" i="2"/>
  <c r="W344" i="2"/>
  <c r="V344" i="2"/>
  <c r="Z343" i="2"/>
  <c r="Y343" i="2"/>
  <c r="X343" i="2"/>
  <c r="W343" i="2"/>
  <c r="V343" i="2"/>
  <c r="Z342" i="2"/>
  <c r="Y342" i="2"/>
  <c r="X342" i="2"/>
  <c r="W342" i="2"/>
  <c r="V342" i="2"/>
  <c r="Z341" i="2"/>
  <c r="Y341" i="2"/>
  <c r="X341" i="2"/>
  <c r="W341" i="2"/>
  <c r="V341" i="2"/>
  <c r="Z340" i="2"/>
  <c r="Y340" i="2"/>
  <c r="X340" i="2"/>
  <c r="W340" i="2"/>
  <c r="V340" i="2"/>
  <c r="Z339" i="2"/>
  <c r="Y339" i="2"/>
  <c r="X339" i="2"/>
  <c r="W339" i="2"/>
  <c r="V339" i="2"/>
  <c r="Z338" i="2"/>
  <c r="Y338" i="2"/>
  <c r="X338" i="2"/>
  <c r="W338" i="2"/>
  <c r="V338" i="2"/>
  <c r="Z337" i="2"/>
  <c r="Y337" i="2"/>
  <c r="X337" i="2"/>
  <c r="W337" i="2"/>
  <c r="V337" i="2"/>
  <c r="Z336" i="2"/>
  <c r="Y336" i="2"/>
  <c r="X336" i="2"/>
  <c r="W336" i="2"/>
  <c r="V336" i="2"/>
  <c r="Z335" i="2"/>
  <c r="Y335" i="2"/>
  <c r="X335" i="2"/>
  <c r="W335" i="2"/>
  <c r="V335" i="2"/>
  <c r="Z334" i="2"/>
  <c r="Y334" i="2"/>
  <c r="X334" i="2"/>
  <c r="W334" i="2"/>
  <c r="V334" i="2"/>
  <c r="Z333" i="2"/>
  <c r="Y333" i="2"/>
  <c r="X333" i="2"/>
  <c r="W333" i="2"/>
  <c r="V333" i="2"/>
  <c r="Z332" i="2"/>
  <c r="Y332" i="2"/>
  <c r="X332" i="2"/>
  <c r="W332" i="2"/>
  <c r="V332" i="2"/>
  <c r="Z331" i="2"/>
  <c r="Y331" i="2"/>
  <c r="X331" i="2"/>
  <c r="W331" i="2"/>
  <c r="V331" i="2"/>
  <c r="Z330" i="2"/>
  <c r="Y330" i="2"/>
  <c r="X330" i="2"/>
  <c r="W330" i="2"/>
  <c r="V330" i="2"/>
  <c r="Z329" i="2"/>
  <c r="Y329" i="2"/>
  <c r="X329" i="2"/>
  <c r="W329" i="2"/>
  <c r="V329" i="2"/>
  <c r="Z328" i="2"/>
  <c r="Y328" i="2"/>
  <c r="X328" i="2"/>
  <c r="W328" i="2"/>
  <c r="V328" i="2"/>
  <c r="Z327" i="2"/>
  <c r="Y327" i="2"/>
  <c r="X327" i="2"/>
  <c r="W327" i="2"/>
  <c r="V327" i="2"/>
  <c r="Z326" i="2"/>
  <c r="Y326" i="2"/>
  <c r="X326" i="2"/>
  <c r="W326" i="2"/>
  <c r="V326" i="2"/>
  <c r="Z325" i="2"/>
  <c r="Y325" i="2"/>
  <c r="X325" i="2"/>
  <c r="W325" i="2"/>
  <c r="V325" i="2"/>
  <c r="Z324" i="2"/>
  <c r="Y324" i="2"/>
  <c r="X324" i="2"/>
  <c r="W324" i="2"/>
  <c r="V324" i="2"/>
  <c r="Z323" i="2"/>
  <c r="Y323" i="2"/>
  <c r="X323" i="2"/>
  <c r="W323" i="2"/>
  <c r="V323" i="2"/>
  <c r="Z322" i="2"/>
  <c r="Y322" i="2"/>
  <c r="X322" i="2"/>
  <c r="W322" i="2"/>
  <c r="V322" i="2"/>
  <c r="Z321" i="2"/>
  <c r="Y321" i="2"/>
  <c r="X321" i="2"/>
  <c r="W321" i="2"/>
  <c r="V321" i="2"/>
  <c r="Z320" i="2"/>
  <c r="Y320" i="2"/>
  <c r="X320" i="2"/>
  <c r="W320" i="2"/>
  <c r="V320" i="2"/>
  <c r="Z319" i="2"/>
  <c r="Y319" i="2"/>
  <c r="X319" i="2"/>
  <c r="W319" i="2"/>
  <c r="V319" i="2"/>
  <c r="Z318" i="2"/>
  <c r="Y318" i="2"/>
  <c r="X318" i="2"/>
  <c r="W318" i="2"/>
  <c r="V318" i="2"/>
  <c r="Z317" i="2"/>
  <c r="Y317" i="2"/>
  <c r="X317" i="2"/>
  <c r="W317" i="2"/>
  <c r="V317" i="2"/>
  <c r="Z316" i="2"/>
  <c r="Y316" i="2"/>
  <c r="X316" i="2"/>
  <c r="W316" i="2"/>
  <c r="V316" i="2"/>
  <c r="Z315" i="2"/>
  <c r="Y315" i="2"/>
  <c r="X315" i="2"/>
  <c r="W315" i="2"/>
  <c r="V315" i="2"/>
  <c r="Z314" i="2"/>
  <c r="Y314" i="2"/>
  <c r="X314" i="2"/>
  <c r="W314" i="2"/>
  <c r="V314" i="2"/>
  <c r="Z313" i="2"/>
  <c r="Y313" i="2"/>
  <c r="X313" i="2"/>
  <c r="W313" i="2"/>
  <c r="V313" i="2"/>
  <c r="Z312" i="2"/>
  <c r="Y312" i="2"/>
  <c r="X312" i="2"/>
  <c r="W312" i="2"/>
  <c r="V312" i="2"/>
  <c r="Z311" i="2"/>
  <c r="Y311" i="2"/>
  <c r="X311" i="2"/>
  <c r="W311" i="2"/>
  <c r="V311" i="2"/>
  <c r="Z310" i="2"/>
  <c r="Y310" i="2"/>
  <c r="X310" i="2"/>
  <c r="W310" i="2"/>
  <c r="V310" i="2"/>
  <c r="Z309" i="2"/>
  <c r="Y309" i="2"/>
  <c r="X309" i="2"/>
  <c r="W309" i="2"/>
  <c r="V309" i="2"/>
  <c r="Z308" i="2"/>
  <c r="Y308" i="2"/>
  <c r="X308" i="2"/>
  <c r="W308" i="2"/>
  <c r="V308" i="2"/>
  <c r="Z307" i="2"/>
  <c r="Y307" i="2"/>
  <c r="X307" i="2"/>
  <c r="W307" i="2"/>
  <c r="V307" i="2"/>
  <c r="Z306" i="2"/>
  <c r="Y306" i="2"/>
  <c r="X306" i="2"/>
  <c r="W306" i="2"/>
  <c r="V306" i="2"/>
  <c r="Z305" i="2"/>
  <c r="Y305" i="2"/>
  <c r="X305" i="2"/>
  <c r="W305" i="2"/>
  <c r="V305" i="2"/>
  <c r="Z304" i="2"/>
  <c r="Y304" i="2"/>
  <c r="X304" i="2"/>
  <c r="W304" i="2"/>
  <c r="V304" i="2"/>
  <c r="Z303" i="2"/>
  <c r="Y303" i="2"/>
  <c r="X303" i="2"/>
  <c r="W303" i="2"/>
  <c r="V303" i="2"/>
  <c r="Z302" i="2"/>
  <c r="Y302" i="2"/>
  <c r="X302" i="2"/>
  <c r="W302" i="2"/>
  <c r="V302" i="2"/>
  <c r="Z301" i="2"/>
  <c r="Y301" i="2"/>
  <c r="X301" i="2"/>
  <c r="W301" i="2"/>
  <c r="V301" i="2"/>
  <c r="Z300" i="2"/>
  <c r="Y300" i="2"/>
  <c r="X300" i="2"/>
  <c r="W300" i="2"/>
  <c r="V300" i="2"/>
  <c r="Z299" i="2"/>
  <c r="Y299" i="2"/>
  <c r="X299" i="2"/>
  <c r="W299" i="2"/>
  <c r="V299" i="2"/>
  <c r="Z298" i="2"/>
  <c r="Y298" i="2"/>
  <c r="X298" i="2"/>
  <c r="W298" i="2"/>
  <c r="V298" i="2"/>
  <c r="Z297" i="2"/>
  <c r="Y297" i="2"/>
  <c r="X297" i="2"/>
  <c r="W297" i="2"/>
  <c r="V297" i="2"/>
  <c r="Z296" i="2"/>
  <c r="Y296" i="2"/>
  <c r="X296" i="2"/>
  <c r="W296" i="2"/>
  <c r="V296" i="2"/>
  <c r="Z295" i="2"/>
  <c r="Y295" i="2"/>
  <c r="X295" i="2"/>
  <c r="W295" i="2"/>
  <c r="V295" i="2"/>
  <c r="Z294" i="2"/>
  <c r="Y294" i="2"/>
  <c r="X294" i="2"/>
  <c r="W294" i="2"/>
  <c r="V294" i="2"/>
  <c r="Z293" i="2"/>
  <c r="Y293" i="2"/>
  <c r="X293" i="2"/>
  <c r="W293" i="2"/>
  <c r="V293" i="2"/>
  <c r="Z292" i="2"/>
  <c r="Y292" i="2"/>
  <c r="X292" i="2"/>
  <c r="W292" i="2"/>
  <c r="V292" i="2"/>
  <c r="Z291" i="2"/>
  <c r="Y291" i="2"/>
  <c r="X291" i="2"/>
  <c r="W291" i="2"/>
  <c r="V291" i="2"/>
  <c r="Z290" i="2"/>
  <c r="Y290" i="2"/>
  <c r="X290" i="2"/>
  <c r="W290" i="2"/>
  <c r="V290" i="2"/>
  <c r="Z289" i="2"/>
  <c r="Y289" i="2"/>
  <c r="X289" i="2"/>
  <c r="W289" i="2"/>
  <c r="V289" i="2"/>
  <c r="Z288" i="2"/>
  <c r="Y288" i="2"/>
  <c r="X288" i="2"/>
  <c r="W288" i="2"/>
  <c r="V288" i="2"/>
  <c r="Z287" i="2"/>
  <c r="Y287" i="2"/>
  <c r="X287" i="2"/>
  <c r="W287" i="2"/>
  <c r="V287" i="2"/>
  <c r="Z286" i="2"/>
  <c r="Y286" i="2"/>
  <c r="X286" i="2"/>
  <c r="W286" i="2"/>
  <c r="V286" i="2"/>
  <c r="Z285" i="2"/>
  <c r="Y285" i="2"/>
  <c r="X285" i="2"/>
  <c r="W285" i="2"/>
  <c r="V285" i="2"/>
  <c r="Z284" i="2"/>
  <c r="Y284" i="2"/>
  <c r="X284" i="2"/>
  <c r="W284" i="2"/>
  <c r="V284" i="2"/>
  <c r="Z283" i="2"/>
  <c r="Y283" i="2"/>
  <c r="X283" i="2"/>
  <c r="W283" i="2"/>
  <c r="V283" i="2"/>
  <c r="Z282" i="2"/>
  <c r="Y282" i="2"/>
  <c r="X282" i="2"/>
  <c r="W282" i="2"/>
  <c r="V282" i="2"/>
  <c r="Z281" i="2"/>
  <c r="Y281" i="2"/>
  <c r="X281" i="2"/>
  <c r="W281" i="2"/>
  <c r="V281" i="2"/>
  <c r="Z280" i="2"/>
  <c r="Y280" i="2"/>
  <c r="X280" i="2"/>
  <c r="W280" i="2"/>
  <c r="V280" i="2"/>
  <c r="Z279" i="2"/>
  <c r="Y279" i="2"/>
  <c r="X279" i="2"/>
  <c r="W279" i="2"/>
  <c r="V279" i="2"/>
  <c r="Z278" i="2"/>
  <c r="Y278" i="2"/>
  <c r="X278" i="2"/>
  <c r="W278" i="2"/>
  <c r="V278" i="2"/>
  <c r="Z277" i="2"/>
  <c r="Y277" i="2"/>
  <c r="X277" i="2"/>
  <c r="W277" i="2"/>
  <c r="V277" i="2"/>
  <c r="Z276" i="2"/>
  <c r="Y276" i="2"/>
  <c r="X276" i="2"/>
  <c r="W276" i="2"/>
  <c r="V276" i="2"/>
  <c r="Z275" i="2"/>
  <c r="Y275" i="2"/>
  <c r="X275" i="2"/>
  <c r="W275" i="2"/>
  <c r="V275" i="2"/>
  <c r="Z274" i="2"/>
  <c r="Y274" i="2"/>
  <c r="X274" i="2"/>
  <c r="W274" i="2"/>
  <c r="V274" i="2"/>
  <c r="Z273" i="2"/>
  <c r="Y273" i="2"/>
  <c r="X273" i="2"/>
  <c r="W273" i="2"/>
  <c r="V273" i="2"/>
  <c r="Z272" i="2"/>
  <c r="Y272" i="2"/>
  <c r="X272" i="2"/>
  <c r="W272" i="2"/>
  <c r="V272" i="2"/>
  <c r="Z271" i="2"/>
  <c r="Y271" i="2"/>
  <c r="X271" i="2"/>
  <c r="W271" i="2"/>
  <c r="V271" i="2"/>
  <c r="Z270" i="2"/>
  <c r="Y270" i="2"/>
  <c r="X270" i="2"/>
  <c r="W270" i="2"/>
  <c r="V270" i="2"/>
  <c r="Z269" i="2"/>
  <c r="Y269" i="2"/>
  <c r="X269" i="2"/>
  <c r="W269" i="2"/>
  <c r="V269" i="2"/>
  <c r="Z268" i="2"/>
  <c r="Y268" i="2"/>
  <c r="X268" i="2"/>
  <c r="W268" i="2"/>
  <c r="V268" i="2"/>
  <c r="Z267" i="2"/>
  <c r="Y267" i="2"/>
  <c r="X267" i="2"/>
  <c r="W267" i="2"/>
  <c r="V267" i="2"/>
  <c r="Z266" i="2"/>
  <c r="Y266" i="2"/>
  <c r="X266" i="2"/>
  <c r="W266" i="2"/>
  <c r="V266" i="2"/>
  <c r="Z265" i="2"/>
  <c r="Y265" i="2"/>
  <c r="X265" i="2"/>
  <c r="W265" i="2"/>
  <c r="V265" i="2"/>
  <c r="Z264" i="2"/>
  <c r="Y264" i="2"/>
  <c r="X264" i="2"/>
  <c r="W264" i="2"/>
  <c r="V264" i="2"/>
  <c r="Z263" i="2"/>
  <c r="Y263" i="2"/>
  <c r="X263" i="2"/>
  <c r="W263" i="2"/>
  <c r="V263" i="2"/>
  <c r="Z262" i="2"/>
  <c r="Y262" i="2"/>
  <c r="X262" i="2"/>
  <c r="W262" i="2"/>
  <c r="V262" i="2"/>
  <c r="Z261" i="2"/>
  <c r="Y261" i="2"/>
  <c r="X261" i="2"/>
  <c r="W261" i="2"/>
  <c r="V261" i="2"/>
  <c r="Z260" i="2"/>
  <c r="Y260" i="2"/>
  <c r="X260" i="2"/>
  <c r="W260" i="2"/>
  <c r="V260" i="2"/>
  <c r="Z259" i="2"/>
  <c r="Y259" i="2"/>
  <c r="X259" i="2"/>
  <c r="W259" i="2"/>
  <c r="V259" i="2"/>
  <c r="Z258" i="2"/>
  <c r="Y258" i="2"/>
  <c r="X258" i="2"/>
  <c r="W258" i="2"/>
  <c r="V258" i="2"/>
  <c r="Z257" i="2"/>
  <c r="Y257" i="2"/>
  <c r="X257" i="2"/>
  <c r="W257" i="2"/>
  <c r="V257" i="2"/>
  <c r="Z256" i="2"/>
  <c r="Y256" i="2"/>
  <c r="X256" i="2"/>
  <c r="W256" i="2"/>
  <c r="V256" i="2"/>
  <c r="Z255" i="2"/>
  <c r="Y255" i="2"/>
  <c r="X255" i="2"/>
  <c r="W255" i="2"/>
  <c r="V255" i="2"/>
  <c r="Z254" i="2"/>
  <c r="Y254" i="2"/>
  <c r="X254" i="2"/>
  <c r="W254" i="2"/>
  <c r="V254" i="2"/>
  <c r="Z253" i="2"/>
  <c r="Y253" i="2"/>
  <c r="X253" i="2"/>
  <c r="W253" i="2"/>
  <c r="V253" i="2"/>
  <c r="Z252" i="2"/>
  <c r="Y252" i="2"/>
  <c r="X252" i="2"/>
  <c r="W252" i="2"/>
  <c r="V252" i="2"/>
  <c r="Z251" i="2"/>
  <c r="Y251" i="2"/>
  <c r="X251" i="2"/>
  <c r="W251" i="2"/>
  <c r="V251" i="2"/>
  <c r="Z250" i="2"/>
  <c r="Y250" i="2"/>
  <c r="X250" i="2"/>
  <c r="W250" i="2"/>
  <c r="V250" i="2"/>
  <c r="Z249" i="2"/>
  <c r="Y249" i="2"/>
  <c r="X249" i="2"/>
  <c r="W249" i="2"/>
  <c r="V249" i="2"/>
  <c r="Z248" i="2"/>
  <c r="Y248" i="2"/>
  <c r="X248" i="2"/>
  <c r="W248" i="2"/>
  <c r="V248" i="2"/>
  <c r="Z247" i="2"/>
  <c r="Y247" i="2"/>
  <c r="X247" i="2"/>
  <c r="W247" i="2"/>
  <c r="V247" i="2"/>
  <c r="Z246" i="2"/>
  <c r="Y246" i="2"/>
  <c r="X246" i="2"/>
  <c r="W246" i="2"/>
  <c r="V246" i="2"/>
  <c r="Z245" i="2"/>
  <c r="Y245" i="2"/>
  <c r="X245" i="2"/>
  <c r="W245" i="2"/>
  <c r="V245" i="2"/>
  <c r="Z244" i="2"/>
  <c r="Y244" i="2"/>
  <c r="X244" i="2"/>
  <c r="W244" i="2"/>
  <c r="V244" i="2"/>
  <c r="Z243" i="2"/>
  <c r="Y243" i="2"/>
  <c r="X243" i="2"/>
  <c r="W243" i="2"/>
  <c r="V243" i="2"/>
  <c r="Z242" i="2"/>
  <c r="Y242" i="2"/>
  <c r="X242" i="2"/>
  <c r="W242" i="2"/>
  <c r="V242" i="2"/>
  <c r="Z241" i="2"/>
  <c r="Y241" i="2"/>
  <c r="X241" i="2"/>
  <c r="W241" i="2"/>
  <c r="V241" i="2"/>
  <c r="Z240" i="2"/>
  <c r="Y240" i="2"/>
  <c r="X240" i="2"/>
  <c r="W240" i="2"/>
  <c r="V240" i="2"/>
  <c r="Z239" i="2"/>
  <c r="Y239" i="2"/>
  <c r="X239" i="2"/>
  <c r="W239" i="2"/>
  <c r="V239" i="2"/>
  <c r="Z238" i="2"/>
  <c r="Y238" i="2"/>
  <c r="X238" i="2"/>
  <c r="W238" i="2"/>
  <c r="V238" i="2"/>
  <c r="Z237" i="2"/>
  <c r="Y237" i="2"/>
  <c r="X237" i="2"/>
  <c r="W237" i="2"/>
  <c r="V237" i="2"/>
  <c r="Z236" i="2"/>
  <c r="Y236" i="2"/>
  <c r="X236" i="2"/>
  <c r="W236" i="2"/>
  <c r="V236" i="2"/>
  <c r="Z235" i="2"/>
  <c r="Y235" i="2"/>
  <c r="X235" i="2"/>
  <c r="W235" i="2"/>
  <c r="V235" i="2"/>
  <c r="Z234" i="2"/>
  <c r="Y234" i="2"/>
  <c r="X234" i="2"/>
  <c r="W234" i="2"/>
  <c r="V234" i="2"/>
  <c r="Z233" i="2"/>
  <c r="Y233" i="2"/>
  <c r="X233" i="2"/>
  <c r="W233" i="2"/>
  <c r="V233" i="2"/>
  <c r="Z232" i="2"/>
  <c r="Y232" i="2"/>
  <c r="X232" i="2"/>
  <c r="W232" i="2"/>
  <c r="V232" i="2"/>
  <c r="Z231" i="2"/>
  <c r="Y231" i="2"/>
  <c r="X231" i="2"/>
  <c r="W231" i="2"/>
  <c r="V231" i="2"/>
  <c r="Z230" i="2"/>
  <c r="Y230" i="2"/>
  <c r="X230" i="2"/>
  <c r="W230" i="2"/>
  <c r="V230" i="2"/>
  <c r="Z229" i="2"/>
  <c r="Y229" i="2"/>
  <c r="X229" i="2"/>
  <c r="W229" i="2"/>
  <c r="V229" i="2"/>
  <c r="Z228" i="2"/>
  <c r="Y228" i="2"/>
  <c r="X228" i="2"/>
  <c r="W228" i="2"/>
  <c r="V228" i="2"/>
  <c r="Z227" i="2"/>
  <c r="Y227" i="2"/>
  <c r="X227" i="2"/>
  <c r="W227" i="2"/>
  <c r="V227" i="2"/>
  <c r="Z226" i="2"/>
  <c r="Y226" i="2"/>
  <c r="X226" i="2"/>
  <c r="W226" i="2"/>
  <c r="V226" i="2"/>
  <c r="Z225" i="2"/>
  <c r="Y225" i="2"/>
  <c r="X225" i="2"/>
  <c r="W225" i="2"/>
  <c r="V225" i="2"/>
  <c r="Z224" i="2"/>
  <c r="Y224" i="2"/>
  <c r="X224" i="2"/>
  <c r="W224" i="2"/>
  <c r="V224" i="2"/>
  <c r="Z223" i="2"/>
  <c r="Y223" i="2"/>
  <c r="X223" i="2"/>
  <c r="W223" i="2"/>
  <c r="V223" i="2"/>
  <c r="Z222" i="2"/>
  <c r="Y222" i="2"/>
  <c r="X222" i="2"/>
  <c r="W222" i="2"/>
  <c r="V222" i="2"/>
  <c r="Z221" i="2"/>
  <c r="Y221" i="2"/>
  <c r="X221" i="2"/>
  <c r="W221" i="2"/>
  <c r="V221" i="2"/>
  <c r="Z220" i="2"/>
  <c r="Y220" i="2"/>
  <c r="X220" i="2"/>
  <c r="W220" i="2"/>
  <c r="V220" i="2"/>
  <c r="Z219" i="2"/>
  <c r="Y219" i="2"/>
  <c r="X219" i="2"/>
  <c r="W219" i="2"/>
  <c r="V219" i="2"/>
  <c r="Z218" i="2"/>
  <c r="Y218" i="2"/>
  <c r="X218" i="2"/>
  <c r="W218" i="2"/>
  <c r="V218" i="2"/>
  <c r="Z217" i="2"/>
  <c r="Y217" i="2"/>
  <c r="X217" i="2"/>
  <c r="W217" i="2"/>
  <c r="V217" i="2"/>
  <c r="Z216" i="2"/>
  <c r="Y216" i="2"/>
  <c r="X216" i="2"/>
  <c r="W216" i="2"/>
  <c r="V216" i="2"/>
  <c r="Z215" i="2"/>
  <c r="Y215" i="2"/>
  <c r="X215" i="2"/>
  <c r="W215" i="2"/>
  <c r="V215" i="2"/>
  <c r="Z214" i="2"/>
  <c r="Y214" i="2"/>
  <c r="X214" i="2"/>
  <c r="W214" i="2"/>
  <c r="V214" i="2"/>
  <c r="Z213" i="2"/>
  <c r="Y213" i="2"/>
  <c r="X213" i="2"/>
  <c r="W213" i="2"/>
  <c r="V213" i="2"/>
  <c r="Z212" i="2"/>
  <c r="Y212" i="2"/>
  <c r="X212" i="2"/>
  <c r="W212" i="2"/>
  <c r="V212" i="2"/>
  <c r="Z211" i="2"/>
  <c r="Y211" i="2"/>
  <c r="X211" i="2"/>
  <c r="W211" i="2"/>
  <c r="V211" i="2"/>
  <c r="Z210" i="2"/>
  <c r="Y210" i="2"/>
  <c r="X210" i="2"/>
  <c r="W210" i="2"/>
  <c r="V210" i="2"/>
  <c r="Z209" i="2"/>
  <c r="Y209" i="2"/>
  <c r="X209" i="2"/>
  <c r="W209" i="2"/>
  <c r="V209" i="2"/>
  <c r="Z208" i="2"/>
  <c r="Y208" i="2"/>
  <c r="X208" i="2"/>
  <c r="W208" i="2"/>
  <c r="V208" i="2"/>
  <c r="Z207" i="2"/>
  <c r="Y207" i="2"/>
  <c r="X207" i="2"/>
  <c r="W207" i="2"/>
  <c r="V207" i="2"/>
  <c r="Z206" i="2"/>
  <c r="Y206" i="2"/>
  <c r="X206" i="2"/>
  <c r="W206" i="2"/>
  <c r="V206" i="2"/>
  <c r="Z205" i="2"/>
  <c r="Y205" i="2"/>
  <c r="X205" i="2"/>
  <c r="W205" i="2"/>
  <c r="V205" i="2"/>
  <c r="Z204" i="2"/>
  <c r="Y204" i="2"/>
  <c r="X204" i="2"/>
  <c r="W204" i="2"/>
  <c r="V204" i="2"/>
  <c r="Z203" i="2"/>
  <c r="Y203" i="2"/>
  <c r="X203" i="2"/>
  <c r="W203" i="2"/>
  <c r="V203" i="2"/>
  <c r="Z202" i="2"/>
  <c r="Y202" i="2"/>
  <c r="X202" i="2"/>
  <c r="W202" i="2"/>
  <c r="V202" i="2"/>
  <c r="Z201" i="2"/>
  <c r="Y201" i="2"/>
  <c r="X201" i="2"/>
  <c r="W201" i="2"/>
  <c r="V201" i="2"/>
  <c r="Z200" i="2"/>
  <c r="Y200" i="2"/>
  <c r="X200" i="2"/>
  <c r="W200" i="2"/>
  <c r="V200" i="2"/>
  <c r="Z199" i="2"/>
  <c r="Y199" i="2"/>
  <c r="X199" i="2"/>
  <c r="W199" i="2"/>
  <c r="V199" i="2"/>
  <c r="Z198" i="2"/>
  <c r="Y198" i="2"/>
  <c r="X198" i="2"/>
  <c r="W198" i="2"/>
  <c r="V198" i="2"/>
  <c r="Z197" i="2"/>
  <c r="Y197" i="2"/>
  <c r="X197" i="2"/>
  <c r="W197" i="2"/>
  <c r="V197" i="2"/>
  <c r="Z196" i="2"/>
  <c r="Y196" i="2"/>
  <c r="X196" i="2"/>
  <c r="W196" i="2"/>
  <c r="V196" i="2"/>
  <c r="Z195" i="2"/>
  <c r="Y195" i="2"/>
  <c r="X195" i="2"/>
  <c r="W195" i="2"/>
  <c r="V195" i="2"/>
  <c r="Z194" i="2"/>
  <c r="Y194" i="2"/>
  <c r="X194" i="2"/>
  <c r="W194" i="2"/>
  <c r="V194" i="2"/>
  <c r="Z193" i="2"/>
  <c r="Y193" i="2"/>
  <c r="X193" i="2"/>
  <c r="W193" i="2"/>
  <c r="V193" i="2"/>
  <c r="Z192" i="2"/>
  <c r="Y192" i="2"/>
  <c r="X192" i="2"/>
  <c r="W192" i="2"/>
  <c r="V192" i="2"/>
  <c r="Z191" i="2"/>
  <c r="Y191" i="2"/>
  <c r="X191" i="2"/>
  <c r="W191" i="2"/>
  <c r="V191" i="2"/>
  <c r="Z190" i="2"/>
  <c r="Y190" i="2"/>
  <c r="X190" i="2"/>
  <c r="W190" i="2"/>
  <c r="V190" i="2"/>
  <c r="Z189" i="2"/>
  <c r="Y189" i="2"/>
  <c r="X189" i="2"/>
  <c r="W189" i="2"/>
  <c r="V189" i="2"/>
  <c r="Z188" i="2"/>
  <c r="Y188" i="2"/>
  <c r="X188" i="2"/>
  <c r="W188" i="2"/>
  <c r="V188" i="2"/>
  <c r="Z187" i="2"/>
  <c r="Y187" i="2"/>
  <c r="X187" i="2"/>
  <c r="W187" i="2"/>
  <c r="V187" i="2"/>
  <c r="Z186" i="2"/>
  <c r="Y186" i="2"/>
  <c r="X186" i="2"/>
  <c r="W186" i="2"/>
  <c r="V186" i="2"/>
  <c r="Z185" i="2"/>
  <c r="Y185" i="2"/>
  <c r="X185" i="2"/>
  <c r="W185" i="2"/>
  <c r="V185" i="2"/>
  <c r="Z184" i="2"/>
  <c r="Y184" i="2"/>
  <c r="X184" i="2"/>
  <c r="W184" i="2"/>
  <c r="V184" i="2"/>
  <c r="Z183" i="2"/>
  <c r="Y183" i="2"/>
  <c r="X183" i="2"/>
  <c r="W183" i="2"/>
  <c r="V183" i="2"/>
  <c r="Z182" i="2"/>
  <c r="Y182" i="2"/>
  <c r="X182" i="2"/>
  <c r="W182" i="2"/>
  <c r="V182" i="2"/>
  <c r="Z181" i="2"/>
  <c r="Y181" i="2"/>
  <c r="X181" i="2"/>
  <c r="W181" i="2"/>
  <c r="V181" i="2"/>
  <c r="Z180" i="2"/>
  <c r="Y180" i="2"/>
  <c r="X180" i="2"/>
  <c r="W180" i="2"/>
  <c r="V180" i="2"/>
  <c r="Z179" i="2"/>
  <c r="Y179" i="2"/>
  <c r="X179" i="2"/>
  <c r="W179" i="2"/>
  <c r="V179" i="2"/>
  <c r="Z178" i="2"/>
  <c r="Y178" i="2"/>
  <c r="X178" i="2"/>
  <c r="W178" i="2"/>
  <c r="V178" i="2"/>
  <c r="Z177" i="2"/>
  <c r="Y177" i="2"/>
  <c r="X177" i="2"/>
  <c r="W177" i="2"/>
  <c r="V177" i="2"/>
  <c r="Z176" i="2"/>
  <c r="Y176" i="2"/>
  <c r="X176" i="2"/>
  <c r="W176" i="2"/>
  <c r="V176" i="2"/>
  <c r="Z175" i="2"/>
  <c r="Y175" i="2"/>
  <c r="X175" i="2"/>
  <c r="W175" i="2"/>
  <c r="V175" i="2"/>
  <c r="Z174" i="2"/>
  <c r="Y174" i="2"/>
  <c r="X174" i="2"/>
  <c r="W174" i="2"/>
  <c r="V174" i="2"/>
  <c r="Z173" i="2"/>
  <c r="Y173" i="2"/>
  <c r="X173" i="2"/>
  <c r="W173" i="2"/>
  <c r="V173" i="2"/>
  <c r="Z172" i="2"/>
  <c r="Y172" i="2"/>
  <c r="X172" i="2"/>
  <c r="W172" i="2"/>
  <c r="V172" i="2"/>
  <c r="Z171" i="2"/>
  <c r="Y171" i="2"/>
  <c r="X171" i="2"/>
  <c r="W171" i="2"/>
  <c r="V171" i="2"/>
  <c r="Z170" i="2"/>
  <c r="Y170" i="2"/>
  <c r="X170" i="2"/>
  <c r="W170" i="2"/>
  <c r="V170" i="2"/>
  <c r="Z169" i="2"/>
  <c r="Y169" i="2"/>
  <c r="X169" i="2"/>
  <c r="W169" i="2"/>
  <c r="V169" i="2"/>
  <c r="Z168" i="2"/>
  <c r="Y168" i="2"/>
  <c r="X168" i="2"/>
  <c r="W168" i="2"/>
  <c r="V168" i="2"/>
  <c r="Z167" i="2"/>
  <c r="Y167" i="2"/>
  <c r="X167" i="2"/>
  <c r="W167" i="2"/>
  <c r="V167" i="2"/>
  <c r="Z166" i="2"/>
  <c r="Y166" i="2"/>
  <c r="X166" i="2"/>
  <c r="W166" i="2"/>
  <c r="V166" i="2"/>
  <c r="Z165" i="2"/>
  <c r="Y165" i="2"/>
  <c r="X165" i="2"/>
  <c r="W165" i="2"/>
  <c r="V165" i="2"/>
  <c r="Z164" i="2"/>
  <c r="Y164" i="2"/>
  <c r="X164" i="2"/>
  <c r="W164" i="2"/>
  <c r="V164" i="2"/>
  <c r="Z163" i="2"/>
  <c r="Y163" i="2"/>
  <c r="X163" i="2"/>
  <c r="W163" i="2"/>
  <c r="V163" i="2"/>
  <c r="Z162" i="2"/>
  <c r="Y162" i="2"/>
  <c r="X162" i="2"/>
  <c r="W162" i="2"/>
  <c r="V162" i="2"/>
  <c r="Z161" i="2"/>
  <c r="Y161" i="2"/>
  <c r="X161" i="2"/>
  <c r="W161" i="2"/>
  <c r="V161" i="2"/>
  <c r="Z160" i="2"/>
  <c r="Y160" i="2"/>
  <c r="X160" i="2"/>
  <c r="W160" i="2"/>
  <c r="V160" i="2"/>
  <c r="Z159" i="2"/>
  <c r="Y159" i="2"/>
  <c r="X159" i="2"/>
  <c r="W159" i="2"/>
  <c r="V159" i="2"/>
  <c r="Z158" i="2"/>
  <c r="Y158" i="2"/>
  <c r="X158" i="2"/>
  <c r="W158" i="2"/>
  <c r="V158" i="2"/>
  <c r="Z157" i="2"/>
  <c r="Y157" i="2"/>
  <c r="X157" i="2"/>
  <c r="W157" i="2"/>
  <c r="V157" i="2"/>
  <c r="Z156" i="2"/>
  <c r="Y156" i="2"/>
  <c r="X156" i="2"/>
  <c r="W156" i="2"/>
  <c r="V156" i="2"/>
  <c r="Z155" i="2"/>
  <c r="Y155" i="2"/>
  <c r="X155" i="2"/>
  <c r="W155" i="2"/>
  <c r="V155" i="2"/>
  <c r="Z154" i="2"/>
  <c r="Y154" i="2"/>
  <c r="X154" i="2"/>
  <c r="W154" i="2"/>
  <c r="V154" i="2"/>
  <c r="Z153" i="2"/>
  <c r="Y153" i="2"/>
  <c r="X153" i="2"/>
  <c r="W153" i="2"/>
  <c r="V153" i="2"/>
  <c r="Z152" i="2"/>
  <c r="Y152" i="2"/>
  <c r="X152" i="2"/>
  <c r="W152" i="2"/>
  <c r="V152" i="2"/>
  <c r="Z151" i="2"/>
  <c r="Y151" i="2"/>
  <c r="X151" i="2"/>
  <c r="W151" i="2"/>
  <c r="V151" i="2"/>
  <c r="Z150" i="2"/>
  <c r="Y150" i="2"/>
  <c r="X150" i="2"/>
  <c r="W150" i="2"/>
  <c r="V150" i="2"/>
  <c r="Z149" i="2"/>
  <c r="Y149" i="2"/>
  <c r="X149" i="2"/>
  <c r="W149" i="2"/>
  <c r="V149" i="2"/>
  <c r="Z148" i="2"/>
  <c r="Y148" i="2"/>
  <c r="X148" i="2"/>
  <c r="W148" i="2"/>
  <c r="V148" i="2"/>
  <c r="Z147" i="2"/>
  <c r="Y147" i="2"/>
  <c r="X147" i="2"/>
  <c r="W147" i="2"/>
  <c r="V147" i="2"/>
  <c r="Z146" i="2"/>
  <c r="Y146" i="2"/>
  <c r="X146" i="2"/>
  <c r="W146" i="2"/>
  <c r="V146" i="2"/>
  <c r="Z145" i="2"/>
  <c r="Y145" i="2"/>
  <c r="X145" i="2"/>
  <c r="W145" i="2"/>
  <c r="V145" i="2"/>
  <c r="Z144" i="2"/>
  <c r="Y144" i="2"/>
  <c r="X144" i="2"/>
  <c r="W144" i="2"/>
  <c r="V144" i="2"/>
  <c r="Z143" i="2"/>
  <c r="Y143" i="2"/>
  <c r="X143" i="2"/>
  <c r="W143" i="2"/>
  <c r="V143" i="2"/>
  <c r="Z142" i="2"/>
  <c r="Y142" i="2"/>
  <c r="X142" i="2"/>
  <c r="W142" i="2"/>
  <c r="V142" i="2"/>
  <c r="Z141" i="2"/>
  <c r="Y141" i="2"/>
  <c r="X141" i="2"/>
  <c r="W141" i="2"/>
  <c r="V141" i="2"/>
  <c r="Z140" i="2"/>
  <c r="Y140" i="2"/>
  <c r="X140" i="2"/>
  <c r="W140" i="2"/>
  <c r="V140" i="2"/>
  <c r="Z139" i="2"/>
  <c r="Y139" i="2"/>
  <c r="X139" i="2"/>
  <c r="W139" i="2"/>
  <c r="V139" i="2"/>
  <c r="Z138" i="2"/>
  <c r="Y138" i="2"/>
  <c r="X138" i="2"/>
  <c r="W138" i="2"/>
  <c r="V138" i="2"/>
  <c r="Z137" i="2"/>
  <c r="Y137" i="2"/>
  <c r="X137" i="2"/>
  <c r="W137" i="2"/>
  <c r="V137" i="2"/>
  <c r="Z136" i="2"/>
  <c r="Y136" i="2"/>
  <c r="X136" i="2"/>
  <c r="W136" i="2"/>
  <c r="V136" i="2"/>
  <c r="Z135" i="2"/>
  <c r="Y135" i="2"/>
  <c r="X135" i="2"/>
  <c r="W135" i="2"/>
  <c r="V135" i="2"/>
  <c r="Z134" i="2"/>
  <c r="Y134" i="2"/>
  <c r="X134" i="2"/>
  <c r="W134" i="2"/>
  <c r="V134" i="2"/>
  <c r="Z133" i="2"/>
  <c r="Y133" i="2"/>
  <c r="X133" i="2"/>
  <c r="W133" i="2"/>
  <c r="V133" i="2"/>
  <c r="Z132" i="2"/>
  <c r="Y132" i="2"/>
  <c r="X132" i="2"/>
  <c r="W132" i="2"/>
  <c r="V132" i="2"/>
  <c r="Z131" i="2"/>
  <c r="Y131" i="2"/>
  <c r="X131" i="2"/>
  <c r="W131" i="2"/>
  <c r="V131" i="2"/>
  <c r="Z130" i="2"/>
  <c r="Y130" i="2"/>
  <c r="X130" i="2"/>
  <c r="W130" i="2"/>
  <c r="V130" i="2"/>
  <c r="Z129" i="2"/>
  <c r="Y129" i="2"/>
  <c r="X129" i="2"/>
  <c r="W129" i="2"/>
  <c r="V129" i="2"/>
  <c r="Z128" i="2"/>
  <c r="Y128" i="2"/>
  <c r="X128" i="2"/>
  <c r="W128" i="2"/>
  <c r="V128" i="2"/>
  <c r="Z127" i="2"/>
  <c r="Y127" i="2"/>
  <c r="X127" i="2"/>
  <c r="W127" i="2"/>
  <c r="V127" i="2"/>
  <c r="Z126" i="2"/>
  <c r="Y126" i="2"/>
  <c r="X126" i="2"/>
  <c r="W126" i="2"/>
  <c r="V126" i="2"/>
  <c r="Z125" i="2"/>
  <c r="Y125" i="2"/>
  <c r="X125" i="2"/>
  <c r="W125" i="2"/>
  <c r="V125" i="2"/>
  <c r="Z124" i="2"/>
  <c r="Y124" i="2"/>
  <c r="X124" i="2"/>
  <c r="W124" i="2"/>
  <c r="V124" i="2"/>
  <c r="Z123" i="2"/>
  <c r="Y123" i="2"/>
  <c r="X123" i="2"/>
  <c r="W123" i="2"/>
  <c r="V123" i="2"/>
  <c r="Z122" i="2"/>
  <c r="Y122" i="2"/>
  <c r="X122" i="2"/>
  <c r="W122" i="2"/>
  <c r="V122" i="2"/>
  <c r="Z121" i="2"/>
  <c r="Y121" i="2"/>
  <c r="X121" i="2"/>
  <c r="W121" i="2"/>
  <c r="V121" i="2"/>
  <c r="Z120" i="2"/>
  <c r="Y120" i="2"/>
  <c r="X120" i="2"/>
  <c r="W120" i="2"/>
  <c r="V120" i="2"/>
  <c r="Z119" i="2"/>
  <c r="Y119" i="2"/>
  <c r="X119" i="2"/>
  <c r="W119" i="2"/>
  <c r="V119" i="2"/>
  <c r="Z118" i="2"/>
  <c r="Y118" i="2"/>
  <c r="X118" i="2"/>
  <c r="W118" i="2"/>
  <c r="V118" i="2"/>
  <c r="Z117" i="2"/>
  <c r="Y117" i="2"/>
  <c r="X117" i="2"/>
  <c r="W117" i="2"/>
  <c r="V117" i="2"/>
  <c r="Z116" i="2"/>
  <c r="Y116" i="2"/>
  <c r="X116" i="2"/>
  <c r="W116" i="2"/>
  <c r="V116" i="2"/>
  <c r="Z115" i="2"/>
  <c r="Y115" i="2"/>
  <c r="X115" i="2"/>
  <c r="W115" i="2"/>
  <c r="V115" i="2"/>
  <c r="Z114" i="2"/>
  <c r="Y114" i="2"/>
  <c r="X114" i="2"/>
  <c r="W114" i="2"/>
  <c r="V114" i="2"/>
  <c r="Z113" i="2"/>
  <c r="Y113" i="2"/>
  <c r="X113" i="2"/>
  <c r="W113" i="2"/>
  <c r="V113" i="2"/>
  <c r="Z112" i="2"/>
  <c r="Y112" i="2"/>
  <c r="X112" i="2"/>
  <c r="W112" i="2"/>
  <c r="V112" i="2"/>
  <c r="Z111" i="2"/>
  <c r="Y111" i="2"/>
  <c r="X111" i="2"/>
  <c r="W111" i="2"/>
  <c r="V111" i="2"/>
  <c r="Z110" i="2"/>
  <c r="Y110" i="2"/>
  <c r="X110" i="2"/>
  <c r="W110" i="2"/>
  <c r="V110" i="2"/>
  <c r="Z109" i="2"/>
  <c r="Y109" i="2"/>
  <c r="X109" i="2"/>
  <c r="W109" i="2"/>
  <c r="V109" i="2"/>
  <c r="Z108" i="2"/>
  <c r="Y108" i="2"/>
  <c r="X108" i="2"/>
  <c r="W108" i="2"/>
  <c r="V108" i="2"/>
  <c r="Z107" i="2"/>
  <c r="Y107" i="2"/>
  <c r="X107" i="2"/>
  <c r="W107" i="2"/>
  <c r="V107" i="2"/>
  <c r="Z106" i="2"/>
  <c r="Y106" i="2"/>
  <c r="X106" i="2"/>
  <c r="W106" i="2"/>
  <c r="V106" i="2"/>
  <c r="Z105" i="2"/>
  <c r="Y105" i="2"/>
  <c r="X105" i="2"/>
  <c r="W105" i="2"/>
  <c r="V105" i="2"/>
  <c r="Z104" i="2"/>
  <c r="Y104" i="2"/>
  <c r="X104" i="2"/>
  <c r="W104" i="2"/>
  <c r="V104" i="2"/>
  <c r="Z103" i="2"/>
  <c r="Y103" i="2"/>
  <c r="X103" i="2"/>
  <c r="W103" i="2"/>
  <c r="V103" i="2"/>
  <c r="Z102" i="2"/>
  <c r="Y102" i="2"/>
  <c r="X102" i="2"/>
  <c r="W102" i="2"/>
  <c r="V102" i="2"/>
  <c r="Z101" i="2"/>
  <c r="Y101" i="2"/>
  <c r="X101" i="2"/>
  <c r="W101" i="2"/>
  <c r="V101" i="2"/>
  <c r="Z100" i="2"/>
  <c r="Y100" i="2"/>
  <c r="X100" i="2"/>
  <c r="W100" i="2"/>
  <c r="V100" i="2"/>
  <c r="Z99" i="2"/>
  <c r="Y99" i="2"/>
  <c r="X99" i="2"/>
  <c r="W99" i="2"/>
  <c r="V99" i="2"/>
  <c r="Z98" i="2"/>
  <c r="Y98" i="2"/>
  <c r="X98" i="2"/>
  <c r="W98" i="2"/>
  <c r="V98" i="2"/>
  <c r="Z97" i="2"/>
  <c r="Y97" i="2"/>
  <c r="X97" i="2"/>
  <c r="W97" i="2"/>
  <c r="V97" i="2"/>
  <c r="Z96" i="2"/>
  <c r="Y96" i="2"/>
  <c r="X96" i="2"/>
  <c r="W96" i="2"/>
  <c r="V96" i="2"/>
  <c r="Z95" i="2"/>
  <c r="Y95" i="2"/>
  <c r="X95" i="2"/>
  <c r="W95" i="2"/>
  <c r="V95" i="2"/>
  <c r="Z94" i="2"/>
  <c r="Y94" i="2"/>
  <c r="X94" i="2"/>
  <c r="W94" i="2"/>
  <c r="V94" i="2"/>
  <c r="Z93" i="2"/>
  <c r="Y93" i="2"/>
  <c r="X93" i="2"/>
  <c r="W93" i="2"/>
  <c r="V93" i="2"/>
  <c r="Z92" i="2"/>
  <c r="Y92" i="2"/>
  <c r="X92" i="2"/>
  <c r="W92" i="2"/>
  <c r="V92" i="2"/>
  <c r="Z91" i="2"/>
  <c r="Y91" i="2"/>
  <c r="X91" i="2"/>
  <c r="W91" i="2"/>
  <c r="V91" i="2"/>
  <c r="Z90" i="2"/>
  <c r="Y90" i="2"/>
  <c r="X90" i="2"/>
  <c r="W90" i="2"/>
  <c r="V90" i="2"/>
  <c r="Z89" i="2"/>
  <c r="Y89" i="2"/>
  <c r="X89" i="2"/>
  <c r="W89" i="2"/>
  <c r="V89" i="2"/>
  <c r="Z88" i="2"/>
  <c r="Y88" i="2"/>
  <c r="X88" i="2"/>
  <c r="W88" i="2"/>
  <c r="V88" i="2"/>
  <c r="Z87" i="2"/>
  <c r="Y87" i="2"/>
  <c r="X87" i="2"/>
  <c r="W87" i="2"/>
  <c r="V87" i="2"/>
  <c r="Z86" i="2"/>
  <c r="Y86" i="2"/>
  <c r="X86" i="2"/>
  <c r="W86" i="2"/>
  <c r="V86" i="2"/>
  <c r="Z85" i="2"/>
  <c r="Y85" i="2"/>
  <c r="X85" i="2"/>
  <c r="W85" i="2"/>
  <c r="V85" i="2"/>
  <c r="Z84" i="2"/>
  <c r="Y84" i="2"/>
  <c r="X84" i="2"/>
  <c r="W84" i="2"/>
  <c r="V84" i="2"/>
  <c r="Z83" i="2"/>
  <c r="Y83" i="2"/>
  <c r="X83" i="2"/>
  <c r="W83" i="2"/>
  <c r="V83" i="2"/>
  <c r="Z82" i="2"/>
  <c r="Y82" i="2"/>
  <c r="X82" i="2"/>
  <c r="W82" i="2"/>
  <c r="V82" i="2"/>
  <c r="Z81" i="2"/>
  <c r="Y81" i="2"/>
  <c r="X81" i="2"/>
  <c r="W81" i="2"/>
  <c r="V81" i="2"/>
  <c r="Z80" i="2"/>
  <c r="Y80" i="2"/>
  <c r="X80" i="2"/>
  <c r="W80" i="2"/>
  <c r="V80" i="2"/>
  <c r="Z79" i="2"/>
  <c r="Y79" i="2"/>
  <c r="X79" i="2"/>
  <c r="W79" i="2"/>
  <c r="V79" i="2"/>
  <c r="Z78" i="2"/>
  <c r="Y78" i="2"/>
  <c r="X78" i="2"/>
  <c r="W78" i="2"/>
  <c r="V78" i="2"/>
  <c r="Z77" i="2"/>
  <c r="Y77" i="2"/>
  <c r="X77" i="2"/>
  <c r="W77" i="2"/>
  <c r="V77" i="2"/>
  <c r="Z76" i="2"/>
  <c r="Y76" i="2"/>
  <c r="X76" i="2"/>
  <c r="W76" i="2"/>
  <c r="V76" i="2"/>
  <c r="Z75" i="2"/>
  <c r="Y75" i="2"/>
  <c r="X75" i="2"/>
  <c r="W75" i="2"/>
  <c r="V75" i="2"/>
  <c r="Z74" i="2"/>
  <c r="Y74" i="2"/>
  <c r="X74" i="2"/>
  <c r="W74" i="2"/>
  <c r="V74" i="2"/>
  <c r="Z73" i="2"/>
  <c r="Y73" i="2"/>
  <c r="X73" i="2"/>
  <c r="W73" i="2"/>
  <c r="V73" i="2"/>
  <c r="Z72" i="2"/>
  <c r="Y72" i="2"/>
  <c r="X72" i="2"/>
  <c r="W72" i="2"/>
  <c r="V72" i="2"/>
  <c r="Z71" i="2"/>
  <c r="Y71" i="2"/>
  <c r="X71" i="2"/>
  <c r="W71" i="2"/>
  <c r="V71" i="2"/>
  <c r="Z70" i="2"/>
  <c r="Y70" i="2"/>
  <c r="X70" i="2"/>
  <c r="W70" i="2"/>
  <c r="V70" i="2"/>
  <c r="Z69" i="2"/>
  <c r="Y69" i="2"/>
  <c r="X69" i="2"/>
  <c r="W69" i="2"/>
  <c r="V69" i="2"/>
  <c r="Z68" i="2"/>
  <c r="Y68" i="2"/>
  <c r="X68" i="2"/>
  <c r="W68" i="2"/>
  <c r="V68" i="2"/>
  <c r="Z67" i="2"/>
  <c r="Y67" i="2"/>
  <c r="X67" i="2"/>
  <c r="W67" i="2"/>
  <c r="V67" i="2"/>
  <c r="Z66" i="2"/>
  <c r="Y66" i="2"/>
  <c r="X66" i="2"/>
  <c r="W66" i="2"/>
  <c r="V66" i="2"/>
  <c r="Z65" i="2"/>
  <c r="Y65" i="2"/>
  <c r="X65" i="2"/>
  <c r="W65" i="2"/>
  <c r="V65" i="2"/>
  <c r="Z64" i="2"/>
  <c r="Y64" i="2"/>
  <c r="X64" i="2"/>
  <c r="W64" i="2"/>
  <c r="V64" i="2"/>
  <c r="Z63" i="2"/>
  <c r="Y63" i="2"/>
  <c r="X63" i="2"/>
  <c r="W63" i="2"/>
  <c r="V63" i="2"/>
  <c r="Z62" i="2"/>
  <c r="Y62" i="2"/>
  <c r="X62" i="2"/>
  <c r="W62" i="2"/>
  <c r="V62" i="2"/>
  <c r="Z61" i="2"/>
  <c r="Y61" i="2"/>
  <c r="X61" i="2"/>
  <c r="W61" i="2"/>
  <c r="V61" i="2"/>
  <c r="Z60" i="2"/>
  <c r="Y60" i="2"/>
  <c r="X60" i="2"/>
  <c r="W60" i="2"/>
  <c r="V60" i="2"/>
  <c r="Z59" i="2"/>
  <c r="Y59" i="2"/>
  <c r="X59" i="2"/>
  <c r="W59" i="2"/>
  <c r="V59" i="2"/>
  <c r="Z58" i="2"/>
  <c r="Y58" i="2"/>
  <c r="X58" i="2"/>
  <c r="W58" i="2"/>
  <c r="V58" i="2"/>
  <c r="Z57" i="2"/>
  <c r="Y57" i="2"/>
  <c r="X57" i="2"/>
  <c r="W57" i="2"/>
  <c r="V57" i="2"/>
  <c r="Z56" i="2"/>
  <c r="Y56" i="2"/>
  <c r="X56" i="2"/>
  <c r="W56" i="2"/>
  <c r="V56" i="2"/>
  <c r="Z55" i="2"/>
  <c r="Y55" i="2"/>
  <c r="X55" i="2"/>
  <c r="W55" i="2"/>
  <c r="V55" i="2"/>
  <c r="Z54" i="2"/>
  <c r="Y54" i="2"/>
  <c r="X54" i="2"/>
  <c r="W54" i="2"/>
  <c r="V54" i="2"/>
  <c r="Z53" i="2"/>
  <c r="Y53" i="2"/>
  <c r="X53" i="2"/>
  <c r="W53" i="2"/>
  <c r="V53" i="2"/>
  <c r="Z52" i="2"/>
  <c r="Y52" i="2"/>
  <c r="X52" i="2"/>
  <c r="W52" i="2"/>
  <c r="V52" i="2"/>
  <c r="Z51" i="2"/>
  <c r="Y51" i="2"/>
  <c r="X51" i="2"/>
  <c r="W51" i="2"/>
  <c r="V51" i="2"/>
  <c r="Z50" i="2"/>
  <c r="Y50" i="2"/>
  <c r="X50" i="2"/>
  <c r="W50" i="2"/>
  <c r="V50" i="2"/>
  <c r="Z49" i="2"/>
  <c r="Y49" i="2"/>
  <c r="X49" i="2"/>
  <c r="W49" i="2"/>
  <c r="V49" i="2"/>
  <c r="Z48" i="2"/>
  <c r="Y48" i="2"/>
  <c r="X48" i="2"/>
  <c r="W48" i="2"/>
  <c r="V48" i="2"/>
  <c r="Z47" i="2"/>
  <c r="Y47" i="2"/>
  <c r="X47" i="2"/>
  <c r="W47" i="2"/>
  <c r="V47" i="2"/>
  <c r="Z46" i="2"/>
  <c r="Y46" i="2"/>
  <c r="X46" i="2"/>
  <c r="W46" i="2"/>
  <c r="V46" i="2"/>
  <c r="Z45" i="2"/>
  <c r="Y45" i="2"/>
  <c r="X45" i="2"/>
  <c r="W45" i="2"/>
  <c r="V45" i="2"/>
  <c r="Z44" i="2"/>
  <c r="Y44" i="2"/>
  <c r="X44" i="2"/>
  <c r="W44" i="2"/>
  <c r="V44" i="2"/>
  <c r="Z43" i="2"/>
  <c r="Y43" i="2"/>
  <c r="X43" i="2"/>
  <c r="W43" i="2"/>
  <c r="V43" i="2"/>
  <c r="Z42" i="2"/>
  <c r="Y42" i="2"/>
  <c r="X42" i="2"/>
  <c r="W42" i="2"/>
  <c r="V42" i="2"/>
  <c r="Z41" i="2"/>
  <c r="Y41" i="2"/>
  <c r="X41" i="2"/>
  <c r="W41" i="2"/>
  <c r="V41" i="2"/>
  <c r="Z40" i="2"/>
  <c r="Y40" i="2"/>
  <c r="X40" i="2"/>
  <c r="W40" i="2"/>
  <c r="V40" i="2"/>
  <c r="Z39" i="2"/>
  <c r="Y39" i="2"/>
  <c r="X39" i="2"/>
  <c r="W39" i="2"/>
  <c r="V39" i="2"/>
  <c r="Z38" i="2"/>
  <c r="Y38" i="2"/>
  <c r="X38" i="2"/>
  <c r="W38" i="2"/>
  <c r="V38" i="2"/>
  <c r="Z37" i="2"/>
  <c r="Y37" i="2"/>
  <c r="X37" i="2"/>
  <c r="W37" i="2"/>
  <c r="V37" i="2"/>
  <c r="Z36" i="2"/>
  <c r="Y36" i="2"/>
  <c r="X36" i="2"/>
  <c r="W36" i="2"/>
  <c r="V36" i="2"/>
  <c r="Z35" i="2"/>
  <c r="Y35" i="2"/>
  <c r="X35" i="2"/>
  <c r="W35" i="2"/>
  <c r="V35" i="2"/>
  <c r="Z34" i="2"/>
  <c r="Y34" i="2"/>
  <c r="X34" i="2"/>
  <c r="W34" i="2"/>
  <c r="V34" i="2"/>
  <c r="Z33" i="2"/>
  <c r="Y33" i="2"/>
  <c r="X33" i="2"/>
  <c r="W33" i="2"/>
  <c r="V33" i="2"/>
  <c r="Z32" i="2"/>
  <c r="Y32" i="2"/>
  <c r="X32" i="2"/>
  <c r="W32" i="2"/>
  <c r="V32" i="2"/>
  <c r="Z31" i="2"/>
  <c r="Y31" i="2"/>
  <c r="X31" i="2"/>
  <c r="W31" i="2"/>
  <c r="V31" i="2"/>
  <c r="Z30" i="2"/>
  <c r="Y30" i="2"/>
  <c r="X30" i="2"/>
  <c r="W30" i="2"/>
  <c r="V30" i="2"/>
  <c r="Z29" i="2"/>
  <c r="Y29" i="2"/>
  <c r="X29" i="2"/>
  <c r="W29" i="2"/>
  <c r="V29" i="2"/>
  <c r="Z28" i="2"/>
  <c r="Y28" i="2"/>
  <c r="X28" i="2"/>
  <c r="W28" i="2"/>
  <c r="V28" i="2"/>
  <c r="Z27" i="2"/>
  <c r="Y27" i="2"/>
  <c r="X27" i="2"/>
  <c r="W27" i="2"/>
  <c r="V27" i="2"/>
  <c r="Z26" i="2"/>
  <c r="Y26" i="2"/>
  <c r="X26" i="2"/>
  <c r="W26" i="2"/>
  <c r="V26" i="2"/>
  <c r="Z25" i="2"/>
  <c r="Y25" i="2"/>
  <c r="X25" i="2"/>
  <c r="W25" i="2"/>
  <c r="V25" i="2"/>
  <c r="Z24" i="2"/>
  <c r="Y24" i="2"/>
  <c r="X24" i="2"/>
  <c r="W24" i="2"/>
  <c r="V24" i="2"/>
  <c r="Z23" i="2"/>
  <c r="Y23" i="2"/>
  <c r="X23" i="2"/>
  <c r="W23" i="2"/>
  <c r="V23" i="2"/>
  <c r="Z22" i="2"/>
  <c r="Y22" i="2"/>
  <c r="X22" i="2"/>
  <c r="W22" i="2"/>
  <c r="V22" i="2"/>
  <c r="Z21" i="2"/>
  <c r="Y21" i="2"/>
  <c r="X21" i="2"/>
  <c r="W21" i="2"/>
  <c r="V21" i="2"/>
  <c r="Z20" i="2"/>
  <c r="Y20" i="2"/>
  <c r="X20" i="2"/>
  <c r="W20" i="2"/>
  <c r="V20" i="2"/>
  <c r="Z19" i="2"/>
  <c r="Y19" i="2"/>
  <c r="X19" i="2"/>
  <c r="W19" i="2"/>
  <c r="V19" i="2"/>
  <c r="Z18" i="2"/>
  <c r="Y18" i="2"/>
  <c r="X18" i="2"/>
  <c r="W18" i="2"/>
  <c r="V18" i="2"/>
  <c r="Z17" i="2"/>
  <c r="Y17" i="2"/>
  <c r="X17" i="2"/>
  <c r="W17" i="2"/>
  <c r="V17" i="2"/>
  <c r="Z16" i="2"/>
  <c r="Y16" i="2"/>
  <c r="X16" i="2"/>
  <c r="W16" i="2"/>
  <c r="V16" i="2"/>
  <c r="Z15" i="2"/>
  <c r="Y15" i="2"/>
  <c r="X15" i="2"/>
  <c r="W15" i="2"/>
  <c r="V15" i="2"/>
  <c r="Z14" i="2"/>
  <c r="Y14" i="2"/>
  <c r="X14" i="2"/>
  <c r="W14" i="2"/>
  <c r="V14" i="2"/>
  <c r="Z13" i="2"/>
  <c r="Y13" i="2"/>
  <c r="X13" i="2"/>
  <c r="W13" i="2"/>
  <c r="V13" i="2"/>
  <c r="Z12" i="2"/>
  <c r="Y12" i="2"/>
  <c r="X12" i="2"/>
  <c r="W12" i="2"/>
  <c r="V12" i="2"/>
  <c r="Z11" i="2"/>
  <c r="Y11" i="2"/>
  <c r="X11" i="2"/>
  <c r="W11" i="2"/>
  <c r="V11" i="2"/>
  <c r="Z10" i="2"/>
  <c r="Y10" i="2"/>
  <c r="X10" i="2"/>
  <c r="W10" i="2"/>
  <c r="V10" i="2"/>
  <c r="Z9" i="2"/>
  <c r="Y9" i="2"/>
  <c r="X9" i="2"/>
  <c r="W9" i="2"/>
  <c r="V9" i="2"/>
  <c r="Z8" i="2"/>
  <c r="Y8" i="2"/>
  <c r="X8" i="2"/>
  <c r="W8" i="2"/>
  <c r="V8" i="2"/>
  <c r="Z7" i="2"/>
  <c r="Y7" i="2"/>
  <c r="X7" i="2"/>
  <c r="W7" i="2"/>
  <c r="V7" i="2"/>
  <c r="Z6" i="2"/>
  <c r="Y6" i="2"/>
  <c r="X6" i="2"/>
  <c r="W6" i="2"/>
  <c r="V6" i="2"/>
  <c r="Z5" i="2"/>
  <c r="Y5" i="2"/>
  <c r="X5" i="2"/>
  <c r="W5" i="2"/>
  <c r="V5" i="2"/>
  <c r="Z4" i="2"/>
  <c r="Y4" i="2"/>
  <c r="X4" i="2"/>
  <c r="W4" i="2"/>
  <c r="V4" i="2"/>
  <c r="Z3" i="2"/>
  <c r="Y3" i="2"/>
  <c r="X3" i="2"/>
  <c r="W3" i="2"/>
  <c r="V3" i="2"/>
  <c r="Z2" i="2"/>
  <c r="Y2" i="2"/>
  <c r="X2" i="2"/>
  <c r="W2" i="2"/>
  <c r="V2" i="2"/>
  <c r="AO20" i="3"/>
  <c r="C10" i="8"/>
  <c r="AE7" i="9"/>
  <c r="J8" i="4"/>
  <c r="H10" i="8"/>
  <c r="M10" i="8"/>
  <c r="AE6" i="9"/>
  <c r="AE8" i="9"/>
  <c r="AE9" i="9"/>
  <c r="R10" i="8"/>
  <c r="AE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230B42-C066-40ED-B7D9-FDABE7683C9F}" keepAlive="1" name="Query - E-Commerce Sales Data" description="Connection to the 'E-Commerce Sales Data' query in the workbook." type="5" refreshedVersion="0" background="1">
    <dbPr connection="Provider=Microsoft.Mashup.OleDb.1;Data Source=$Workbook$;Location=&quot;E-Commerce Sales Data&quot;;Extended Properties=&quot;&quot;" command="SELECT * FROM [E-Commerce Sales 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<sst xmlns="http://schemas.openxmlformats.org/spreadsheetml/2006/main" count="17028" uniqueCount="1859">
  <si>
    <t>Order_ID</t>
  </si>
  <si>
    <t>Order_Date</t>
  </si>
  <si>
    <t>Fist_name</t>
  </si>
  <si>
    <t>Last_name</t>
  </si>
  <si>
    <t>Customer_Age</t>
  </si>
  <si>
    <t>Gender</t>
  </si>
  <si>
    <t>City</t>
  </si>
  <si>
    <t>State</t>
  </si>
  <si>
    <t>Region</t>
  </si>
  <si>
    <t>Segment</t>
  </si>
  <si>
    <t>Category</t>
  </si>
  <si>
    <t>Sub_Category</t>
  </si>
  <si>
    <t>Product</t>
  </si>
  <si>
    <t>Sales</t>
  </si>
  <si>
    <t>Quantity</t>
  </si>
  <si>
    <t>Discount</t>
  </si>
  <si>
    <t>Profit</t>
  </si>
  <si>
    <t>Payment_Mode</t>
  </si>
  <si>
    <t>Shipping_Mode</t>
  </si>
  <si>
    <t>Order_Status</t>
  </si>
  <si>
    <t>Customer_Rating</t>
  </si>
  <si>
    <t>ORD0001</t>
  </si>
  <si>
    <t>Rahul</t>
  </si>
  <si>
    <t>Patil</t>
  </si>
  <si>
    <t>Male</t>
  </si>
  <si>
    <t>Mumbai</t>
  </si>
  <si>
    <t>Maharashtra</t>
  </si>
  <si>
    <t>West</t>
  </si>
  <si>
    <t>Consumer</t>
  </si>
  <si>
    <t>Electronics</t>
  </si>
  <si>
    <t>Computers</t>
  </si>
  <si>
    <t>Laptop</t>
  </si>
  <si>
    <t>UPI</t>
  </si>
  <si>
    <t>Standard</t>
  </si>
  <si>
    <t>Delivered</t>
  </si>
  <si>
    <t>ORD0002</t>
  </si>
  <si>
    <t>Priya</t>
  </si>
  <si>
    <t>Shah</t>
  </si>
  <si>
    <t>Female</t>
  </si>
  <si>
    <t>Bengaluru</t>
  </si>
  <si>
    <t>Karnataka</t>
  </si>
  <si>
    <t>South</t>
  </si>
  <si>
    <t>Corporate</t>
  </si>
  <si>
    <t>Furniture</t>
  </si>
  <si>
    <t>Chairs</t>
  </si>
  <si>
    <t>Office Chair</t>
  </si>
  <si>
    <t>Credit Card</t>
  </si>
  <si>
    <t>Express</t>
  </si>
  <si>
    <t>ORD0003</t>
  </si>
  <si>
    <t>Amit</t>
  </si>
  <si>
    <t>Kumar</t>
  </si>
  <si>
    <t>Delhi</t>
  </si>
  <si>
    <t>North</t>
  </si>
  <si>
    <t>Accessories</t>
  </si>
  <si>
    <t>Monitor</t>
  </si>
  <si>
    <t>Debit Card</t>
  </si>
  <si>
    <t>ORD0004</t>
  </si>
  <si>
    <t>Sneha</t>
  </si>
  <si>
    <t>Joshi</t>
  </si>
  <si>
    <t>Pune</t>
  </si>
  <si>
    <t>Office Supplies</t>
  </si>
  <si>
    <t>Paper</t>
  </si>
  <si>
    <t>Printer Paper</t>
  </si>
  <si>
    <t>ORD0005</t>
  </si>
  <si>
    <t>Rohan</t>
  </si>
  <si>
    <t>Mehta</t>
  </si>
  <si>
    <t>Ahmedabad</t>
  </si>
  <si>
    <t>Gujarat</t>
  </si>
  <si>
    <t>Tables</t>
  </si>
  <si>
    <t>Office Desk</t>
  </si>
  <si>
    <t>ORD0006</t>
  </si>
  <si>
    <t>Neha</t>
  </si>
  <si>
    <t>Singh</t>
  </si>
  <si>
    <t>Hyderabad</t>
  </si>
  <si>
    <t>Telangana</t>
  </si>
  <si>
    <t>Keyboard</t>
  </si>
  <si>
    <t>ORD0007</t>
  </si>
  <si>
    <t>Vikas</t>
  </si>
  <si>
    <t>Nagpur</t>
  </si>
  <si>
    <t>Mouse</t>
  </si>
  <si>
    <t>Cash</t>
  </si>
  <si>
    <t>ORD0008</t>
  </si>
  <si>
    <t>Anjali</t>
  </si>
  <si>
    <t>Rao</t>
  </si>
  <si>
    <t>Jaipur</t>
  </si>
  <si>
    <t>Rajasthan</t>
  </si>
  <si>
    <t>Notebook</t>
  </si>
  <si>
    <t>ORD0009</t>
  </si>
  <si>
    <t>Suresh</t>
  </si>
  <si>
    <t>Kolkata</t>
  </si>
  <si>
    <t>West Bengal</t>
  </si>
  <si>
    <t>East</t>
  </si>
  <si>
    <t>Storage</t>
  </si>
  <si>
    <t>Filing Cabinet</t>
  </si>
  <si>
    <t>ORD0010</t>
  </si>
  <si>
    <t>Pooja</t>
  </si>
  <si>
    <t>Printers</t>
  </si>
  <si>
    <t>Printer</t>
  </si>
  <si>
    <t>ORD0011</t>
  </si>
  <si>
    <t>Raj</t>
  </si>
  <si>
    <t>Verma</t>
  </si>
  <si>
    <t>Chennai</t>
  </si>
  <si>
    <t>Tamil Nadu</t>
  </si>
  <si>
    <t>Pen Set</t>
  </si>
  <si>
    <t>ORD0012</t>
  </si>
  <si>
    <t>Kiran</t>
  </si>
  <si>
    <t>Conference Table</t>
  </si>
  <si>
    <t>ORD0013</t>
  </si>
  <si>
    <t>Arjun</t>
  </si>
  <si>
    <t>ORD0014</t>
  </si>
  <si>
    <t>Meena</t>
  </si>
  <si>
    <t>File Folder</t>
  </si>
  <si>
    <t>ORD0015</t>
  </si>
  <si>
    <t>Sameer</t>
  </si>
  <si>
    <t>Khan</t>
  </si>
  <si>
    <t>ORD0016</t>
  </si>
  <si>
    <t>Priyanka</t>
  </si>
  <si>
    <t>ORD0017</t>
  </si>
  <si>
    <t>Aakash</t>
  </si>
  <si>
    <t>ORD0018</t>
  </si>
  <si>
    <t>Divya</t>
  </si>
  <si>
    <t>ORD0019</t>
  </si>
  <si>
    <t>Manish</t>
  </si>
  <si>
    <t>ORD0020</t>
  </si>
  <si>
    <t>Swati</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</si>
  <si>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</si>
  <si>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</si>
  <si>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</si>
  <si>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</si>
  <si>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</si>
  <si>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</si>
  <si>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</si>
  <si>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</si>
  <si>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</si>
  <si>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</si>
  <si>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</si>
  <si>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</si>
  <si>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</si>
  <si>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</si>
  <si>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</si>
  <si>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</si>
  <si>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</si>
  <si>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</si>
  <si>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</si>
  <si>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</si>
  <si>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</si>
  <si>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</si>
  <si>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</si>
  <si>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</si>
  <si>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</si>
  <si>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</si>
  <si>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</si>
  <si>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</si>
  <si>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</si>
  <si>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</si>
  <si>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</si>
  <si>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</si>
  <si>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</si>
  <si>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</si>
  <si>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</si>
  <si>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</si>
  <si>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</si>
  <si>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</si>
  <si>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</si>
  <si>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</si>
  <si>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</si>
  <si>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</si>
  <si>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</si>
  <si>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</si>
  <si>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</si>
  <si>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</si>
  <si>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</si>
  <si>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</si>
  <si>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</si>
  <si>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</si>
  <si>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</si>
  <si>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</si>
  <si>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</si>
  <si>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</si>
  <si>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</si>
  <si>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</si>
  <si>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</si>
  <si>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</si>
  <si>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</si>
  <si>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</si>
  <si>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</si>
  <si>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</si>
  <si>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</si>
  <si>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</si>
  <si>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</si>
  <si>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</si>
  <si>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</si>
  <si>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</si>
  <si>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</si>
  <si>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</si>
  <si>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</si>
  <si>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</si>
  <si>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</si>
  <si>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</si>
  <si>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</si>
  <si>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</si>
  <si>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</si>
  <si>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</si>
  <si>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</si>
  <si>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</si>
  <si>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</si>
  <si>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</si>
  <si>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</si>
  <si>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</si>
  <si>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</si>
  <si>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</si>
  <si>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</si>
  <si>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</si>
  <si>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</si>
  <si>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</si>
  <si>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</si>
  <si>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</si>
  <si>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</si>
  <si>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</si>
  <si>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</si>
  <si>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</si>
  <si>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</si>
  <si>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</si>
  <si>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</si>
  <si>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</si>
  <si>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</si>
  <si>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</si>
  <si>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</si>
  <si>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</si>
  <si>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</si>
  <si>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</si>
  <si>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</si>
  <si>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</si>
  <si>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</si>
  <si>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</si>
  <si>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</si>
  <si>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</si>
  <si>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</si>
  <si>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</si>
  <si>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</si>
  <si>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</si>
  <si>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</si>
  <si>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</si>
  <si>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</si>
  <si>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</si>
  <si>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</si>
  <si>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</si>
  <si>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</si>
  <si>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</si>
  <si>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</si>
  <si>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</si>
  <si>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</si>
  <si>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</si>
  <si>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</si>
  <si>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</si>
  <si>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</si>
  <si>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</si>
  <si>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</si>
  <si>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</si>
  <si>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</si>
  <si>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</si>
  <si>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</si>
  <si>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</si>
  <si>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</si>
  <si>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</si>
  <si>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</si>
  <si>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</si>
  <si>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</si>
  <si>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</si>
  <si>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</si>
  <si>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</si>
  <si>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</si>
  <si>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</si>
  <si>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</si>
  <si>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</si>
  <si>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</si>
  <si>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</si>
  <si>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</si>
  <si>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</si>
  <si>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</si>
  <si>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</si>
  <si>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</si>
  <si>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</si>
  <si>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</si>
  <si>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</si>
  <si>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</si>
  <si>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</si>
  <si>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</si>
  <si>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</si>
  <si>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</si>
  <si>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</si>
  <si>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</si>
  <si>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</si>
  <si>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</si>
  <si>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</si>
  <si>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</si>
  <si>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</si>
  <si>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</si>
  <si>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</si>
  <si>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</si>
  <si>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</si>
  <si>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</si>
  <si>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</si>
  <si>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</si>
  <si>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</si>
  <si>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</si>
  <si>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</si>
  <si>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</si>
  <si>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</si>
  <si>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</si>
  <si>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</si>
  <si>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</si>
  <si>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</si>
  <si>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</si>
  <si>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</si>
  <si>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</si>
  <si>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</si>
  <si>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</si>
  <si>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</si>
  <si>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</si>
  <si>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</si>
  <si>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</si>
  <si>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</si>
  <si>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</si>
  <si>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</si>
  <si>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</si>
  <si>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</si>
  <si>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</si>
  <si>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</si>
  <si>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</si>
  <si>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</si>
  <si>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</si>
  <si>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</si>
  <si>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</si>
  <si>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</si>
  <si>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</si>
  <si>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</si>
  <si>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</si>
  <si>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</si>
  <si>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</si>
  <si>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</si>
  <si>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</si>
  <si>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</si>
  <si>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</si>
  <si>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</si>
  <si>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</si>
  <si>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</si>
  <si>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</si>
  <si>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</si>
  <si>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</si>
  <si>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</si>
  <si>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</si>
  <si>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</si>
  <si>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</si>
  <si>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</si>
  <si>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</si>
  <si>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</si>
  <si>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</si>
  <si>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</si>
  <si>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</si>
  <si>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</si>
  <si>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</si>
  <si>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</si>
  <si>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</si>
  <si>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</si>
  <si>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</si>
  <si>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</si>
  <si>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</si>
  <si>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</si>
  <si>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</si>
  <si>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</si>
  <si>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</si>
  <si>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</si>
  <si>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</si>
  <si>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</si>
  <si>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</si>
  <si>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</si>
  <si>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</si>
  <si>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</si>
  <si>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</si>
  <si>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</si>
  <si>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</si>
  <si>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</si>
  <si>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</si>
  <si>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</si>
  <si>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</si>
  <si>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</si>
  <si>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</si>
  <si>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</si>
  <si>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</si>
  <si>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</si>
  <si>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</si>
  <si>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</si>
  <si>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</si>
  <si>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</si>
  <si>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</si>
  <si>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</si>
  <si>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</si>
  <si>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</si>
  <si>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</si>
  <si>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</si>
  <si>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</si>
  <si>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</si>
  <si>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</si>
  <si>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</si>
  <si>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</si>
  <si>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</si>
  <si>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</si>
  <si>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</si>
  <si>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</si>
  <si>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</si>
  <si>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</si>
  <si>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</si>
  <si>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</si>
  <si>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</si>
  <si>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</si>
  <si>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</si>
  <si>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</si>
  <si>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</si>
  <si>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</si>
  <si>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</si>
  <si>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</si>
  <si>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</si>
  <si>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</si>
  <si>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</si>
  <si>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</si>
  <si>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</si>
  <si>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</si>
  <si>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</si>
  <si>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</si>
  <si>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</si>
  <si>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</si>
  <si>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</si>
  <si>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</si>
  <si>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</si>
  <si>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</si>
  <si>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</si>
  <si>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</si>
  <si>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</si>
  <si>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</si>
  <si>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</si>
  <si>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</si>
  <si>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</si>
  <si>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</si>
  <si>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</si>
  <si>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</si>
  <si>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</si>
  <si>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</si>
  <si>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</si>
  <si>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</si>
  <si>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</si>
  <si>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</si>
  <si>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</si>
  <si>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</si>
  <si>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</si>
  <si>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</si>
  <si>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</si>
  <si>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</si>
  <si>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</si>
  <si>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</si>
  <si>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</si>
  <si>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</si>
  <si>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</si>
  <si>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</si>
  <si>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</si>
  <si>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</si>
  <si>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</si>
  <si>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</si>
  <si>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</si>
  <si>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</si>
  <si>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</si>
  <si>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</si>
  <si>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</si>
  <si>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</si>
  <si>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</si>
  <si>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</si>
  <si>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</si>
  <si>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</si>
  <si>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</si>
  <si>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</si>
  <si>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</si>
  <si>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</si>
  <si>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</si>
  <si>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</si>
  <si>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</si>
  <si>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</si>
  <si>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</si>
  <si>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</si>
  <si>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</si>
  <si>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</si>
  <si>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</si>
  <si>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</si>
  <si>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</si>
  <si>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</si>
  <si>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</si>
  <si>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</si>
  <si>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</si>
  <si>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</si>
  <si>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</si>
  <si>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</si>
  <si>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</si>
  <si>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</si>
  <si>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</si>
  <si>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</si>
  <si>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</si>
  <si>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</si>
  <si>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</si>
  <si>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</si>
  <si>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</si>
  <si>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</si>
  <si>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</si>
  <si>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</si>
  <si>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</si>
  <si>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</si>
  <si>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</si>
  <si>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</si>
  <si>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</si>
  <si>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</si>
  <si>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</si>
  <si>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</si>
  <si>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</si>
  <si>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</si>
  <si>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</si>
  <si>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</si>
  <si>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</si>
  <si>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</si>
  <si>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</si>
  <si>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</si>
  <si>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</si>
  <si>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</si>
  <si>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</si>
  <si>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</si>
  <si>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</si>
  <si>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</si>
  <si>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</si>
  <si>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</si>
  <si>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</si>
  <si>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</si>
  <si>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</si>
  <si>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</si>
  <si>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</si>
  <si>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</si>
  <si>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</si>
  <si>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</si>
  <si>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</si>
  <si>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</si>
  <si>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</si>
  <si>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</si>
  <si>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</si>
  <si>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</si>
  <si>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</si>
  <si>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</si>
  <si>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</si>
  <si>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</si>
  <si>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</si>
  <si>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</si>
  <si>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</si>
  <si>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</si>
  <si>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</si>
  <si>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</si>
  <si>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</si>
  <si>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</si>
  <si>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</si>
  <si>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</si>
  <si>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</si>
  <si>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</si>
  <si>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</si>
  <si>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</si>
  <si>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</si>
  <si>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</si>
  <si>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</si>
  <si>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</si>
  <si>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</si>
  <si>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</si>
  <si>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</si>
  <si>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</si>
  <si>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</si>
  <si>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</si>
  <si>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</si>
  <si>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</si>
  <si>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</si>
  <si>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</si>
  <si>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</si>
  <si>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</si>
  <si>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</si>
  <si>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</si>
  <si>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</si>
  <si>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</si>
  <si>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</si>
  <si>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</si>
  <si>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</si>
  <si>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</si>
  <si>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</si>
  <si>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</si>
  <si>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</si>
  <si>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</si>
  <si>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</si>
  <si>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</si>
  <si>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</si>
  <si>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</si>
  <si>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</si>
  <si>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</si>
  <si>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</si>
  <si>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</si>
  <si>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</si>
  <si>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</si>
  <si>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</si>
  <si>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</si>
  <si>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</si>
  <si>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</si>
  <si>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</si>
  <si>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</si>
  <si>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</si>
  <si>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</si>
  <si>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</si>
  <si>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</si>
  <si>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</si>
  <si>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</si>
  <si>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</si>
  <si>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</si>
  <si>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</si>
  <si>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</si>
  <si>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</si>
  <si>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</si>
  <si>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</si>
  <si>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</si>
  <si>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</si>
  <si>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</si>
  <si>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</si>
  <si>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</si>
  <si>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</si>
  <si>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</si>
  <si>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</si>
  <si>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</si>
  <si>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</si>
  <si>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</si>
  <si>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</si>
  <si>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</si>
  <si>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</si>
  <si>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</si>
  <si>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</si>
  <si>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</si>
  <si>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</si>
  <si>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</si>
  <si>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</si>
  <si>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</si>
  <si>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</si>
  <si>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</si>
  <si>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</si>
  <si>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</si>
  <si>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</si>
  <si>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</si>
  <si>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</si>
  <si>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</si>
  <si>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</si>
  <si>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</si>
  <si>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</si>
  <si>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</si>
  <si>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</si>
  <si>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</si>
  <si>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</si>
  <si>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</si>
  <si>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</si>
  <si>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</si>
  <si>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</si>
  <si>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</si>
  <si>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</si>
  <si>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</si>
  <si>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</si>
  <si>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</si>
  <si>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</si>
  <si>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</si>
  <si>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</si>
  <si>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</si>
  <si>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</si>
  <si>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</si>
  <si>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</si>
  <si>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</si>
  <si>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</si>
  <si>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</si>
  <si>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</si>
  <si>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</si>
  <si>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</si>
  <si>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</si>
  <si>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</si>
  <si>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</si>
  <si>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</si>
  <si>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</si>
  <si>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</si>
  <si>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</si>
  <si>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</si>
  <si>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</si>
  <si>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</si>
  <si>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</si>
  <si>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</si>
  <si>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</si>
  <si>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</si>
  <si>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</si>
  <si>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</si>
  <si>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</si>
  <si>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</si>
  <si>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</si>
  <si>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</si>
  <si>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</si>
  <si>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</si>
  <si>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</si>
  <si>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</si>
  <si>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</si>
  <si>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</si>
  <si>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</si>
  <si>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</si>
  <si>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</si>
  <si>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</si>
  <si>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</si>
  <si>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</si>
  <si>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</si>
  <si>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</si>
  <si>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</si>
  <si>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</si>
  <si>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</si>
  <si>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</si>
  <si>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</si>
  <si>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</si>
  <si>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</si>
  <si>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</si>
  <si>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</si>
  <si>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</si>
  <si>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</si>
  <si>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</si>
  <si>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</si>
  <si>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</si>
  <si>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</si>
  <si>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</si>
  <si>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</si>
  <si>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</si>
  <si>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</si>
  <si>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</si>
  <si>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</si>
  <si>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</si>
  <si>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</si>
  <si>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</si>
  <si>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</si>
  <si>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</si>
  <si>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</si>
  <si>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</si>
  <si>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</si>
  <si>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</si>
  <si>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</si>
  <si>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</si>
  <si>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</si>
  <si>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</si>
  <si>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</si>
  <si>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</si>
  <si>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</si>
  <si>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</si>
  <si>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</si>
  <si>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</si>
  <si>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</si>
  <si>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</si>
  <si>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</si>
  <si>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</si>
  <si>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</si>
  <si>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</si>
  <si>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</si>
  <si>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</si>
  <si>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</si>
  <si>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</si>
  <si>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</si>
  <si>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</si>
  <si>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</si>
  <si>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</si>
  <si>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</si>
  <si>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</si>
  <si>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</si>
  <si>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</si>
  <si>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</si>
  <si>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</si>
  <si>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</si>
  <si>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</si>
  <si>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</si>
  <si>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</si>
  <si>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</si>
  <si>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</si>
  <si>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</si>
  <si>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</si>
  <si>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</si>
  <si>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</si>
  <si>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</si>
  <si>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</si>
  <si>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</si>
  <si>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</si>
  <si>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</si>
  <si>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</si>
  <si>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</si>
  <si>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</si>
  <si>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</si>
  <si>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</si>
  <si>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</si>
  <si>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</si>
  <si>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</si>
  <si>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</si>
  <si>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</si>
  <si>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</si>
  <si>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</si>
  <si>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</si>
  <si>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</si>
  <si>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</si>
  <si>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</si>
  <si>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</si>
  <si>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</si>
  <si>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</si>
  <si>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</si>
  <si>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</si>
  <si>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</si>
  <si>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</si>
  <si>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</si>
  <si>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</si>
  <si>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</si>
  <si>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</si>
  <si>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</si>
  <si>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</si>
  <si>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</si>
  <si>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</si>
  <si>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</si>
  <si>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</si>
  <si>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</si>
  <si>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</si>
  <si>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</si>
  <si>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</si>
  <si>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</si>
  <si>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</si>
  <si>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</si>
  <si>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</si>
  <si>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</si>
  <si>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</si>
  <si>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</si>
  <si>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</si>
  <si>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</si>
  <si>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</si>
  <si>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</si>
  <si>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</si>
  <si>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</si>
  <si>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</si>
  <si>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</si>
  <si>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</si>
  <si>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</si>
  <si>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</si>
  <si>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</si>
  <si>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</si>
  <si>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</si>
  <si>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</si>
  <si>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</si>
  <si>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</si>
  <si>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</si>
  <si>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</si>
  <si>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</si>
  <si>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</si>
  <si>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</si>
  <si>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</si>
  <si>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</si>
  <si>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</si>
  <si>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</si>
  <si>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</si>
  <si>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</si>
  <si>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</si>
  <si>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</si>
  <si>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</si>
  <si>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</si>
  <si>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</si>
  <si>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</si>
  <si>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</si>
  <si>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</si>
  <si>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</si>
  <si>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</si>
  <si>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</si>
  <si>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</si>
  <si>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</si>
  <si>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</si>
  <si>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</si>
  <si>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</si>
  <si>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</si>
  <si>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</si>
  <si>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</si>
  <si>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</si>
  <si>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</si>
  <si>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</si>
  <si>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</si>
  <si>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</si>
  <si>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</si>
  <si>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</si>
  <si>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</si>
  <si>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</si>
  <si>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</si>
  <si>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</si>
  <si>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</si>
  <si>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</si>
  <si>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</si>
  <si>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</si>
  <si>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</si>
  <si>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</si>
  <si>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</si>
  <si>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</si>
  <si>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</si>
  <si>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</si>
  <si>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</si>
  <si>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</si>
  <si>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Akshay</t>
  </si>
  <si>
    <t>Deshmukh</t>
  </si>
  <si>
    <t>ORD0802</t>
  </si>
  <si>
    <t>Isha</t>
  </si>
  <si>
    <t>Kulkarni</t>
  </si>
  <si>
    <t>ORD0803</t>
  </si>
  <si>
    <t>Nikhil</t>
  </si>
  <si>
    <t>Bhosale</t>
  </si>
  <si>
    <t>Nashik</t>
  </si>
  <si>
    <t>ORD0804</t>
  </si>
  <si>
    <t>Shreya</t>
  </si>
  <si>
    <t>Nair</t>
  </si>
  <si>
    <t>ORD0805</t>
  </si>
  <si>
    <t>Omkar</t>
  </si>
  <si>
    <t>Jadhav</t>
  </si>
  <si>
    <t>ORD0806</t>
  </si>
  <si>
    <t>Riya</t>
  </si>
  <si>
    <t>Chavan</t>
  </si>
  <si>
    <t>Thane</t>
  </si>
  <si>
    <t>ORD0807</t>
  </si>
  <si>
    <t>Aditya</t>
  </si>
  <si>
    <t>Sawant</t>
  </si>
  <si>
    <t>Kolhapur</t>
  </si>
  <si>
    <t>ORD0808</t>
  </si>
  <si>
    <t>Tanvi</t>
  </si>
  <si>
    <t>More</t>
  </si>
  <si>
    <t>Aurangabad</t>
  </si>
  <si>
    <t>ORD0809</t>
  </si>
  <si>
    <t>Harsh</t>
  </si>
  <si>
    <t>Vora</t>
  </si>
  <si>
    <t>ORD0810</t>
  </si>
  <si>
    <t>Mitali</t>
  </si>
  <si>
    <t>Kapoor</t>
  </si>
  <si>
    <t>ORD0811</t>
  </si>
  <si>
    <t>Siddharth</t>
  </si>
  <si>
    <t>Malhotra</t>
  </si>
  <si>
    <t>ORD0812</t>
  </si>
  <si>
    <t>Kavya</t>
  </si>
  <si>
    <t>Iyer</t>
  </si>
  <si>
    <t>ORD0813</t>
  </si>
  <si>
    <t>Pranav</t>
  </si>
  <si>
    <t>ORD0814</t>
  </si>
  <si>
    <t>Ananya</t>
  </si>
  <si>
    <t>Rane</t>
  </si>
  <si>
    <t>ORD0815</t>
  </si>
  <si>
    <t>Varun</t>
  </si>
  <si>
    <t>Shetty</t>
  </si>
  <si>
    <t>Goa</t>
  </si>
  <si>
    <t>ORD0816</t>
  </si>
  <si>
    <t>Simran</t>
  </si>
  <si>
    <t>Kaur</t>
  </si>
  <si>
    <t>Chandigarh</t>
  </si>
  <si>
    <t>ORD0817</t>
  </si>
  <si>
    <t>Manav</t>
  </si>
  <si>
    <t>Surat</t>
  </si>
  <si>
    <t>ORD0818</t>
  </si>
  <si>
    <t>Aarohi</t>
  </si>
  <si>
    <t>Sethi</t>
  </si>
  <si>
    <t>Indore</t>
  </si>
  <si>
    <t>Madhya Pradesh</t>
  </si>
  <si>
    <t>Central</t>
  </si>
  <si>
    <t>ORD0819</t>
  </si>
  <si>
    <t>Yash</t>
  </si>
  <si>
    <t>Thakur</t>
  </si>
  <si>
    <t>Dehradun</t>
  </si>
  <si>
    <t>Uttarakhand</t>
  </si>
  <si>
    <t>ORD0820</t>
  </si>
  <si>
    <t>Myra</t>
  </si>
  <si>
    <t>Fernandes</t>
  </si>
  <si>
    <t>ORD0821</t>
  </si>
  <si>
    <t>Devendra</t>
  </si>
  <si>
    <t>Pawar</t>
  </si>
  <si>
    <t>ORD0822</t>
  </si>
  <si>
    <t>Saumya</t>
  </si>
  <si>
    <t>Agarwal</t>
  </si>
  <si>
    <t>Lucknow</t>
  </si>
  <si>
    <t>Uttar Pradesh</t>
  </si>
  <si>
    <t>ORD0823</t>
  </si>
  <si>
    <t>Chirag</t>
  </si>
  <si>
    <t>Jain</t>
  </si>
  <si>
    <t>ORD0824</t>
  </si>
  <si>
    <t>Pallavi</t>
  </si>
  <si>
    <t>Gokhale</t>
  </si>
  <si>
    <t>ORD0825</t>
  </si>
  <si>
    <t>Ritesh</t>
  </si>
  <si>
    <t>Mahajan</t>
  </si>
  <si>
    <t>Vadodara</t>
  </si>
  <si>
    <t>ORD0826</t>
  </si>
  <si>
    <t>Nandini</t>
  </si>
  <si>
    <t>Bose</t>
  </si>
  <si>
    <t>ORD0827</t>
  </si>
  <si>
    <t>Abhishek</t>
  </si>
  <si>
    <t>Tiwari</t>
  </si>
  <si>
    <t>Kanpur</t>
  </si>
  <si>
    <t>ORD0828</t>
  </si>
  <si>
    <t>Trisha</t>
  </si>
  <si>
    <t>Mukherjee</t>
  </si>
  <si>
    <t>ORD0829</t>
  </si>
  <si>
    <t>Kunal</t>
  </si>
  <si>
    <t>Soni</t>
  </si>
  <si>
    <t>ORD0830</t>
  </si>
  <si>
    <t>Diya</t>
  </si>
  <si>
    <t>Menon</t>
  </si>
  <si>
    <t>Kochi</t>
  </si>
  <si>
    <t>Kerala</t>
  </si>
  <si>
    <t>ORD0831</t>
  </si>
  <si>
    <t>Anirudh</t>
  </si>
  <si>
    <t>Pillai</t>
  </si>
  <si>
    <t>ORD0832</t>
  </si>
  <si>
    <t>Radhika</t>
  </si>
  <si>
    <t>Coimbatore</t>
  </si>
  <si>
    <t>ORD0833</t>
  </si>
  <si>
    <t>Shubham</t>
  </si>
  <si>
    <t>Mishra</t>
  </si>
  <si>
    <t>Bhopal</t>
  </si>
  <si>
    <t>ORD0834</t>
  </si>
  <si>
    <t>Aditi</t>
  </si>
  <si>
    <t>Saxena</t>
  </si>
  <si>
    <t>Noida</t>
  </si>
  <si>
    <t>ORD0835</t>
  </si>
  <si>
    <t>Tejas</t>
  </si>
  <si>
    <t>Kamat</t>
  </si>
  <si>
    <t>Panaji</t>
  </si>
  <si>
    <t>ORD0836</t>
  </si>
  <si>
    <t>Meher</t>
  </si>
  <si>
    <t>ORD0837</t>
  </si>
  <si>
    <t>Parth</t>
  </si>
  <si>
    <t>Trivedi</t>
  </si>
  <si>
    <t>Rajkot</t>
  </si>
  <si>
    <t>ORD0838</t>
  </si>
  <si>
    <t>Sana</t>
  </si>
  <si>
    <t>Qureshi</t>
  </si>
  <si>
    <t>ORD0839</t>
  </si>
  <si>
    <t>Abhinav</t>
  </si>
  <si>
    <t>Gupta</t>
  </si>
  <si>
    <t>ORD0840</t>
  </si>
  <si>
    <t>Muskaan</t>
  </si>
  <si>
    <t>Arora</t>
  </si>
  <si>
    <t>Amritsar</t>
  </si>
  <si>
    <t>Punjab</t>
  </si>
  <si>
    <t>ORD0841</t>
  </si>
  <si>
    <t>Shreyas</t>
  </si>
  <si>
    <t>ORD0842</t>
  </si>
  <si>
    <t>Vaishnavi</t>
  </si>
  <si>
    <t>Satara</t>
  </si>
  <si>
    <t>ORD0843</t>
  </si>
  <si>
    <t>Akash</t>
  </si>
  <si>
    <t>Bhat</t>
  </si>
  <si>
    <t>Mangaluru</t>
  </si>
  <si>
    <t>ORD0844</t>
  </si>
  <si>
    <t>Roshni</t>
  </si>
  <si>
    <t>Sinha</t>
  </si>
  <si>
    <t>Patna</t>
  </si>
  <si>
    <t>Bihar</t>
  </si>
  <si>
    <t>ORD0845</t>
  </si>
  <si>
    <t>Mayur</t>
  </si>
  <si>
    <t>Khedekar</t>
  </si>
  <si>
    <t>ORD0846</t>
  </si>
  <si>
    <t>Heena</t>
  </si>
  <si>
    <t>Shaikh</t>
  </si>
  <si>
    <t>ORD0847</t>
  </si>
  <si>
    <t>Swapnil</t>
  </si>
  <si>
    <t>Wagh</t>
  </si>
  <si>
    <t>Amravati</t>
  </si>
  <si>
    <t>ORD0848</t>
  </si>
  <si>
    <t>Komal</t>
  </si>
  <si>
    <t>Yadav</t>
  </si>
  <si>
    <t>ORD0849</t>
  </si>
  <si>
    <t>Deepak</t>
  </si>
  <si>
    <t>Bansal</t>
  </si>
  <si>
    <t>Ludhiana</t>
  </si>
  <si>
    <t>ORD0850</t>
  </si>
  <si>
    <t>Nisha</t>
  </si>
  <si>
    <t>ORD0851</t>
  </si>
  <si>
    <t>Harshit</t>
  </si>
  <si>
    <t>Meerut</t>
  </si>
  <si>
    <t>ORD0852</t>
  </si>
  <si>
    <t>Ekta</t>
  </si>
  <si>
    <t>Choudhary</t>
  </si>
  <si>
    <t>Jodhpur</t>
  </si>
  <si>
    <t>ORD0853</t>
  </si>
  <si>
    <t>Gurugram</t>
  </si>
  <si>
    <t>Haryana</t>
  </si>
  <si>
    <t>ORD0854</t>
  </si>
  <si>
    <t>Neelam</t>
  </si>
  <si>
    <t>Agra</t>
  </si>
  <si>
    <t>ORD0855</t>
  </si>
  <si>
    <t>Dhruv</t>
  </si>
  <si>
    <t>ORD0856</t>
  </si>
  <si>
    <t>Ayesha</t>
  </si>
  <si>
    <t>ORD0857</t>
  </si>
  <si>
    <t>Jayesh</t>
  </si>
  <si>
    <t>Parmar</t>
  </si>
  <si>
    <t>ORD0858</t>
  </si>
  <si>
    <t>Palak</t>
  </si>
  <si>
    <t>ORD0859</t>
  </si>
  <si>
    <t>Abhay</t>
  </si>
  <si>
    <t>Rawat</t>
  </si>
  <si>
    <t>ORD0860</t>
  </si>
  <si>
    <t>Anushka</t>
  </si>
  <si>
    <t>Roy</t>
  </si>
  <si>
    <t>ORD0861</t>
  </si>
  <si>
    <t>Sachin</t>
  </si>
  <si>
    <t>ORD0862</t>
  </si>
  <si>
    <t>Manisha</t>
  </si>
  <si>
    <t>Reddy</t>
  </si>
  <si>
    <t>ORD0863</t>
  </si>
  <si>
    <t>Pratik</t>
  </si>
  <si>
    <t>Gawde</t>
  </si>
  <si>
    <t>ORD0864</t>
  </si>
  <si>
    <t>Sonali</t>
  </si>
  <si>
    <t>Deshpande</t>
  </si>
  <si>
    <t>ORD0865</t>
  </si>
  <si>
    <t>Rajat</t>
  </si>
  <si>
    <t>ORD0866</t>
  </si>
  <si>
    <t>Shalini</t>
  </si>
  <si>
    <t>ORD0867</t>
  </si>
  <si>
    <t>Amol</t>
  </si>
  <si>
    <t>Zende</t>
  </si>
  <si>
    <t>Akola</t>
  </si>
  <si>
    <t>ORD0868</t>
  </si>
  <si>
    <t>Reema</t>
  </si>
  <si>
    <t>Das</t>
  </si>
  <si>
    <t>Bhubaneswar</t>
  </si>
  <si>
    <t>Odisha</t>
  </si>
  <si>
    <t>ORD0869</t>
  </si>
  <si>
    <t>Varsha</t>
  </si>
  <si>
    <t>Nambiar</t>
  </si>
  <si>
    <t>ORD0870</t>
  </si>
  <si>
    <t>Arvind</t>
  </si>
  <si>
    <t>Thiruvananthapuram</t>
  </si>
  <si>
    <t>ORD0871</t>
  </si>
  <si>
    <t>Chaitanya</t>
  </si>
  <si>
    <t>Visakhapatnam</t>
  </si>
  <si>
    <t>Andhra Pradesh</t>
  </si>
  <si>
    <t>ORD0872</t>
  </si>
  <si>
    <t>Swara</t>
  </si>
  <si>
    <t>ORD0873</t>
  </si>
  <si>
    <t>Rohit</t>
  </si>
  <si>
    <t>Bhandari</t>
  </si>
  <si>
    <t>ORD0874</t>
  </si>
  <si>
    <t>Poonam</t>
  </si>
  <si>
    <t>Khatri</t>
  </si>
  <si>
    <t>ORD0875</t>
  </si>
  <si>
    <t>Shantanu</t>
  </si>
  <si>
    <t>ORD0876</t>
  </si>
  <si>
    <t>Farah</t>
  </si>
  <si>
    <t>Ansari</t>
  </si>
  <si>
    <t>ORD0877</t>
  </si>
  <si>
    <t>Hemant</t>
  </si>
  <si>
    <t>ORD0878</t>
  </si>
  <si>
    <t>Rupali</t>
  </si>
  <si>
    <t>Patwardhan</t>
  </si>
  <si>
    <t>ORD0879</t>
  </si>
  <si>
    <t>Vivek</t>
  </si>
  <si>
    <t>Raut</t>
  </si>
  <si>
    <t>ORD0880</t>
  </si>
  <si>
    <t>Sakshi</t>
  </si>
  <si>
    <t>Naik</t>
  </si>
  <si>
    <t>ORD0881</t>
  </si>
  <si>
    <t>Milind</t>
  </si>
  <si>
    <t>Jagtap</t>
  </si>
  <si>
    <t>Solapur</t>
  </si>
  <si>
    <t>ORD0882</t>
  </si>
  <si>
    <t>Shivani</t>
  </si>
  <si>
    <t>Desai</t>
  </si>
  <si>
    <t>ORD0883</t>
  </si>
  <si>
    <t>Kaustubh</t>
  </si>
  <si>
    <t>Sangli</t>
  </si>
  <si>
    <t>ORD0884</t>
  </si>
  <si>
    <t>Leena</t>
  </si>
  <si>
    <t>Thomas</t>
  </si>
  <si>
    <t>ORD0885</t>
  </si>
  <si>
    <t>Gaurav</t>
  </si>
  <si>
    <t>Singhania</t>
  </si>
  <si>
    <t>ORD0886</t>
  </si>
  <si>
    <t>Reshma</t>
  </si>
  <si>
    <t>ORD0887</t>
  </si>
  <si>
    <t>Nachiket</t>
  </si>
  <si>
    <t>Bapat</t>
  </si>
  <si>
    <t>ORD0888</t>
  </si>
  <si>
    <t>Charu</t>
  </si>
  <si>
    <t>ORD0889</t>
  </si>
  <si>
    <t>Pradeep</t>
  </si>
  <si>
    <t>Suri</t>
  </si>
  <si>
    <t>ORD0890</t>
  </si>
  <si>
    <t>Ruchi</t>
  </si>
  <si>
    <t>ORD0891</t>
  </si>
  <si>
    <t>Mayank</t>
  </si>
  <si>
    <t>Srivastava</t>
  </si>
  <si>
    <t>Varanasi</t>
  </si>
  <si>
    <t>ORD0892</t>
  </si>
  <si>
    <t>ORD0893</t>
  </si>
  <si>
    <t>ORD0894</t>
  </si>
  <si>
    <t>Shweta</t>
  </si>
  <si>
    <t>ORD0895</t>
  </si>
  <si>
    <t>ORD0896</t>
  </si>
  <si>
    <t>Sheikh</t>
  </si>
  <si>
    <t>ORD0897</t>
  </si>
  <si>
    <t>Prakash</t>
  </si>
  <si>
    <t>Naidu</t>
  </si>
  <si>
    <t>Vijayawada</t>
  </si>
  <si>
    <t>ORD0898</t>
  </si>
  <si>
    <t>Ankita</t>
  </si>
  <si>
    <t>Vaidya</t>
  </si>
  <si>
    <t>ORD0899</t>
  </si>
  <si>
    <t>Mahesh</t>
  </si>
  <si>
    <t>ORD0900</t>
  </si>
  <si>
    <t>Kirti</t>
  </si>
  <si>
    <t>ORD0901</t>
  </si>
  <si>
    <t>Sagar</t>
  </si>
  <si>
    <t>ORD0902</t>
  </si>
  <si>
    <t>Manasi</t>
  </si>
  <si>
    <t>Borkar</t>
  </si>
  <si>
    <t>ORD0903</t>
  </si>
  <si>
    <t>Tushar</t>
  </si>
  <si>
    <t>Shinde</t>
  </si>
  <si>
    <t>ORD0904</t>
  </si>
  <si>
    <t>Deepali</t>
  </si>
  <si>
    <t>Khot</t>
  </si>
  <si>
    <t>ORD0905</t>
  </si>
  <si>
    <t>Prasad</t>
  </si>
  <si>
    <t>Karmarkar</t>
  </si>
  <si>
    <t>ORD0906</t>
  </si>
  <si>
    <t>Tejal</t>
  </si>
  <si>
    <t>ORD0907</t>
  </si>
  <si>
    <t>Onkar</t>
  </si>
  <si>
    <t>Salve</t>
  </si>
  <si>
    <t>ORD0908</t>
  </si>
  <si>
    <t>Madhura</t>
  </si>
  <si>
    <t>Kale</t>
  </si>
  <si>
    <t>ORD0909</t>
  </si>
  <si>
    <t>Ajit</t>
  </si>
  <si>
    <t>ORD0910</t>
  </si>
  <si>
    <t>Pranali</t>
  </si>
  <si>
    <t>Gawande</t>
  </si>
  <si>
    <t>ORD0911</t>
  </si>
  <si>
    <t>Rushikesh</t>
  </si>
  <si>
    <t>Dhumal</t>
  </si>
  <si>
    <t>ORD0912</t>
  </si>
  <si>
    <t>Sonam</t>
  </si>
  <si>
    <t>Bhagat</t>
  </si>
  <si>
    <t>ORD0913</t>
  </si>
  <si>
    <t>Abhijeet</t>
  </si>
  <si>
    <t>Mhatre</t>
  </si>
  <si>
    <t>ORD0914</t>
  </si>
  <si>
    <t>Monali</t>
  </si>
  <si>
    <t>Shukla</t>
  </si>
  <si>
    <t>ORD0915</t>
  </si>
  <si>
    <t>Swapna</t>
  </si>
  <si>
    <t>ORD0916</t>
  </si>
  <si>
    <t>Raghav</t>
  </si>
  <si>
    <t>ORD0917</t>
  </si>
  <si>
    <t>Ankit</t>
  </si>
  <si>
    <t>Solanki</t>
  </si>
  <si>
    <t>ORD0918</t>
  </si>
  <si>
    <t>Prachi</t>
  </si>
  <si>
    <t>Vyas</t>
  </si>
  <si>
    <t>ORD0919</t>
  </si>
  <si>
    <t>Dube</t>
  </si>
  <si>
    <t>ORD0920</t>
  </si>
  <si>
    <t>Mysuru</t>
  </si>
  <si>
    <t>ORD0921</t>
  </si>
  <si>
    <t>Akshara</t>
  </si>
  <si>
    <t>ORD0922</t>
  </si>
  <si>
    <t>Manoj</t>
  </si>
  <si>
    <t>ORD0923</t>
  </si>
  <si>
    <t>Krishna</t>
  </si>
  <si>
    <t>Murthy</t>
  </si>
  <si>
    <t>ORD0924</t>
  </si>
  <si>
    <t>Lakshmi</t>
  </si>
  <si>
    <t>Krishnan</t>
  </si>
  <si>
    <t>ORD0925</t>
  </si>
  <si>
    <t>Arun</t>
  </si>
  <si>
    <t>ORD0926</t>
  </si>
  <si>
    <t>Megha</t>
  </si>
  <si>
    <t>ORD0927</t>
  </si>
  <si>
    <t>Suraj</t>
  </si>
  <si>
    <t>ORD0928</t>
  </si>
  <si>
    <t>Namrata</t>
  </si>
  <si>
    <t>ORD0929</t>
  </si>
  <si>
    <t>Praveen</t>
  </si>
  <si>
    <t>ORD0930</t>
  </si>
  <si>
    <t>Harini</t>
  </si>
  <si>
    <t>ORD0931</t>
  </si>
  <si>
    <t>ORD0932</t>
  </si>
  <si>
    <t>Naveen</t>
  </si>
  <si>
    <t>ORD0933</t>
  </si>
  <si>
    <t>Sai</t>
  </si>
  <si>
    <t>Warangal</t>
  </si>
  <si>
    <t>ORD0934</t>
  </si>
  <si>
    <t>Keerthana</t>
  </si>
  <si>
    <t>ORD0935</t>
  </si>
  <si>
    <t>ORD0936</t>
  </si>
  <si>
    <t>Deepa</t>
  </si>
  <si>
    <t>Udupi</t>
  </si>
  <si>
    <t>ORD0937</t>
  </si>
  <si>
    <t>Girish</t>
  </si>
  <si>
    <t>Gowda</t>
  </si>
  <si>
    <t>ORD0938</t>
  </si>
  <si>
    <t>Anusha</t>
  </si>
  <si>
    <t>Pai</t>
  </si>
  <si>
    <t>ORD0939</t>
  </si>
  <si>
    <t>Vijay</t>
  </si>
  <si>
    <t>ORD0940</t>
  </si>
  <si>
    <t>Hegde</t>
  </si>
  <si>
    <t>ORD0941</t>
  </si>
  <si>
    <t>Harish</t>
  </si>
  <si>
    <t>ORD0942</t>
  </si>
  <si>
    <t>Shilpa</t>
  </si>
  <si>
    <t>ORD0943</t>
  </si>
  <si>
    <t>Ramesh</t>
  </si>
  <si>
    <t>Nayak</t>
  </si>
  <si>
    <t>ORD0944</t>
  </si>
  <si>
    <t>Swetha</t>
  </si>
  <si>
    <t>ORD0945</t>
  </si>
  <si>
    <t>ORD0946</t>
  </si>
  <si>
    <t>Amrutha</t>
  </si>
  <si>
    <t>ORD0947</t>
  </si>
  <si>
    <t>Joseph</t>
  </si>
  <si>
    <t>Mathew</t>
  </si>
  <si>
    <t>ORD0948</t>
  </si>
  <si>
    <t>Kozhikode</t>
  </si>
  <si>
    <t>ORD0949</t>
  </si>
  <si>
    <t>George</t>
  </si>
  <si>
    <t>ORD0950</t>
  </si>
  <si>
    <t>Maya</t>
  </si>
  <si>
    <t>Kottayam</t>
  </si>
  <si>
    <t>ORD0951</t>
  </si>
  <si>
    <t>ORD0952</t>
  </si>
  <si>
    <t>Elsa</t>
  </si>
  <si>
    <t>ORD0953</t>
  </si>
  <si>
    <t>Kurian</t>
  </si>
  <si>
    <t>ORD0954</t>
  </si>
  <si>
    <t>ORD0955</t>
  </si>
  <si>
    <t>Varghese</t>
  </si>
  <si>
    <t>ORD0956</t>
  </si>
  <si>
    <t>Grace</t>
  </si>
  <si>
    <t>ORD0957</t>
  </si>
  <si>
    <t>Antony</t>
  </si>
  <si>
    <t>Paul</t>
  </si>
  <si>
    <t>Thrissur</t>
  </si>
  <si>
    <t>ORD0958</t>
  </si>
  <si>
    <t>Liya</t>
  </si>
  <si>
    <t>Alappuzha</t>
  </si>
  <si>
    <t>ORD0959</t>
  </si>
  <si>
    <t>Basil</t>
  </si>
  <si>
    <t>ORD0960</t>
  </si>
  <si>
    <t>Anu</t>
  </si>
  <si>
    <t>ORD0961</t>
  </si>
  <si>
    <t>Rajeev</t>
  </si>
  <si>
    <t>ORD0962</t>
  </si>
  <si>
    <t>Deepthi</t>
  </si>
  <si>
    <t>ORD0963</t>
  </si>
  <si>
    <t>Ajay</t>
  </si>
  <si>
    <t>ORD0964</t>
  </si>
  <si>
    <t>Remya</t>
  </si>
  <si>
    <t>ORD0965</t>
  </si>
  <si>
    <t>Sanjay</t>
  </si>
  <si>
    <t>Kurup</t>
  </si>
  <si>
    <t>ORD0966</t>
  </si>
  <si>
    <t>Meera</t>
  </si>
  <si>
    <t>Kollam</t>
  </si>
  <si>
    <t>ORD0967</t>
  </si>
  <si>
    <t>Manu</t>
  </si>
  <si>
    <t>ORD0968</t>
  </si>
  <si>
    <t>Sharon</t>
  </si>
  <si>
    <t>ORD0969</t>
  </si>
  <si>
    <t>Philip</t>
  </si>
  <si>
    <t>ORD0970</t>
  </si>
  <si>
    <t>Ann</t>
  </si>
  <si>
    <t>Maria</t>
  </si>
  <si>
    <t>ORD0971</t>
  </si>
  <si>
    <t>Josephine</t>
  </si>
  <si>
    <t>ORD0972</t>
  </si>
  <si>
    <t>Vinod</t>
  </si>
  <si>
    <t>ORD0973</t>
  </si>
  <si>
    <t>Sreeram</t>
  </si>
  <si>
    <t>ORD0974</t>
  </si>
  <si>
    <t>Anitha</t>
  </si>
  <si>
    <t>ORD0975</t>
  </si>
  <si>
    <t>ORD0976</t>
  </si>
  <si>
    <t>Bindu</t>
  </si>
  <si>
    <t>ORD0977</t>
  </si>
  <si>
    <t>Sunil</t>
  </si>
  <si>
    <t>Varma</t>
  </si>
  <si>
    <t>ORD0978</t>
  </si>
  <si>
    <t>Asha</t>
  </si>
  <si>
    <t>ORD0979</t>
  </si>
  <si>
    <t>ORD0980</t>
  </si>
  <si>
    <t>Rekha</t>
  </si>
  <si>
    <t>ORD0981</t>
  </si>
  <si>
    <t>ORD0982</t>
  </si>
  <si>
    <t>ORD0983</t>
  </si>
  <si>
    <t>Harikrishnan</t>
  </si>
  <si>
    <t>ORD0984</t>
  </si>
  <si>
    <t>Amala</t>
  </si>
  <si>
    <t>ORD0985</t>
  </si>
  <si>
    <t>ORD0986</t>
  </si>
  <si>
    <t>Jincy</t>
  </si>
  <si>
    <t>ORD0987</t>
  </si>
  <si>
    <t>Sobin</t>
  </si>
  <si>
    <t>ORD0988</t>
  </si>
  <si>
    <t>Anju</t>
  </si>
  <si>
    <t>ORD0989</t>
  </si>
  <si>
    <t>ORD0990</t>
  </si>
  <si>
    <t>Merin</t>
  </si>
  <si>
    <t>ORD0991</t>
  </si>
  <si>
    <t>Alex</t>
  </si>
  <si>
    <t>ORD0992</t>
  </si>
  <si>
    <t>Elsy</t>
  </si>
  <si>
    <t>ORD0993</t>
  </si>
  <si>
    <t>ORD0994</t>
  </si>
  <si>
    <t>Sheeba</t>
  </si>
  <si>
    <t>ORD0995</t>
  </si>
  <si>
    <t>ORD0996</t>
  </si>
  <si>
    <t>ORD0997</t>
  </si>
  <si>
    <t>ORD0998</t>
  </si>
  <si>
    <t>ORD0999</t>
  </si>
  <si>
    <t>Francis</t>
  </si>
  <si>
    <t>ORD1000</t>
  </si>
  <si>
    <t>Merlyn</t>
  </si>
  <si>
    <t>ORD1001</t>
  </si>
  <si>
    <t>Adwait</t>
  </si>
  <si>
    <t>Ranade</t>
  </si>
  <si>
    <t>ORD1002</t>
  </si>
  <si>
    <t>Mrunal</t>
  </si>
  <si>
    <t>Bendre</t>
  </si>
  <si>
    <t>ORD1003</t>
  </si>
  <si>
    <t>Chinmay</t>
  </si>
  <si>
    <t>Apte</t>
  </si>
  <si>
    <t>ORD1004</t>
  </si>
  <si>
    <t>Ishita</t>
  </si>
  <si>
    <t>ORD1005</t>
  </si>
  <si>
    <t>Abhiraj</t>
  </si>
  <si>
    <t>Lele</t>
  </si>
  <si>
    <t>ORD1006</t>
  </si>
  <si>
    <t>Rutuja</t>
  </si>
  <si>
    <t>Inamdar</t>
  </si>
  <si>
    <t>ORD1007</t>
  </si>
  <si>
    <t>Manas</t>
  </si>
  <si>
    <t>Datar</t>
  </si>
  <si>
    <t>ORD1008</t>
  </si>
  <si>
    <t>Shalmali</t>
  </si>
  <si>
    <t>Oak</t>
  </si>
  <si>
    <t>ORD1009</t>
  </si>
  <si>
    <t>Tejaswini</t>
  </si>
  <si>
    <t>Ahmednagar</t>
  </si>
  <si>
    <t>ORD1010</t>
  </si>
  <si>
    <t>Ronit</t>
  </si>
  <si>
    <t>Mankar</t>
  </si>
  <si>
    <t>ORD1011</t>
  </si>
  <si>
    <t>Avani</t>
  </si>
  <si>
    <t>ORD1012</t>
  </si>
  <si>
    <t>Neel</t>
  </si>
  <si>
    <t>Sardesai</t>
  </si>
  <si>
    <t>ORD1013</t>
  </si>
  <si>
    <t>Saee</t>
  </si>
  <si>
    <t>Prabhu</t>
  </si>
  <si>
    <t>ORD1014</t>
  </si>
  <si>
    <t>Soham</t>
  </si>
  <si>
    <t>ORD1015</t>
  </si>
  <si>
    <t>Urvi</t>
  </si>
  <si>
    <t>Limaye</t>
  </si>
  <si>
    <t>ORD1016</t>
  </si>
  <si>
    <t>Arnav</t>
  </si>
  <si>
    <t>Tamhane</t>
  </si>
  <si>
    <t>ORD1017</t>
  </si>
  <si>
    <t>Ketaki</t>
  </si>
  <si>
    <t>Moghe</t>
  </si>
  <si>
    <t>ORD1018</t>
  </si>
  <si>
    <t>Varad</t>
  </si>
  <si>
    <t>Kothari</t>
  </si>
  <si>
    <t>ORD1019</t>
  </si>
  <si>
    <t>Mihika</t>
  </si>
  <si>
    <t>ORD1020</t>
  </si>
  <si>
    <t>Dhananjay</t>
  </si>
  <si>
    <t>ORD1021</t>
  </si>
  <si>
    <t>Esha</t>
  </si>
  <si>
    <t>Vartak</t>
  </si>
  <si>
    <t>ORD1022</t>
  </si>
  <si>
    <t>Om</t>
  </si>
  <si>
    <t>ORD1023</t>
  </si>
  <si>
    <t>Anvi</t>
  </si>
  <si>
    <t>Pansare</t>
  </si>
  <si>
    <t>ORD1024</t>
  </si>
  <si>
    <t>Rudra</t>
  </si>
  <si>
    <t>Kelkar</t>
  </si>
  <si>
    <t>ORD1025</t>
  </si>
  <si>
    <t>Maithili</t>
  </si>
  <si>
    <t>ORD1026</t>
  </si>
  <si>
    <t>Anish</t>
  </si>
  <si>
    <t>Bhave</t>
  </si>
  <si>
    <t>ORD1027</t>
  </si>
  <si>
    <t>Shruti</t>
  </si>
  <si>
    <t>Modak</t>
  </si>
  <si>
    <t>ORD1028</t>
  </si>
  <si>
    <t>Parthiv</t>
  </si>
  <si>
    <t>ORD1029</t>
  </si>
  <si>
    <t>Devika</t>
  </si>
  <si>
    <t>Bhide</t>
  </si>
  <si>
    <t>ORD1030</t>
  </si>
  <si>
    <t>Harshvardhan</t>
  </si>
  <si>
    <t>ORD1031</t>
  </si>
  <si>
    <t>Anushree</t>
  </si>
  <si>
    <t>Purohit</t>
  </si>
  <si>
    <t>ORD1032</t>
  </si>
  <si>
    <t>Yuvraj</t>
  </si>
  <si>
    <t>Bhonsle</t>
  </si>
  <si>
    <t>ORD1033</t>
  </si>
  <si>
    <t>Apeksha</t>
  </si>
  <si>
    <t>Chitale</t>
  </si>
  <si>
    <t>ORD1034</t>
  </si>
  <si>
    <t>Shrikant</t>
  </si>
  <si>
    <t>Dighe</t>
  </si>
  <si>
    <t>ORD1035</t>
  </si>
  <si>
    <t>Mansi</t>
  </si>
  <si>
    <t>Keni</t>
  </si>
  <si>
    <t>ORD1036</t>
  </si>
  <si>
    <t>Reyansh</t>
  </si>
  <si>
    <t>ORD1037</t>
  </si>
  <si>
    <t>ORD1038</t>
  </si>
  <si>
    <t>Shlok</t>
  </si>
  <si>
    <t>Damle</t>
  </si>
  <si>
    <t>ORD1039</t>
  </si>
  <si>
    <t>Prisha</t>
  </si>
  <si>
    <t>Tare</t>
  </si>
  <si>
    <t>ORD1040</t>
  </si>
  <si>
    <t>Chaitali</t>
  </si>
  <si>
    <t>Pote</t>
  </si>
  <si>
    <t>ORD1041</t>
  </si>
  <si>
    <t>ORD1042</t>
  </si>
  <si>
    <t>Aarya</t>
  </si>
  <si>
    <t>Mahadik</t>
  </si>
  <si>
    <t>ORD1043</t>
  </si>
  <si>
    <t>Ronak</t>
  </si>
  <si>
    <t>Mistry</t>
  </si>
  <si>
    <t>ORD1044</t>
  </si>
  <si>
    <t>Sanika</t>
  </si>
  <si>
    <t>Vaze</t>
  </si>
  <si>
    <t>ORD1045</t>
  </si>
  <si>
    <t>ORD1046</t>
  </si>
  <si>
    <t>Ria</t>
  </si>
  <si>
    <t>Karkhanis</t>
  </si>
  <si>
    <t>ORD1047</t>
  </si>
  <si>
    <t>Suyog</t>
  </si>
  <si>
    <t>ORD1048</t>
  </si>
  <si>
    <t>Shreeya</t>
  </si>
  <si>
    <t>ORD1049</t>
  </si>
  <si>
    <t>Jayant</t>
  </si>
  <si>
    <t>Soman</t>
  </si>
  <si>
    <t>ORD1050</t>
  </si>
  <si>
    <t>Amruta</t>
  </si>
  <si>
    <t>Gupte</t>
  </si>
  <si>
    <t>ORD1051</t>
  </si>
  <si>
    <t>Vedant</t>
  </si>
  <si>
    <t>Kunte</t>
  </si>
  <si>
    <t>ORD1052</t>
  </si>
  <si>
    <t>Shubhangi</t>
  </si>
  <si>
    <t>ORD1053</t>
  </si>
  <si>
    <t>ORD1054</t>
  </si>
  <si>
    <t>Mrunmayee</t>
  </si>
  <si>
    <t>ORD1055</t>
  </si>
  <si>
    <t>ORD1056</t>
  </si>
  <si>
    <t>Riddhi</t>
  </si>
  <si>
    <t>Saraf</t>
  </si>
  <si>
    <t>ORD1057</t>
  </si>
  <si>
    <t>ORD1058</t>
  </si>
  <si>
    <t>Sayali</t>
  </si>
  <si>
    <t>ORD1059</t>
  </si>
  <si>
    <t>ORD1060</t>
  </si>
  <si>
    <t>Pranita</t>
  </si>
  <si>
    <t>Salunkhe</t>
  </si>
  <si>
    <t>ORD1061</t>
  </si>
  <si>
    <t>ORD1062</t>
  </si>
  <si>
    <t>Mugdha</t>
  </si>
  <si>
    <t>Kharat</t>
  </si>
  <si>
    <t>ORD1063</t>
  </si>
  <si>
    <t>Samarth</t>
  </si>
  <si>
    <t>ORD1064</t>
  </si>
  <si>
    <t>Korde</t>
  </si>
  <si>
    <t>ORD1065</t>
  </si>
  <si>
    <t>Niranjan</t>
  </si>
  <si>
    <t>ORD1066</t>
  </si>
  <si>
    <t>Dandekar</t>
  </si>
  <si>
    <t>ORD1067</t>
  </si>
  <si>
    <t>Shashank</t>
  </si>
  <si>
    <t>Puranik</t>
  </si>
  <si>
    <t>ORD1068</t>
  </si>
  <si>
    <t>Vrushali</t>
  </si>
  <si>
    <t>Waghmare</t>
  </si>
  <si>
    <t>ORD1069</t>
  </si>
  <si>
    <t>Parag</t>
  </si>
  <si>
    <t>Ingle</t>
  </si>
  <si>
    <t>ORD1070</t>
  </si>
  <si>
    <t>Rupal</t>
  </si>
  <si>
    <t>ORD1071</t>
  </si>
  <si>
    <t>Pande</t>
  </si>
  <si>
    <t>ORD1072</t>
  </si>
  <si>
    <t>Shivangi</t>
  </si>
  <si>
    <t>Dhere</t>
  </si>
  <si>
    <t>ORD1073</t>
  </si>
  <si>
    <t>Yatin</t>
  </si>
  <si>
    <t>ORD1074</t>
  </si>
  <si>
    <t>Anagha</t>
  </si>
  <si>
    <t>Sane</t>
  </si>
  <si>
    <t>ORD1075</t>
  </si>
  <si>
    <t>Vinayak</t>
  </si>
  <si>
    <t>ORD1076</t>
  </si>
  <si>
    <t>Pradnya</t>
  </si>
  <si>
    <t>Kelekar</t>
  </si>
  <si>
    <t>ORD1077</t>
  </si>
  <si>
    <t>Ghadge</t>
  </si>
  <si>
    <t>ORD1078</t>
  </si>
  <si>
    <t>Kumbhar</t>
  </si>
  <si>
    <t>ORD1079</t>
  </si>
  <si>
    <t>Thorat</t>
  </si>
  <si>
    <t>ORD1080</t>
  </si>
  <si>
    <t>Shirole</t>
  </si>
  <si>
    <t>ORD1081</t>
  </si>
  <si>
    <t>Phadke</t>
  </si>
  <si>
    <t>ORD1082</t>
  </si>
  <si>
    <t>Rasika</t>
  </si>
  <si>
    <t>Joglekar</t>
  </si>
  <si>
    <t>ORD1083</t>
  </si>
  <si>
    <t>ORD1084</t>
  </si>
  <si>
    <t>Revati</t>
  </si>
  <si>
    <t>ORD1085</t>
  </si>
  <si>
    <t>Ameya</t>
  </si>
  <si>
    <t>ORD1086</t>
  </si>
  <si>
    <t>ORD1087</t>
  </si>
  <si>
    <t>Ninad</t>
  </si>
  <si>
    <t>ORD1088</t>
  </si>
  <si>
    <t>Mrudula</t>
  </si>
  <si>
    <t>ORD1089</t>
  </si>
  <si>
    <t>Prathamesh</t>
  </si>
  <si>
    <t>Gite</t>
  </si>
  <si>
    <t>ORD1090</t>
  </si>
  <si>
    <t>Bhalerao</t>
  </si>
  <si>
    <t>ORD1091</t>
  </si>
  <si>
    <t>Kedar</t>
  </si>
  <si>
    <t>Nene</t>
  </si>
  <si>
    <t>ORD1092</t>
  </si>
  <si>
    <t>Rucha</t>
  </si>
  <si>
    <t>ORD1093</t>
  </si>
  <si>
    <t>Suyash</t>
  </si>
  <si>
    <t>ORD1094</t>
  </si>
  <si>
    <t>Tejashree</t>
  </si>
  <si>
    <t>Mane</t>
  </si>
  <si>
    <t>ORD1095</t>
  </si>
  <si>
    <t>ORD1096</t>
  </si>
  <si>
    <t>Aishwarya</t>
  </si>
  <si>
    <t>ORD1097</t>
  </si>
  <si>
    <t>ORD1098</t>
  </si>
  <si>
    <t>ORD1099</t>
  </si>
  <si>
    <t>ORD1100</t>
  </si>
  <si>
    <t>ORD1101</t>
  </si>
  <si>
    <t>ORD1102</t>
  </si>
  <si>
    <t>Vaidehi</t>
  </si>
  <si>
    <t>ORD1103</t>
  </si>
  <si>
    <t>ORD1104</t>
  </si>
  <si>
    <t>ORD1105</t>
  </si>
  <si>
    <t>ORD1106</t>
  </si>
  <si>
    <t>ORD1107</t>
  </si>
  <si>
    <t>Vishal</t>
  </si>
  <si>
    <t>ORD1108</t>
  </si>
  <si>
    <t>Aarti</t>
  </si>
  <si>
    <t>Khandekar</t>
  </si>
  <si>
    <t>ORD1109</t>
  </si>
  <si>
    <t>ORD1110</t>
  </si>
  <si>
    <t>ORD1111</t>
  </si>
  <si>
    <t>Jaydeep</t>
  </si>
  <si>
    <t>ORD1112</t>
  </si>
  <si>
    <t>ORD1113</t>
  </si>
  <si>
    <t>ORD1114</t>
  </si>
  <si>
    <t>ORD1115</t>
  </si>
  <si>
    <t>ORD1116</t>
  </si>
  <si>
    <t>ORD1117</t>
  </si>
  <si>
    <t>ORD1118</t>
  </si>
  <si>
    <t>ORD1119</t>
  </si>
  <si>
    <t>ORD1120</t>
  </si>
  <si>
    <t>ORD1121</t>
  </si>
  <si>
    <t>ORD1122</t>
  </si>
  <si>
    <t>ORD1123</t>
  </si>
  <si>
    <t>Rajvardhan</t>
  </si>
  <si>
    <t>ORD1124</t>
  </si>
  <si>
    <t>Meenal</t>
  </si>
  <si>
    <t>ORD1125</t>
  </si>
  <si>
    <t>ORD1126</t>
  </si>
  <si>
    <t>ORD1127</t>
  </si>
  <si>
    <t>Yogesh</t>
  </si>
  <si>
    <t>ORD1128</t>
  </si>
  <si>
    <t>ORD1129</t>
  </si>
  <si>
    <t>ORD1130</t>
  </si>
  <si>
    <t>ORD1131</t>
  </si>
  <si>
    <t>Aniket</t>
  </si>
  <si>
    <t>ORD1132</t>
  </si>
  <si>
    <t>ORD1133</t>
  </si>
  <si>
    <t>Sarthak</t>
  </si>
  <si>
    <t>ORD1134</t>
  </si>
  <si>
    <t>ORD1135</t>
  </si>
  <si>
    <t>Harshad</t>
  </si>
  <si>
    <t>ORD1136</t>
  </si>
  <si>
    <t>ORD1137</t>
  </si>
  <si>
    <t>ORD1138</t>
  </si>
  <si>
    <t>ORD1139</t>
  </si>
  <si>
    <t>Sanket</t>
  </si>
  <si>
    <t>ORD1140</t>
  </si>
  <si>
    <t>Manjiri</t>
  </si>
  <si>
    <t>ORD1141</t>
  </si>
  <si>
    <t>ORD1142</t>
  </si>
  <si>
    <t>Ashwini</t>
  </si>
  <si>
    <t>ORD1143</t>
  </si>
  <si>
    <t>ORD1144</t>
  </si>
  <si>
    <t>ORD1145</t>
  </si>
  <si>
    <t>ORD1146</t>
  </si>
  <si>
    <t>ORD1147</t>
  </si>
  <si>
    <t>ORD1148</t>
  </si>
  <si>
    <t>ORD1149</t>
  </si>
  <si>
    <t>ORD1150</t>
  </si>
  <si>
    <t>Madhavi</t>
  </si>
  <si>
    <t>ORD1151</t>
  </si>
  <si>
    <t>Aniruddha</t>
  </si>
  <si>
    <t>ORD1152</t>
  </si>
  <si>
    <t>ORD1153</t>
  </si>
  <si>
    <t>ORD1154</t>
  </si>
  <si>
    <t>ORD1155</t>
  </si>
  <si>
    <t>Mandar</t>
  </si>
  <si>
    <t>ORD1156</t>
  </si>
  <si>
    <t>Snehal</t>
  </si>
  <si>
    <t>ORD1157</t>
  </si>
  <si>
    <t>Atul</t>
  </si>
  <si>
    <t>ORD1158</t>
  </si>
  <si>
    <t>ORD1159</t>
  </si>
  <si>
    <t>ORD1160</t>
  </si>
  <si>
    <t>ORD1161</t>
  </si>
  <si>
    <t>ORD1162</t>
  </si>
  <si>
    <t>ORD1163</t>
  </si>
  <si>
    <t>Pravin</t>
  </si>
  <si>
    <t>ORD1164</t>
  </si>
  <si>
    <t>ORD1165</t>
  </si>
  <si>
    <t>ORD1166</t>
  </si>
  <si>
    <t>Kavita</t>
  </si>
  <si>
    <t>ORD1167</t>
  </si>
  <si>
    <t>Nilesh</t>
  </si>
  <si>
    <t>ORD1168</t>
  </si>
  <si>
    <t>ORD1169</t>
  </si>
  <si>
    <t>Shailesh</t>
  </si>
  <si>
    <t>ORD1170</t>
  </si>
  <si>
    <t>ORD1171</t>
  </si>
  <si>
    <t>Dinesh</t>
  </si>
  <si>
    <t>Sutar</t>
  </si>
  <si>
    <t>ORD1172</t>
  </si>
  <si>
    <t>ORD1173</t>
  </si>
  <si>
    <t>Ajinkya</t>
  </si>
  <si>
    <t>ORD1174</t>
  </si>
  <si>
    <t>ORD1175</t>
  </si>
  <si>
    <t>ORD1176</t>
  </si>
  <si>
    <t>Sharmila</t>
  </si>
  <si>
    <t>ORD1177</t>
  </si>
  <si>
    <t>ORD1178</t>
  </si>
  <si>
    <t>ORD1179</t>
  </si>
  <si>
    <t>ORD1180</t>
  </si>
  <si>
    <t>Ranjana</t>
  </si>
  <si>
    <t>ORD1181</t>
  </si>
  <si>
    <t>ORD1182</t>
  </si>
  <si>
    <t>Aparna</t>
  </si>
  <si>
    <t>ORD1183</t>
  </si>
  <si>
    <t>Rajendra</t>
  </si>
  <si>
    <t>ORD1184</t>
  </si>
  <si>
    <t>Monika</t>
  </si>
  <si>
    <t>ORD1185</t>
  </si>
  <si>
    <t>Shirish</t>
  </si>
  <si>
    <t>ORD1186</t>
  </si>
  <si>
    <t>Alka</t>
  </si>
  <si>
    <t>ORD1187</t>
  </si>
  <si>
    <t>Nitin</t>
  </si>
  <si>
    <t>ORD1188</t>
  </si>
  <si>
    <t>Archana</t>
  </si>
  <si>
    <t>ORD1189</t>
  </si>
  <si>
    <t>Sandeep</t>
  </si>
  <si>
    <t>ORD1190</t>
  </si>
  <si>
    <t>Smita</t>
  </si>
  <si>
    <t>ORD1191</t>
  </si>
  <si>
    <t>ORD1192</t>
  </si>
  <si>
    <t>Geeta</t>
  </si>
  <si>
    <t>ORD1193</t>
  </si>
  <si>
    <t>Prashant</t>
  </si>
  <si>
    <t>ORD1194</t>
  </si>
  <si>
    <t>Navi Mumbai</t>
  </si>
  <si>
    <t>ORD1195</t>
  </si>
  <si>
    <t>Ganesh</t>
  </si>
  <si>
    <t>ORD1196</t>
  </si>
  <si>
    <t>ORD1197</t>
  </si>
  <si>
    <t>ORD1198</t>
  </si>
  <si>
    <t>ORD1199</t>
  </si>
  <si>
    <t>Rajiv</t>
  </si>
  <si>
    <t>ORD1200</t>
  </si>
  <si>
    <t>Alisha</t>
  </si>
  <si>
    <t>Month</t>
  </si>
  <si>
    <t>Total_profit</t>
  </si>
  <si>
    <t xml:space="preserve">count_of_customar </t>
  </si>
  <si>
    <t xml:space="preserve">Avg_sale </t>
  </si>
  <si>
    <t xml:space="preserve">Max_cus_age </t>
  </si>
  <si>
    <t>Row Labels</t>
  </si>
  <si>
    <t>Grand Total</t>
  </si>
  <si>
    <t>Sum of Sales</t>
  </si>
  <si>
    <t>state</t>
  </si>
  <si>
    <t xml:space="preserve">1)sate wise sale </t>
  </si>
  <si>
    <t xml:space="preserve">category wise sale </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</si>
  <si>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</si>
  <si>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</si>
  <si>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</si>
  <si>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</si>
  <si>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</si>
  <si>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</si>
  <si>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</si>
  <si>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</si>
  <si>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</si>
  <si>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</si>
  <si>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</si>
  <si>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</si>
  <si>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</si>
  <si>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</si>
  <si>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</si>
  <si>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</si>
  <si>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</si>
  <si>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</si>
  <si>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</si>
  <si>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</si>
  <si>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</si>
  <si>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</si>
  <si>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</si>
  <si>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 xml:space="preserve">yearly sale </t>
  </si>
  <si>
    <t>Count of Gender</t>
  </si>
  <si>
    <t>Sum of Quantity</t>
  </si>
  <si>
    <t>product_quantity</t>
  </si>
  <si>
    <t>Sum of Customer_Rating</t>
  </si>
  <si>
    <t xml:space="preserve">gender_wise rating </t>
  </si>
  <si>
    <t xml:space="preserve">Sum of count_of_customar </t>
  </si>
  <si>
    <t>cu_age</t>
  </si>
  <si>
    <t xml:space="preserve">who many age of customar </t>
  </si>
  <si>
    <t>Sum of Total_profit</t>
  </si>
  <si>
    <t>Total profit</t>
  </si>
  <si>
    <t xml:space="preserve">Sum of Avg_sale </t>
  </si>
  <si>
    <t xml:space="preserve">Sum of Max_cus_age </t>
  </si>
  <si>
    <t>Max_cu_Age</t>
  </si>
  <si>
    <t>customar_rating</t>
  </si>
  <si>
    <t>Avg sale</t>
  </si>
  <si>
    <t>Rating</t>
  </si>
  <si>
    <t>Sum of Discount</t>
  </si>
  <si>
    <t>Flipkart sales dashboard 2026</t>
  </si>
  <si>
    <t xml:space="preserve">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</si>
</sst>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 #,##0"/>
    <numFmt numFmtId="166" formatCode="&quot;₹&quot;\ #,##0.00"/>
    <numFmt numFmtId="167" formatCode="_ &quot;₹&quot;\ * #,##0_ ;_ &quot;₹&quot;\ * \-#,##0_ ;_ &quot;₹&quot;\ * &quot;-&quot;??_ ;_ @_ "/>
  </numFmts>
  <fonts count="15" x14ac:knownFonts="1">
    <font>
      <sz val="11"/>
      <color theme="1"/>
      <name val="Aptos Narrow"/>
      <family val="2"/>
      <scheme val="minor"/>
    </font>
    <font>
      <b/>
      <sz val="11"/>
      <color theme="0"/>
      <name val="Aptos Narrow"/>
      <family val="2"/>
      <scheme val="minor"/>
    </font>
    <font>
      <b/>
      <sz val="14"/>
      <color theme="1"/>
      <name val="Aptos Narrow"/>
      <family val="2"/>
      <scheme val="minor"/>
    </font>
    <font>
      <b/>
      <sz val="16"/>
      <color theme="1"/>
      <name val="Aptos Narrow"/>
      <family val="2"/>
      <scheme val="minor"/>
    </font>
    <font>
      <sz val="16"/>
      <color theme="1"/>
      <name val="Aptos Narrow"/>
      <family val="2"/>
      <scheme val="minor"/>
    </font>
    <font>
      <sz val="18"/>
      <color theme="1"/>
      <name val="Aptos Narrow"/>
      <family val="2"/>
      <scheme val="minor"/>
    </font>
    <font>
      <b/>
      <sz val="12"/>
      <color theme="1"/>
      <name val="Aptos Narrow"/>
      <family val="2"/>
      <scheme val="minor"/>
    </font>
    <font>
      <sz val="48"/>
      <color theme="1"/>
      <name val="Sitka Banner"/>
    </font>
    <font>
      <b/>
      <i/>
      <sz val="48"/>
      <color theme="1"/>
      <name val="Algerian"/>
      <family val="5"/>
    </font>
    <font>
      <b/>
      <sz val="12"/>
      <color theme="1"/>
      <name val="Algerian"/>
      <family val="5"/>
    </font>
    <font>
      <sz val="12"/>
      <color theme="1"/>
      <name val="Algerian"/>
      <family val="5"/>
    </font>
    <font>
      <b/>
      <sz val="16"/>
      <color theme="1"/>
      <name val="Algerian"/>
      <family val="5"/>
    </font>
    <font>
      <sz val="11"/>
      <color theme="1"/>
      <name val="Algerian"/>
      <family val="5"/>
    </font>
    <font>
      <b/>
      <sz val="18"/>
      <color theme="1"/>
      <name val="Aptos Narrow"/>
      <family val="2"/>
      <scheme val="minor"/>
    </font>
    <font>
      <sz val="16"/>
      <color theme="1"/>
      <name val="Algerian"/>
      <family val="5"/>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49">
    <xf numFmtId="0" fontId="0" fillId="0" borderId="0" xfId="0"/>
    <xf numFmtId="0" fontId="0" fillId="0" borderId="2" xfId="0" applyBorder="1"/>
    <xf numFmtId="0" fontId="1" fillId="2" borderId="3" xfId="0" applyFont="1" applyFill="1" applyBorder="1"/>
    <xf numFmtId="0" fontId="1" fillId="2" borderId="4" xfId="0" applyFont="1" applyFill="1" applyBorder="1"/>
    <xf numFmtId="0" fontId="1" fillId="2" borderId="5" xfId="0" applyFont="1" applyFill="1" applyBorder="1"/>
    <xf numFmtId="0" fontId="0" fillId="3" borderId="3" xfId="0" applyFill="1" applyBorder="1"/>
    <xf numFmtId="14" fontId="0" fillId="3" borderId="4" xfId="0" applyNumberFormat="1" applyFill="1" applyBorder="1"/>
    <xf numFmtId="0" fontId="0" fillId="3" borderId="4" xfId="0" applyFill="1" applyBorder="1"/>
    <xf numFmtId="0" fontId="0" fillId="3" borderId="5" xfId="0" applyFill="1" applyBorder="1"/>
    <xf numFmtId="0" fontId="0" fillId="0" borderId="3" xfId="0" applyBorder="1"/>
    <xf numFmtId="14" fontId="0" fillId="0" borderId="4" xfId="0" applyNumberFormat="1" applyBorder="1"/>
    <xf numFmtId="0" fontId="0" fillId="0" borderId="4" xfId="0" applyBorder="1"/>
    <xf numFmtId="0" fontId="0" fillId="0" borderId="1" xfId="0" applyBorder="1"/>
    <xf numFmtId="14" fontId="0" fillId="0" borderId="2" xfId="0" applyNumberFormat="1" applyBorder="1"/>
    <xf numFmtId="10" fontId="0" fillId="0" borderId="0" xfId="0" applyNumberFormat="1"/>
    <xf numFmtId="164" fontId="1" fillId="2" borderId="4" xfId="0" applyNumberFormat="1" applyFont="1" applyFill="1" applyBorder="1"/>
    <xf numFmtId="164" fontId="0" fillId="3" borderId="4" xfId="0" applyNumberFormat="1" applyFill="1" applyBorder="1"/>
    <xf numFmtId="164" fontId="0" fillId="0" borderId="4" xfId="0" applyNumberFormat="1" applyBorder="1"/>
    <xf numFmtId="164" fontId="0" fillId="0" borderId="2" xfId="0" applyNumberFormat="1" applyBorder="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4" borderId="0" xfId="0" applyFill="1"/>
    <xf numFmtId="2" fontId="0" fillId="0" borderId="0" xfId="0" applyNumberFormat="1"/>
    <xf numFmtId="0" fontId="0" fillId="5" borderId="0" xfId="0" applyFill="1"/>
    <xf numFmtId="166" fontId="0" fillId="0" borderId="0" xfId="0" applyNumberFormat="1"/>
    <xf numFmtId="165" fontId="0" fillId="6" borderId="0" xfId="0" applyNumberFormat="1" applyFill="1"/>
    <xf numFmtId="0" fontId="0" fillId="6" borderId="0" xfId="0" applyFill="1"/>
    <xf numFmtId="167" fontId="0" fillId="6" borderId="0" xfId="0" applyNumberFormat="1" applyFill="1"/>
    <xf numFmtId="10" fontId="0" fillId="6" borderId="0" xfId="0" applyNumberFormat="1" applyFill="1"/>
    <xf numFmtId="0" fontId="13" fillId="5" borderId="0" xfId="0" applyFont="1" applyFill="1" applyAlignment="1">
      <alignment horizontal="center" vertical="center"/>
    </xf>
    <xf numFmtId="0" fontId="0" fillId="5" borderId="0" xfId="0" applyFill="1" applyAlignment="1">
      <alignment horizontal="center"/>
    </xf>
    <xf numFmtId="0" fontId="11" fillId="5" borderId="0" xfId="0" applyFont="1" applyFill="1" applyAlignment="1">
      <alignment horizontal="center" vertical="center"/>
    </xf>
    <xf numFmtId="0" fontId="14" fillId="5" borderId="0" xfId="0" applyFont="1" applyFill="1" applyAlignment="1">
      <alignment horizontal="center" vertical="center"/>
    </xf>
    <xf numFmtId="9" fontId="13" fillId="5" borderId="0" xfId="0" applyNumberFormat="1" applyFont="1" applyFill="1" applyAlignment="1">
      <alignment horizontal="center" vertical="center"/>
    </xf>
    <xf numFmtId="0" fontId="0" fillId="4" borderId="0" xfId="0" applyFill="1" applyAlignment="1">
      <alignment horizontal="center"/>
    </xf>
    <xf numFmtId="0" fontId="8" fillId="5" borderId="0" xfId="0" applyFont="1" applyFill="1" applyAlignment="1">
      <alignment horizontal="center" vertical="center"/>
    </xf>
    <xf numFmtId="0" fontId="7" fillId="5" borderId="0" xfId="0" applyFont="1" applyFill="1" applyAlignment="1">
      <alignment horizontal="center" vertical="center"/>
    </xf>
    <xf numFmtId="0" fontId="9" fillId="5" borderId="0" xfId="0" applyFont="1" applyFill="1" applyAlignment="1">
      <alignment horizontal="center" vertical="center"/>
    </xf>
    <xf numFmtId="0" fontId="10" fillId="5" borderId="0" xfId="0" applyFont="1" applyFill="1" applyAlignment="1">
      <alignment horizontal="center" vertical="center"/>
    </xf>
    <xf numFmtId="165" fontId="6" fillId="5" borderId="0" xfId="0" applyNumberFormat="1" applyFont="1" applyFill="1" applyAlignment="1">
      <alignment horizontal="center" vertical="center"/>
    </xf>
    <xf numFmtId="0" fontId="12" fillId="5" borderId="0" xfId="0" applyFont="1" applyFill="1" applyAlignment="1">
      <alignment horizontal="center" vertical="center"/>
    </xf>
    <xf numFmtId="165" fontId="3" fillId="5" borderId="0" xfId="0" applyNumberFormat="1" applyFont="1" applyFill="1" applyAlignment="1">
      <alignment horizontal="center" vertical="center"/>
    </xf>
    <xf numFmtId="0" fontId="5" fillId="4" borderId="0" xfId="0" applyFont="1" applyFill="1" applyAlignment="1">
      <alignment horizontal="center"/>
    </xf>
    <xf numFmtId="0" fontId="3" fillId="4" borderId="0" xfId="0" applyFont="1" applyFill="1" applyAlignment="1">
      <alignment horizontal="center"/>
    </xf>
    <xf numFmtId="0" fontId="2" fillId="4" borderId="0" xfId="0" applyFont="1" applyFill="1" applyAlignment="1">
      <alignment horizontal="center"/>
    </xf>
    <xf numFmtId="0" fontId="6" fillId="4"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5">
    <dxf>
      <font>
        <color rgb="FF9C0006"/>
      </font>
      <fill>
        <patternFill>
          <bgColor rgb="FFFFC7CE"/>
        </patternFill>
      </fill>
    </dxf>
    <dxf>
      <numFmt numFmtId="0" formatCode="General"/>
    </dxf>
    <dxf>
      <numFmt numFmtId="166" formatCode="&quot;₹&quot;\ #,##0.00"/>
    </dxf>
    <dxf>
      <numFmt numFmtId="2" formatCode="0.00"/>
    </dxf>
    <dxf>
      <numFmt numFmtId="14" formatCode="0.00%"/>
    </dxf>
  </dxfs>
  <tableStyles count="1" defaultTableStyle="TableStyleMedium2" defaultPivotStyle="PivotStyleLight16">
    <tableStyle name="Invisible" pivot="0" table="0" count="0" xr9:uid="{22E3C382-23B3-4FA7-B65D-007AE0E5975F}"/>
  </tableStyles>
  <colors>
    <mruColors>
      <color rgb="FFFFFF66"/>
      <color rgb="FFFBFF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charts!$C$5</c:f>
              <c:strCache>
                <c:ptCount val="1"/>
                <c:pt idx="0">
                  <c:v>Total</c:v>
                </c:pt>
              </c:strCache>
            </c:strRef>
          </c:tx>
          <c:spPr>
            <a:solidFill>
              <a:schemeClr val="accent1"/>
            </a:solidFill>
            <a:ln>
              <a:noFill/>
            </a:ln>
            <a:effectLst/>
          </c:spPr>
          <c:invertIfNegative val="0"/>
          <c:cat>
            <c:strRef>
              <c:f>charts!$B$6:$B$8</c:f>
              <c:strCache>
                <c:ptCount val="2"/>
                <c:pt idx="0">
                  <c:v>Female</c:v>
                </c:pt>
                <c:pt idx="1">
                  <c:v>Male</c:v>
                </c:pt>
              </c:strCache>
            </c:strRef>
          </c:cat>
          <c:val>
            <c:numRef>
              <c:f>charts!$C$6:$C$8</c:f>
              <c:numCache>
                <c:formatCode>General</c:formatCode>
                <c:ptCount val="2"/>
                <c:pt idx="0">
                  <c:v>9984355</c:v>
                </c:pt>
                <c:pt idx="1">
                  <c:v>18953465</c:v>
                </c:pt>
              </c:numCache>
            </c:numRef>
          </c:val>
          <c:extLst>
            <c:ext xmlns:c16="http://schemas.microsoft.com/office/drawing/2014/chart" uri="{C3380CC4-5D6E-409C-BE32-E72D297353CC}">
              <c16:uniqueId val="{00000000-DD17-4407-AFF7-6BABA08AF22F}"/>
            </c:ext>
          </c:extLst>
        </c:ser>
        <c:dLbls>
          <c:showLegendKey val="0"/>
          <c:showVal val="0"/>
          <c:showCatName val="0"/>
          <c:showSerName val="0"/>
          <c:showPercent val="0"/>
          <c:showBubbleSize val="0"/>
        </c:dLbls>
        <c:gapWidth val="219"/>
        <c:overlap val="-27"/>
        <c:axId val="927466111"/>
        <c:axId val="1707820335"/>
      </c:barChart>
      <c:catAx>
        <c:axId val="9274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20335"/>
        <c:crosses val="autoZero"/>
        <c:auto val="1"/>
        <c:lblAlgn val="ctr"/>
        <c:lblOffset val="100"/>
        <c:noMultiLvlLbl val="0"/>
      </c:catAx>
      <c:valAx>
        <c:axId val="17078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charts!$O$6</c:f>
              <c:strCache>
                <c:ptCount val="1"/>
                <c:pt idx="0">
                  <c:v>Total</c:v>
                </c:pt>
              </c:strCache>
            </c:strRef>
          </c:tx>
          <c:spPr>
            <a:ln w="28575" cap="rnd">
              <a:solidFill>
                <a:schemeClr val="accent1"/>
              </a:solidFill>
              <a:round/>
            </a:ln>
            <a:effectLst/>
          </c:spPr>
          <c:marker>
            <c:symbol val="none"/>
          </c:marker>
          <c:cat>
            <c:strRef>
              <c:f>charts!$N$7:$N$63</c:f>
              <c:strCache>
                <c:ptCount val="56"/>
                <c:pt idx="0">
                  <c:v>Agra</c:v>
                </c:pt>
                <c:pt idx="1">
                  <c:v>Ahmedabad</c:v>
                </c:pt>
                <c:pt idx="2">
                  <c:v>Ahmednagar</c:v>
                </c:pt>
                <c:pt idx="3">
                  <c:v>Akola</c:v>
                </c:pt>
                <c:pt idx="4">
                  <c:v>Alappuzha</c:v>
                </c:pt>
                <c:pt idx="5">
                  <c:v>Amravati</c:v>
                </c:pt>
                <c:pt idx="6">
                  <c:v>Amritsar</c:v>
                </c:pt>
                <c:pt idx="7">
                  <c:v>Aurangabad</c:v>
                </c:pt>
                <c:pt idx="8">
                  <c:v>Bengaluru</c:v>
                </c:pt>
                <c:pt idx="9">
                  <c:v>Bhopal</c:v>
                </c:pt>
                <c:pt idx="10">
                  <c:v>Bhubaneswar</c:v>
                </c:pt>
                <c:pt idx="11">
                  <c:v>Chandigarh</c:v>
                </c:pt>
                <c:pt idx="12">
                  <c:v>Chennai</c:v>
                </c:pt>
                <c:pt idx="13">
                  <c:v>Coimbatore</c:v>
                </c:pt>
                <c:pt idx="14">
                  <c:v>Dehradun</c:v>
                </c:pt>
                <c:pt idx="15">
                  <c:v>Delhi</c:v>
                </c:pt>
                <c:pt idx="16">
                  <c:v>Goa</c:v>
                </c:pt>
                <c:pt idx="17">
                  <c:v>Gurugram</c:v>
                </c:pt>
                <c:pt idx="18">
                  <c:v>Hyderabad</c:v>
                </c:pt>
                <c:pt idx="19">
                  <c:v>Indore</c:v>
                </c:pt>
                <c:pt idx="20">
                  <c:v>Jaipur</c:v>
                </c:pt>
                <c:pt idx="21">
                  <c:v>Jodhpur</c:v>
                </c:pt>
                <c:pt idx="22">
                  <c:v>Kanpur</c:v>
                </c:pt>
                <c:pt idx="23">
                  <c:v>Kochi</c:v>
                </c:pt>
                <c:pt idx="24">
                  <c:v>Kolhapur</c:v>
                </c:pt>
                <c:pt idx="25">
                  <c:v>Kolkata</c:v>
                </c:pt>
                <c:pt idx="26">
                  <c:v>Kollam</c:v>
                </c:pt>
                <c:pt idx="27">
                  <c:v>Kottayam</c:v>
                </c:pt>
                <c:pt idx="28">
                  <c:v>Kozhikode</c:v>
                </c:pt>
                <c:pt idx="29">
                  <c:v>Lucknow</c:v>
                </c:pt>
                <c:pt idx="30">
                  <c:v>Ludhiana</c:v>
                </c:pt>
                <c:pt idx="31">
                  <c:v>Mangaluru</c:v>
                </c:pt>
                <c:pt idx="32">
                  <c:v>Meerut</c:v>
                </c:pt>
                <c:pt idx="33">
                  <c:v>Mumbai</c:v>
                </c:pt>
                <c:pt idx="34">
                  <c:v>Mysuru</c:v>
                </c:pt>
                <c:pt idx="35">
                  <c:v>Nagpur</c:v>
                </c:pt>
                <c:pt idx="36">
                  <c:v>Nashik</c:v>
                </c:pt>
                <c:pt idx="37">
                  <c:v>Navi Mumbai</c:v>
                </c:pt>
                <c:pt idx="38">
                  <c:v>Noida</c:v>
                </c:pt>
                <c:pt idx="39">
                  <c:v>Panaji</c:v>
                </c:pt>
                <c:pt idx="40">
                  <c:v>Patna</c:v>
                </c:pt>
                <c:pt idx="41">
                  <c:v>Pune</c:v>
                </c:pt>
                <c:pt idx="42">
                  <c:v>Rajkot</c:v>
                </c:pt>
                <c:pt idx="43">
                  <c:v>Sangli</c:v>
                </c:pt>
                <c:pt idx="44">
                  <c:v>Satara</c:v>
                </c:pt>
                <c:pt idx="45">
                  <c:v>Solapur</c:v>
                </c:pt>
                <c:pt idx="46">
                  <c:v>Surat</c:v>
                </c:pt>
                <c:pt idx="47">
                  <c:v>Thane</c:v>
                </c:pt>
                <c:pt idx="48">
                  <c:v>Thiruvananthapuram</c:v>
                </c:pt>
                <c:pt idx="49">
                  <c:v>Thrissur</c:v>
                </c:pt>
                <c:pt idx="50">
                  <c:v>Udupi</c:v>
                </c:pt>
                <c:pt idx="51">
                  <c:v>Vadodara</c:v>
                </c:pt>
                <c:pt idx="52">
                  <c:v>Varanasi</c:v>
                </c:pt>
                <c:pt idx="53">
                  <c:v>Vijayawada</c:v>
                </c:pt>
                <c:pt idx="54">
                  <c:v>Visakhapatnam</c:v>
                </c:pt>
                <c:pt idx="55">
                  <c:v>Warangal</c:v>
                </c:pt>
              </c:strCache>
            </c:strRef>
          </c:cat>
          <c:val>
            <c:numRef>
              <c:f>charts!$O$7:$O$63</c:f>
              <c:numCache>
                <c:formatCode>General</c:formatCode>
                <c:ptCount val="56"/>
                <c:pt idx="0">
                  <c:v>2340</c:v>
                </c:pt>
                <c:pt idx="1">
                  <c:v>1215470</c:v>
                </c:pt>
                <c:pt idx="2">
                  <c:v>27500</c:v>
                </c:pt>
                <c:pt idx="3">
                  <c:v>64800</c:v>
                </c:pt>
                <c:pt idx="4">
                  <c:v>91500</c:v>
                </c:pt>
                <c:pt idx="5">
                  <c:v>54200</c:v>
                </c:pt>
                <c:pt idx="6">
                  <c:v>35000</c:v>
                </c:pt>
                <c:pt idx="7">
                  <c:v>288010</c:v>
                </c:pt>
                <c:pt idx="8">
                  <c:v>1866480</c:v>
                </c:pt>
                <c:pt idx="9">
                  <c:v>243450</c:v>
                </c:pt>
                <c:pt idx="10">
                  <c:v>11300</c:v>
                </c:pt>
                <c:pt idx="11">
                  <c:v>72700</c:v>
                </c:pt>
                <c:pt idx="12">
                  <c:v>351505</c:v>
                </c:pt>
                <c:pt idx="13">
                  <c:v>44360</c:v>
                </c:pt>
                <c:pt idx="14">
                  <c:v>13100</c:v>
                </c:pt>
                <c:pt idx="15">
                  <c:v>2444730</c:v>
                </c:pt>
                <c:pt idx="16">
                  <c:v>264450</c:v>
                </c:pt>
                <c:pt idx="17">
                  <c:v>129200</c:v>
                </c:pt>
                <c:pt idx="18">
                  <c:v>881970</c:v>
                </c:pt>
                <c:pt idx="19">
                  <c:v>86620</c:v>
                </c:pt>
                <c:pt idx="20">
                  <c:v>657570</c:v>
                </c:pt>
                <c:pt idx="21">
                  <c:v>88800</c:v>
                </c:pt>
                <c:pt idx="22">
                  <c:v>6700</c:v>
                </c:pt>
                <c:pt idx="23">
                  <c:v>1216520</c:v>
                </c:pt>
                <c:pt idx="24">
                  <c:v>342390</c:v>
                </c:pt>
                <c:pt idx="25">
                  <c:v>768350</c:v>
                </c:pt>
                <c:pt idx="26">
                  <c:v>142150</c:v>
                </c:pt>
                <c:pt idx="27">
                  <c:v>189090</c:v>
                </c:pt>
                <c:pt idx="28">
                  <c:v>109500</c:v>
                </c:pt>
                <c:pt idx="29">
                  <c:v>54350</c:v>
                </c:pt>
                <c:pt idx="30">
                  <c:v>27200</c:v>
                </c:pt>
                <c:pt idx="31">
                  <c:v>118000</c:v>
                </c:pt>
                <c:pt idx="32">
                  <c:v>1780</c:v>
                </c:pt>
                <c:pt idx="33">
                  <c:v>7428900</c:v>
                </c:pt>
                <c:pt idx="34">
                  <c:v>27350</c:v>
                </c:pt>
                <c:pt idx="35">
                  <c:v>1123320</c:v>
                </c:pt>
                <c:pt idx="36">
                  <c:v>1139250</c:v>
                </c:pt>
                <c:pt idx="37">
                  <c:v>2970</c:v>
                </c:pt>
                <c:pt idx="38">
                  <c:v>4720</c:v>
                </c:pt>
                <c:pt idx="39">
                  <c:v>40600</c:v>
                </c:pt>
                <c:pt idx="40">
                  <c:v>1240</c:v>
                </c:pt>
                <c:pt idx="41">
                  <c:v>5623825</c:v>
                </c:pt>
                <c:pt idx="42">
                  <c:v>10700</c:v>
                </c:pt>
                <c:pt idx="43">
                  <c:v>102750</c:v>
                </c:pt>
                <c:pt idx="44">
                  <c:v>128480</c:v>
                </c:pt>
                <c:pt idx="45">
                  <c:v>211550</c:v>
                </c:pt>
                <c:pt idx="46">
                  <c:v>135850</c:v>
                </c:pt>
                <c:pt idx="47">
                  <c:v>388210</c:v>
                </c:pt>
                <c:pt idx="48">
                  <c:v>97320</c:v>
                </c:pt>
                <c:pt idx="49">
                  <c:v>184650</c:v>
                </c:pt>
                <c:pt idx="50">
                  <c:v>55200</c:v>
                </c:pt>
                <c:pt idx="51">
                  <c:v>147400</c:v>
                </c:pt>
                <c:pt idx="52">
                  <c:v>1840</c:v>
                </c:pt>
                <c:pt idx="53">
                  <c:v>13800</c:v>
                </c:pt>
                <c:pt idx="54">
                  <c:v>33310</c:v>
                </c:pt>
                <c:pt idx="55">
                  <c:v>123500</c:v>
                </c:pt>
              </c:numCache>
            </c:numRef>
          </c:val>
          <c:smooth val="0"/>
          <c:extLst>
            <c:ext xmlns:c16="http://schemas.microsoft.com/office/drawing/2014/chart" uri="{C3380CC4-5D6E-409C-BE32-E72D297353CC}">
              <c16:uniqueId val="{00000000-1B1F-4A93-BCBF-33E7EBF8B1EB}"/>
            </c:ext>
          </c:extLst>
        </c:ser>
        <c:dLbls>
          <c:showLegendKey val="0"/>
          <c:showVal val="0"/>
          <c:showCatName val="0"/>
          <c:showSerName val="0"/>
          <c:showPercent val="0"/>
          <c:showBubbleSize val="0"/>
        </c:dLbls>
        <c:smooth val="0"/>
        <c:axId val="933034671"/>
        <c:axId val="1684846543"/>
      </c:lineChart>
      <c:catAx>
        <c:axId val="9330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46543"/>
        <c:crosses val="autoZero"/>
        <c:auto val="1"/>
        <c:lblAlgn val="ctr"/>
        <c:lblOffset val="100"/>
        <c:noMultiLvlLbl val="0"/>
      </c:catAx>
      <c:valAx>
        <c:axId val="16848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0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charts!$AB$11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DF-4352-B862-318DDC791F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DF-4352-B862-318DDC791F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DF-4352-B862-318DDC791F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DF-4352-B862-318DDC791F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DF-4352-B862-318DDC791F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DDF-4352-B862-318DDC791F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DDF-4352-B862-318DDC791F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DDF-4352-B862-318DDC791F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DDF-4352-B862-318DDC791F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DDF-4352-B862-318DDC791FB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DDF-4352-B862-318DDC791FB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DDF-4352-B862-318DDC791FB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A44-4117-BBF5-CD22ECBE1F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charts!$AA$12:$AA$25</c:f>
              <c:strCache>
                <c:ptCount val="13"/>
                <c:pt idx="0">
                  <c:v>Conference Table</c:v>
                </c:pt>
                <c:pt idx="1">
                  <c:v>File Folder</c:v>
                </c:pt>
                <c:pt idx="2">
                  <c:v>Filing Cabinet</c:v>
                </c:pt>
                <c:pt idx="3">
                  <c:v>Keyboard</c:v>
                </c:pt>
                <c:pt idx="4">
                  <c:v>Laptop</c:v>
                </c:pt>
                <c:pt idx="5">
                  <c:v>Monitor</c:v>
                </c:pt>
                <c:pt idx="6">
                  <c:v>Mouse</c:v>
                </c:pt>
                <c:pt idx="7">
                  <c:v>Notebook</c:v>
                </c:pt>
                <c:pt idx="8">
                  <c:v>Office Chair</c:v>
                </c:pt>
                <c:pt idx="9">
                  <c:v>Office Desk</c:v>
                </c:pt>
                <c:pt idx="10">
                  <c:v>Pen Set</c:v>
                </c:pt>
                <c:pt idx="11">
                  <c:v>Printer</c:v>
                </c:pt>
                <c:pt idx="12">
                  <c:v>Printer Paper</c:v>
                </c:pt>
              </c:strCache>
            </c:strRef>
          </c:cat>
          <c:val>
            <c:numRef>
              <c:f>charts!$AB$12:$AB$25</c:f>
              <c:numCache>
                <c:formatCode>General</c:formatCode>
                <c:ptCount val="13"/>
                <c:pt idx="0">
                  <c:v>59</c:v>
                </c:pt>
                <c:pt idx="1">
                  <c:v>59</c:v>
                </c:pt>
                <c:pt idx="2">
                  <c:v>61</c:v>
                </c:pt>
                <c:pt idx="3">
                  <c:v>120</c:v>
                </c:pt>
                <c:pt idx="4">
                  <c:v>120</c:v>
                </c:pt>
                <c:pt idx="5">
                  <c:v>120</c:v>
                </c:pt>
                <c:pt idx="6">
                  <c:v>120</c:v>
                </c:pt>
                <c:pt idx="7">
                  <c:v>61</c:v>
                </c:pt>
                <c:pt idx="8">
                  <c:v>120</c:v>
                </c:pt>
                <c:pt idx="9">
                  <c:v>120</c:v>
                </c:pt>
                <c:pt idx="10">
                  <c:v>59</c:v>
                </c:pt>
                <c:pt idx="11">
                  <c:v>61</c:v>
                </c:pt>
                <c:pt idx="12">
                  <c:v>120</c:v>
                </c:pt>
              </c:numCache>
            </c:numRef>
          </c:val>
          <c:extLst>
            <c:ext xmlns:c16="http://schemas.microsoft.com/office/drawing/2014/chart" uri="{C3380CC4-5D6E-409C-BE32-E72D297353CC}">
              <c16:uniqueId val="{00000000-1957-40D6-9E8B-3BB778B4A7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charts!$C$5</c:f>
              <c:strCache>
                <c:ptCount val="1"/>
                <c:pt idx="0">
                  <c:v>Total</c:v>
                </c:pt>
              </c:strCache>
            </c:strRef>
          </c:tx>
          <c:spPr>
            <a:solidFill>
              <a:schemeClr val="accent1"/>
            </a:solidFill>
            <a:ln>
              <a:noFill/>
            </a:ln>
            <a:effectLst/>
          </c:spPr>
          <c:invertIfNegative val="0"/>
          <c:cat>
            <c:strRef>
              <c:f>charts!$B$6:$B$8</c:f>
              <c:strCache>
                <c:ptCount val="2"/>
                <c:pt idx="0">
                  <c:v>Female</c:v>
                </c:pt>
                <c:pt idx="1">
                  <c:v>Male</c:v>
                </c:pt>
              </c:strCache>
            </c:strRef>
          </c:cat>
          <c:val>
            <c:numRef>
              <c:f>charts!$C$6:$C$8</c:f>
              <c:numCache>
                <c:formatCode>General</c:formatCode>
                <c:ptCount val="2"/>
                <c:pt idx="0">
                  <c:v>9984355</c:v>
                </c:pt>
                <c:pt idx="1">
                  <c:v>18953465</c:v>
                </c:pt>
              </c:numCache>
            </c:numRef>
          </c:val>
          <c:extLst>
            <c:ext xmlns:c16="http://schemas.microsoft.com/office/drawing/2014/chart" uri="{C3380CC4-5D6E-409C-BE32-E72D297353CC}">
              <c16:uniqueId val="{00000000-EFA2-4A2A-B6C4-A7455E40026E}"/>
            </c:ext>
          </c:extLst>
        </c:ser>
        <c:dLbls>
          <c:showLegendKey val="0"/>
          <c:showVal val="0"/>
          <c:showCatName val="0"/>
          <c:showSerName val="0"/>
          <c:showPercent val="0"/>
          <c:showBubbleSize val="0"/>
        </c:dLbls>
        <c:gapWidth val="219"/>
        <c:overlap val="-27"/>
        <c:axId val="927466111"/>
        <c:axId val="1707820335"/>
      </c:barChart>
      <c:catAx>
        <c:axId val="927466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1707820335"/>
        <c:crosses val="autoZero"/>
        <c:auto val="1"/>
        <c:lblAlgn val="ctr"/>
        <c:lblOffset val="100"/>
        <c:noMultiLvlLbl val="0"/>
      </c:catAx>
      <c:valAx>
        <c:axId val="17078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927466111"/>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9050" cap="flat" cmpd="sng" algn="ctr">
      <a:solidFill>
        <a:schemeClr val="accent6">
          <a:lumMod val="20000"/>
          <a:lumOff val="80000"/>
        </a:schemeClr>
      </a:solidFill>
      <a:prstDash val="solid"/>
      <a:miter lim="800000"/>
    </a:ln>
    <a:effectLst/>
  </c:spPr>
  <c:txPr>
    <a:bodyPr/>
    <a:lstStyle/>
    <a:p>
      <a:pPr>
        <a:defRPr b="0" cap="none" spc="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pieChart>
        <c:varyColors val="1"/>
        <c:ser>
          <c:idx val="0"/>
          <c:order val="0"/>
          <c:tx>
            <c:strRef>
              <c:f>charts!$AB$11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72-4EDA-AA09-723799C8F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2-4EDA-AA09-723799C8F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72-4EDA-AA09-723799C8F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72-4EDA-AA09-723799C8F7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72-4EDA-AA09-723799C8F7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72-4EDA-AA09-723799C8F7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72-4EDA-AA09-723799C8F7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672-4EDA-AA09-723799C8F7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672-4EDA-AA09-723799C8F7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672-4EDA-AA09-723799C8F78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672-4EDA-AA09-723799C8F78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672-4EDA-AA09-723799C8F78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27E-47FA-BD7A-E5D0F8589307}"/>
              </c:ext>
            </c:extLst>
          </c:dPt>
          <c:dLbls>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charts!$AA$12:$AA$25</c:f>
              <c:strCache>
                <c:ptCount val="13"/>
                <c:pt idx="0">
                  <c:v>Conference Table</c:v>
                </c:pt>
                <c:pt idx="1">
                  <c:v>File Folder</c:v>
                </c:pt>
                <c:pt idx="2">
                  <c:v>Filing Cabinet</c:v>
                </c:pt>
                <c:pt idx="3">
                  <c:v>Keyboard</c:v>
                </c:pt>
                <c:pt idx="4">
                  <c:v>Laptop</c:v>
                </c:pt>
                <c:pt idx="5">
                  <c:v>Monitor</c:v>
                </c:pt>
                <c:pt idx="6">
                  <c:v>Mouse</c:v>
                </c:pt>
                <c:pt idx="7">
                  <c:v>Notebook</c:v>
                </c:pt>
                <c:pt idx="8">
                  <c:v>Office Chair</c:v>
                </c:pt>
                <c:pt idx="9">
                  <c:v>Office Desk</c:v>
                </c:pt>
                <c:pt idx="10">
                  <c:v>Pen Set</c:v>
                </c:pt>
                <c:pt idx="11">
                  <c:v>Printer</c:v>
                </c:pt>
                <c:pt idx="12">
                  <c:v>Printer Paper</c:v>
                </c:pt>
              </c:strCache>
            </c:strRef>
          </c:cat>
          <c:val>
            <c:numRef>
              <c:f>charts!$AB$12:$AB$25</c:f>
              <c:numCache>
                <c:formatCode>General</c:formatCode>
                <c:ptCount val="13"/>
                <c:pt idx="0">
                  <c:v>59</c:v>
                </c:pt>
                <c:pt idx="1">
                  <c:v>59</c:v>
                </c:pt>
                <c:pt idx="2">
                  <c:v>61</c:v>
                </c:pt>
                <c:pt idx="3">
                  <c:v>120</c:v>
                </c:pt>
                <c:pt idx="4">
                  <c:v>120</c:v>
                </c:pt>
                <c:pt idx="5">
                  <c:v>120</c:v>
                </c:pt>
                <c:pt idx="6">
                  <c:v>120</c:v>
                </c:pt>
                <c:pt idx="7">
                  <c:v>61</c:v>
                </c:pt>
                <c:pt idx="8">
                  <c:v>120</c:v>
                </c:pt>
                <c:pt idx="9">
                  <c:v>120</c:v>
                </c:pt>
                <c:pt idx="10">
                  <c:v>59</c:v>
                </c:pt>
                <c:pt idx="11">
                  <c:v>61</c:v>
                </c:pt>
                <c:pt idx="12">
                  <c:v>120</c:v>
                </c:pt>
              </c:numCache>
            </c:numRef>
          </c:val>
          <c:extLst>
            <c:ext xmlns:c16="http://schemas.microsoft.com/office/drawing/2014/chart" uri="{C3380CC4-5D6E-409C-BE32-E72D297353CC}">
              <c16:uniqueId val="{00000018-C672-4EDA-AA09-723799C8F78B}"/>
            </c:ext>
          </c:extLst>
        </c:ser>
        <c:dLbls>
          <c:showLegendKey val="0"/>
          <c:showVal val="0"/>
          <c:showCatName val="0"/>
          <c:showSerName val="0"/>
          <c:showPercent val="0"/>
          <c:showBubbleSize val="0"/>
          <c:showLeaderLines val="1"/>
        </c:dLbls>
        <c:firstSliceAng val="0"/>
      </c:pieChart>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(1).xlsx]charts!PivotTable6</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charts!$O$6</c:f>
              <c:strCache>
                <c:ptCount val="1"/>
                <c:pt idx="0">
                  <c:v>Total</c:v>
                </c:pt>
              </c:strCache>
            </c:strRef>
          </c:tx>
          <c:spPr>
            <a:ln w="28575" cap="rnd">
              <a:solidFill>
                <a:schemeClr val="accent1"/>
              </a:solidFill>
              <a:round/>
            </a:ln>
            <a:effectLst/>
          </c:spPr>
          <c:marker>
            <c:symbol val="none"/>
          </c:marker>
          <c:cat>
            <c:strRef>
              <c:f>charts!$N$7:$N$63</c:f>
              <c:strCache>
                <c:ptCount val="56"/>
                <c:pt idx="0">
                  <c:v>Agra</c:v>
                </c:pt>
                <c:pt idx="1">
                  <c:v>Ahmedabad</c:v>
                </c:pt>
                <c:pt idx="2">
                  <c:v>Ahmednagar</c:v>
                </c:pt>
                <c:pt idx="3">
                  <c:v>Akola</c:v>
                </c:pt>
                <c:pt idx="4">
                  <c:v>Alappuzha</c:v>
                </c:pt>
                <c:pt idx="5">
                  <c:v>Amravati</c:v>
                </c:pt>
                <c:pt idx="6">
                  <c:v>Amritsar</c:v>
                </c:pt>
                <c:pt idx="7">
                  <c:v>Aurangabad</c:v>
                </c:pt>
                <c:pt idx="8">
                  <c:v>Bengaluru</c:v>
                </c:pt>
                <c:pt idx="9">
                  <c:v>Bhopal</c:v>
                </c:pt>
                <c:pt idx="10">
                  <c:v>Bhubaneswar</c:v>
                </c:pt>
                <c:pt idx="11">
                  <c:v>Chandigarh</c:v>
                </c:pt>
                <c:pt idx="12">
                  <c:v>Chennai</c:v>
                </c:pt>
                <c:pt idx="13">
                  <c:v>Coimbatore</c:v>
                </c:pt>
                <c:pt idx="14">
                  <c:v>Dehradun</c:v>
                </c:pt>
                <c:pt idx="15">
                  <c:v>Delhi</c:v>
                </c:pt>
                <c:pt idx="16">
                  <c:v>Goa</c:v>
                </c:pt>
                <c:pt idx="17">
                  <c:v>Gurugram</c:v>
                </c:pt>
                <c:pt idx="18">
                  <c:v>Hyderabad</c:v>
                </c:pt>
                <c:pt idx="19">
                  <c:v>Indore</c:v>
                </c:pt>
                <c:pt idx="20">
                  <c:v>Jaipur</c:v>
                </c:pt>
                <c:pt idx="21">
                  <c:v>Jodhpur</c:v>
                </c:pt>
                <c:pt idx="22">
                  <c:v>Kanpur</c:v>
                </c:pt>
                <c:pt idx="23">
                  <c:v>Kochi</c:v>
                </c:pt>
                <c:pt idx="24">
                  <c:v>Kolhapur</c:v>
                </c:pt>
                <c:pt idx="25">
                  <c:v>Kolkata</c:v>
                </c:pt>
                <c:pt idx="26">
                  <c:v>Kollam</c:v>
                </c:pt>
                <c:pt idx="27">
                  <c:v>Kottayam</c:v>
                </c:pt>
                <c:pt idx="28">
                  <c:v>Kozhikode</c:v>
                </c:pt>
                <c:pt idx="29">
                  <c:v>Lucknow</c:v>
                </c:pt>
                <c:pt idx="30">
                  <c:v>Ludhiana</c:v>
                </c:pt>
                <c:pt idx="31">
                  <c:v>Mangaluru</c:v>
                </c:pt>
                <c:pt idx="32">
                  <c:v>Meerut</c:v>
                </c:pt>
                <c:pt idx="33">
                  <c:v>Mumbai</c:v>
                </c:pt>
                <c:pt idx="34">
                  <c:v>Mysuru</c:v>
                </c:pt>
                <c:pt idx="35">
                  <c:v>Nagpur</c:v>
                </c:pt>
                <c:pt idx="36">
                  <c:v>Nashik</c:v>
                </c:pt>
                <c:pt idx="37">
                  <c:v>Navi Mumbai</c:v>
                </c:pt>
                <c:pt idx="38">
                  <c:v>Noida</c:v>
                </c:pt>
                <c:pt idx="39">
                  <c:v>Panaji</c:v>
                </c:pt>
                <c:pt idx="40">
                  <c:v>Patna</c:v>
                </c:pt>
                <c:pt idx="41">
                  <c:v>Pune</c:v>
                </c:pt>
                <c:pt idx="42">
                  <c:v>Rajkot</c:v>
                </c:pt>
                <c:pt idx="43">
                  <c:v>Sangli</c:v>
                </c:pt>
                <c:pt idx="44">
                  <c:v>Satara</c:v>
                </c:pt>
                <c:pt idx="45">
                  <c:v>Solapur</c:v>
                </c:pt>
                <c:pt idx="46">
                  <c:v>Surat</c:v>
                </c:pt>
                <c:pt idx="47">
                  <c:v>Thane</c:v>
                </c:pt>
                <c:pt idx="48">
                  <c:v>Thiruvananthapuram</c:v>
                </c:pt>
                <c:pt idx="49">
                  <c:v>Thrissur</c:v>
                </c:pt>
                <c:pt idx="50">
                  <c:v>Udupi</c:v>
                </c:pt>
                <c:pt idx="51">
                  <c:v>Vadodara</c:v>
                </c:pt>
                <c:pt idx="52">
                  <c:v>Varanasi</c:v>
                </c:pt>
                <c:pt idx="53">
                  <c:v>Vijayawada</c:v>
                </c:pt>
                <c:pt idx="54">
                  <c:v>Visakhapatnam</c:v>
                </c:pt>
                <c:pt idx="55">
                  <c:v>Warangal</c:v>
                </c:pt>
              </c:strCache>
            </c:strRef>
          </c:cat>
          <c:val>
            <c:numRef>
              <c:f>charts!$O$7:$O$63</c:f>
              <c:numCache>
                <c:formatCode>General</c:formatCode>
                <c:ptCount val="56"/>
                <c:pt idx="0">
                  <c:v>2340</c:v>
                </c:pt>
                <c:pt idx="1">
                  <c:v>1215470</c:v>
                </c:pt>
                <c:pt idx="2">
                  <c:v>27500</c:v>
                </c:pt>
                <c:pt idx="3">
                  <c:v>64800</c:v>
                </c:pt>
                <c:pt idx="4">
                  <c:v>91500</c:v>
                </c:pt>
                <c:pt idx="5">
                  <c:v>54200</c:v>
                </c:pt>
                <c:pt idx="6">
                  <c:v>35000</c:v>
                </c:pt>
                <c:pt idx="7">
                  <c:v>288010</c:v>
                </c:pt>
                <c:pt idx="8">
                  <c:v>1866480</c:v>
                </c:pt>
                <c:pt idx="9">
                  <c:v>243450</c:v>
                </c:pt>
                <c:pt idx="10">
                  <c:v>11300</c:v>
                </c:pt>
                <c:pt idx="11">
                  <c:v>72700</c:v>
                </c:pt>
                <c:pt idx="12">
                  <c:v>351505</c:v>
                </c:pt>
                <c:pt idx="13">
                  <c:v>44360</c:v>
                </c:pt>
                <c:pt idx="14">
                  <c:v>13100</c:v>
                </c:pt>
                <c:pt idx="15">
                  <c:v>2444730</c:v>
                </c:pt>
                <c:pt idx="16">
                  <c:v>264450</c:v>
                </c:pt>
                <c:pt idx="17">
                  <c:v>129200</c:v>
                </c:pt>
                <c:pt idx="18">
                  <c:v>881970</c:v>
                </c:pt>
                <c:pt idx="19">
                  <c:v>86620</c:v>
                </c:pt>
                <c:pt idx="20">
                  <c:v>657570</c:v>
                </c:pt>
                <c:pt idx="21">
                  <c:v>88800</c:v>
                </c:pt>
                <c:pt idx="22">
                  <c:v>6700</c:v>
                </c:pt>
                <c:pt idx="23">
                  <c:v>1216520</c:v>
                </c:pt>
                <c:pt idx="24">
                  <c:v>342390</c:v>
                </c:pt>
                <c:pt idx="25">
                  <c:v>768350</c:v>
                </c:pt>
                <c:pt idx="26">
                  <c:v>142150</c:v>
                </c:pt>
                <c:pt idx="27">
                  <c:v>189090</c:v>
                </c:pt>
                <c:pt idx="28">
                  <c:v>109500</c:v>
                </c:pt>
                <c:pt idx="29">
                  <c:v>54350</c:v>
                </c:pt>
                <c:pt idx="30">
                  <c:v>27200</c:v>
                </c:pt>
                <c:pt idx="31">
                  <c:v>118000</c:v>
                </c:pt>
                <c:pt idx="32">
                  <c:v>1780</c:v>
                </c:pt>
                <c:pt idx="33">
                  <c:v>7428900</c:v>
                </c:pt>
                <c:pt idx="34">
                  <c:v>27350</c:v>
                </c:pt>
                <c:pt idx="35">
                  <c:v>1123320</c:v>
                </c:pt>
                <c:pt idx="36">
                  <c:v>1139250</c:v>
                </c:pt>
                <c:pt idx="37">
                  <c:v>2970</c:v>
                </c:pt>
                <c:pt idx="38">
                  <c:v>4720</c:v>
                </c:pt>
                <c:pt idx="39">
                  <c:v>40600</c:v>
                </c:pt>
                <c:pt idx="40">
                  <c:v>1240</c:v>
                </c:pt>
                <c:pt idx="41">
                  <c:v>5623825</c:v>
                </c:pt>
                <c:pt idx="42">
                  <c:v>10700</c:v>
                </c:pt>
                <c:pt idx="43">
                  <c:v>102750</c:v>
                </c:pt>
                <c:pt idx="44">
                  <c:v>128480</c:v>
                </c:pt>
                <c:pt idx="45">
                  <c:v>211550</c:v>
                </c:pt>
                <c:pt idx="46">
                  <c:v>135850</c:v>
                </c:pt>
                <c:pt idx="47">
                  <c:v>388210</c:v>
                </c:pt>
                <c:pt idx="48">
                  <c:v>97320</c:v>
                </c:pt>
                <c:pt idx="49">
                  <c:v>184650</c:v>
                </c:pt>
                <c:pt idx="50">
                  <c:v>55200</c:v>
                </c:pt>
                <c:pt idx="51">
                  <c:v>147400</c:v>
                </c:pt>
                <c:pt idx="52">
                  <c:v>1840</c:v>
                </c:pt>
                <c:pt idx="53">
                  <c:v>13800</c:v>
                </c:pt>
                <c:pt idx="54">
                  <c:v>33310</c:v>
                </c:pt>
                <c:pt idx="55">
                  <c:v>123500</c:v>
                </c:pt>
              </c:numCache>
            </c:numRef>
          </c:val>
          <c:smooth val="0"/>
          <c:extLst>
            <c:ext xmlns:c16="http://schemas.microsoft.com/office/drawing/2014/chart" uri="{C3380CC4-5D6E-409C-BE32-E72D297353CC}">
              <c16:uniqueId val="{00000000-715B-4347-8927-A499A82441B7}"/>
            </c:ext>
          </c:extLst>
        </c:ser>
        <c:dLbls>
          <c:showLegendKey val="0"/>
          <c:showVal val="0"/>
          <c:showCatName val="0"/>
          <c:showSerName val="0"/>
          <c:showPercent val="0"/>
          <c:showBubbleSize val="0"/>
        </c:dLbls>
        <c:smooth val="0"/>
        <c:axId val="933034671"/>
        <c:axId val="1684846543"/>
      </c:lineChart>
      <c:catAx>
        <c:axId val="933034671"/>
        <c:scaling>
          <c:orientation val="minMax"/>
        </c:scaling>
        <c:delete val="0"/>
        <c:axPos val="b"/>
        <c:numFmt formatCode="General" sourceLinked="1"/>
        <c:majorTickMark val="none"/>
        <c:minorTickMark val="none"/>
        <c:tickLblPos val="nextTo"/>
        <c:spPr>
          <a:solidFill>
            <a:schemeClr val="accent3">
              <a:lumMod val="20000"/>
              <a:lumOff val="80000"/>
            </a:schemeClr>
          </a:solidFill>
          <a:ln w="9525" cap="flat" cmpd="sng" algn="ctr">
            <a:solidFill>
              <a:schemeClr val="accent6">
                <a:lumMod val="20000"/>
                <a:lumOff val="80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684846543"/>
        <c:crosses val="autoZero"/>
        <c:auto val="1"/>
        <c:lblAlgn val="ctr"/>
        <c:lblOffset val="100"/>
        <c:noMultiLvlLbl val="0"/>
      </c:catAx>
      <c:valAx>
        <c:axId val="16848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33034671"/>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charts!$C$5</c:f>
              <c:strCache>
                <c:ptCount val="1"/>
                <c:pt idx="0">
                  <c:v>Total</c:v>
                </c:pt>
              </c:strCache>
            </c:strRef>
          </c:tx>
          <c:spPr>
            <a:solidFill>
              <a:schemeClr val="accent1"/>
            </a:solidFill>
            <a:ln>
              <a:noFill/>
            </a:ln>
            <a:effectLst/>
          </c:spPr>
          <c:invertIfNegative val="0"/>
          <c:cat>
            <c:strRef>
              <c:f>charts!$B$6:$B$8</c:f>
              <c:strCache>
                <c:ptCount val="2"/>
                <c:pt idx="0">
                  <c:v>Female</c:v>
                </c:pt>
                <c:pt idx="1">
                  <c:v>Male</c:v>
                </c:pt>
              </c:strCache>
            </c:strRef>
          </c:cat>
          <c:val>
            <c:numRef>
              <c:f>charts!$C$6:$C$8</c:f>
              <c:numCache>
                <c:formatCode>General</c:formatCode>
                <c:ptCount val="2"/>
                <c:pt idx="0">
                  <c:v>9984355</c:v>
                </c:pt>
                <c:pt idx="1">
                  <c:v>18953465</c:v>
                </c:pt>
              </c:numCache>
            </c:numRef>
          </c:val>
          <c:extLst>
            <c:ext xmlns:c16="http://schemas.microsoft.com/office/drawing/2014/chart" uri="{C3380CC4-5D6E-409C-BE32-E72D297353CC}">
              <c16:uniqueId val="{00000000-2B6D-41DD-A494-61AF0A230A7E}"/>
            </c:ext>
          </c:extLst>
        </c:ser>
        <c:dLbls>
          <c:showLegendKey val="0"/>
          <c:showVal val="0"/>
          <c:showCatName val="0"/>
          <c:showSerName val="0"/>
          <c:showPercent val="0"/>
          <c:showBubbleSize val="0"/>
        </c:dLbls>
        <c:gapWidth val="219"/>
        <c:overlap val="-27"/>
        <c:axId val="927466111"/>
        <c:axId val="1707820335"/>
      </c:barChart>
      <c:catAx>
        <c:axId val="927466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1707820335"/>
        <c:crosses val="autoZero"/>
        <c:auto val="1"/>
        <c:lblAlgn val="ctr"/>
        <c:lblOffset val="100"/>
        <c:noMultiLvlLbl val="0"/>
      </c:catAx>
      <c:valAx>
        <c:axId val="17078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crossAx val="927466111"/>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19050" cap="flat" cmpd="sng" algn="ctr">
      <a:solidFill>
        <a:schemeClr val="accent6">
          <a:lumMod val="20000"/>
          <a:lumOff val="80000"/>
        </a:schemeClr>
      </a:solidFill>
      <a:prstDash val="solid"/>
      <a:miter lim="800000"/>
    </a:ln>
    <a:effectLst>
      <a:glow rad="139700">
        <a:schemeClr val="accent4">
          <a:satMod val="175000"/>
          <a:alpha val="40000"/>
        </a:schemeClr>
      </a:glow>
    </a:effectLst>
    <a:scene3d>
      <a:camera prst="orthographicFront"/>
      <a:lightRig rig="threePt" dir="t"/>
    </a:scene3d>
    <a:sp3d prstMaterial="matte">
      <a:bevelT w="63500" h="63500" prst="artDeco"/>
      <a:contourClr>
        <a:srgbClr val="000000"/>
      </a:contourClr>
    </a:sp3d>
  </c:spPr>
  <c:txPr>
    <a:bodyPr/>
    <a:lstStyle/>
    <a:p>
      <a:pPr>
        <a:defRPr b="0" cap="none" spc="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s>
    <c:plotArea>
      <c:layout/>
      <c:pieChart>
        <c:varyColors val="1"/>
        <c:ser>
          <c:idx val="0"/>
          <c:order val="0"/>
          <c:tx>
            <c:strRef>
              <c:f>charts!$AB$11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EB-4B53-BC49-2B71C3191B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EB-4B53-BC49-2B71C3191B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EB-4B53-BC49-2B71C3191B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EB-4B53-BC49-2B71C3191B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EB-4B53-BC49-2B71C3191B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EB-4B53-BC49-2B71C3191B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EB-4B53-BC49-2B71C3191B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EB-4B53-BC49-2B71C3191BC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EB-4B53-BC49-2B71C3191BC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EB-4B53-BC49-2B71C3191BC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FEB-4B53-BC49-2B71C3191BC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FEB-4B53-BC49-2B71C3191BC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FEB-4B53-BC49-2B71C3191BCC}"/>
              </c:ext>
            </c:extLst>
          </c:dPt>
          <c:dLbls>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charts!$AA$12:$AA$25</c:f>
              <c:strCache>
                <c:ptCount val="13"/>
                <c:pt idx="0">
                  <c:v>Conference Table</c:v>
                </c:pt>
                <c:pt idx="1">
                  <c:v>File Folder</c:v>
                </c:pt>
                <c:pt idx="2">
                  <c:v>Filing Cabinet</c:v>
                </c:pt>
                <c:pt idx="3">
                  <c:v>Keyboard</c:v>
                </c:pt>
                <c:pt idx="4">
                  <c:v>Laptop</c:v>
                </c:pt>
                <c:pt idx="5">
                  <c:v>Monitor</c:v>
                </c:pt>
                <c:pt idx="6">
                  <c:v>Mouse</c:v>
                </c:pt>
                <c:pt idx="7">
                  <c:v>Notebook</c:v>
                </c:pt>
                <c:pt idx="8">
                  <c:v>Office Chair</c:v>
                </c:pt>
                <c:pt idx="9">
                  <c:v>Office Desk</c:v>
                </c:pt>
                <c:pt idx="10">
                  <c:v>Pen Set</c:v>
                </c:pt>
                <c:pt idx="11">
                  <c:v>Printer</c:v>
                </c:pt>
                <c:pt idx="12">
                  <c:v>Printer Paper</c:v>
                </c:pt>
              </c:strCache>
            </c:strRef>
          </c:cat>
          <c:val>
            <c:numRef>
              <c:f>charts!$AB$12:$AB$25</c:f>
              <c:numCache>
                <c:formatCode>General</c:formatCode>
                <c:ptCount val="13"/>
                <c:pt idx="0">
                  <c:v>59</c:v>
                </c:pt>
                <c:pt idx="1">
                  <c:v>59</c:v>
                </c:pt>
                <c:pt idx="2">
                  <c:v>61</c:v>
                </c:pt>
                <c:pt idx="3">
                  <c:v>120</c:v>
                </c:pt>
                <c:pt idx="4">
                  <c:v>120</c:v>
                </c:pt>
                <c:pt idx="5">
                  <c:v>120</c:v>
                </c:pt>
                <c:pt idx="6">
                  <c:v>120</c:v>
                </c:pt>
                <c:pt idx="7">
                  <c:v>61</c:v>
                </c:pt>
                <c:pt idx="8">
                  <c:v>120</c:v>
                </c:pt>
                <c:pt idx="9">
                  <c:v>120</c:v>
                </c:pt>
                <c:pt idx="10">
                  <c:v>59</c:v>
                </c:pt>
                <c:pt idx="11">
                  <c:v>61</c:v>
                </c:pt>
                <c:pt idx="12">
                  <c:v>120</c:v>
                </c:pt>
              </c:numCache>
            </c:numRef>
          </c:val>
          <c:extLst>
            <c:ext xmlns:c16="http://schemas.microsoft.com/office/drawing/2014/chart" uri="{C3380CC4-5D6E-409C-BE32-E72D297353CC}">
              <c16:uniqueId val="{0000001A-CFEB-4B53-BC49-2B71C3191BCC}"/>
            </c:ext>
          </c:extLst>
        </c:ser>
        <c:dLbls>
          <c:showLegendKey val="0"/>
          <c:showVal val="0"/>
          <c:showCatName val="0"/>
          <c:showSerName val="0"/>
          <c:showPercent val="0"/>
          <c:showBubbleSize val="0"/>
          <c:showLeaderLines val="1"/>
        </c:dLbls>
        <c:firstSliceAng val="0"/>
      </c:pieChart>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data 2.0 (1).xlsx]charts!PivotTable6</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charts!$O$6</c:f>
              <c:strCache>
                <c:ptCount val="1"/>
                <c:pt idx="0">
                  <c:v>Total</c:v>
                </c:pt>
              </c:strCache>
            </c:strRef>
          </c:tx>
          <c:spPr>
            <a:ln w="28575" cap="rnd">
              <a:solidFill>
                <a:schemeClr val="accent1"/>
              </a:solidFill>
              <a:round/>
            </a:ln>
            <a:effectLst/>
          </c:spPr>
          <c:marker>
            <c:symbol val="none"/>
          </c:marker>
          <c:cat>
            <c:strRef>
              <c:f>charts!$N$7:$N$63</c:f>
              <c:strCache>
                <c:ptCount val="56"/>
                <c:pt idx="0">
                  <c:v>Agra</c:v>
                </c:pt>
                <c:pt idx="1">
                  <c:v>Ahmedabad</c:v>
                </c:pt>
                <c:pt idx="2">
                  <c:v>Ahmednagar</c:v>
                </c:pt>
                <c:pt idx="3">
                  <c:v>Akola</c:v>
                </c:pt>
                <c:pt idx="4">
                  <c:v>Alappuzha</c:v>
                </c:pt>
                <c:pt idx="5">
                  <c:v>Amravati</c:v>
                </c:pt>
                <c:pt idx="6">
                  <c:v>Amritsar</c:v>
                </c:pt>
                <c:pt idx="7">
                  <c:v>Aurangabad</c:v>
                </c:pt>
                <c:pt idx="8">
                  <c:v>Bengaluru</c:v>
                </c:pt>
                <c:pt idx="9">
                  <c:v>Bhopal</c:v>
                </c:pt>
                <c:pt idx="10">
                  <c:v>Bhubaneswar</c:v>
                </c:pt>
                <c:pt idx="11">
                  <c:v>Chandigarh</c:v>
                </c:pt>
                <c:pt idx="12">
                  <c:v>Chennai</c:v>
                </c:pt>
                <c:pt idx="13">
                  <c:v>Coimbatore</c:v>
                </c:pt>
                <c:pt idx="14">
                  <c:v>Dehradun</c:v>
                </c:pt>
                <c:pt idx="15">
                  <c:v>Delhi</c:v>
                </c:pt>
                <c:pt idx="16">
                  <c:v>Goa</c:v>
                </c:pt>
                <c:pt idx="17">
                  <c:v>Gurugram</c:v>
                </c:pt>
                <c:pt idx="18">
                  <c:v>Hyderabad</c:v>
                </c:pt>
                <c:pt idx="19">
                  <c:v>Indore</c:v>
                </c:pt>
                <c:pt idx="20">
                  <c:v>Jaipur</c:v>
                </c:pt>
                <c:pt idx="21">
                  <c:v>Jodhpur</c:v>
                </c:pt>
                <c:pt idx="22">
                  <c:v>Kanpur</c:v>
                </c:pt>
                <c:pt idx="23">
                  <c:v>Kochi</c:v>
                </c:pt>
                <c:pt idx="24">
                  <c:v>Kolhapur</c:v>
                </c:pt>
                <c:pt idx="25">
                  <c:v>Kolkata</c:v>
                </c:pt>
                <c:pt idx="26">
                  <c:v>Kollam</c:v>
                </c:pt>
                <c:pt idx="27">
                  <c:v>Kottayam</c:v>
                </c:pt>
                <c:pt idx="28">
                  <c:v>Kozhikode</c:v>
                </c:pt>
                <c:pt idx="29">
                  <c:v>Lucknow</c:v>
                </c:pt>
                <c:pt idx="30">
                  <c:v>Ludhiana</c:v>
                </c:pt>
                <c:pt idx="31">
                  <c:v>Mangaluru</c:v>
                </c:pt>
                <c:pt idx="32">
                  <c:v>Meerut</c:v>
                </c:pt>
                <c:pt idx="33">
                  <c:v>Mumbai</c:v>
                </c:pt>
                <c:pt idx="34">
                  <c:v>Mysuru</c:v>
                </c:pt>
                <c:pt idx="35">
                  <c:v>Nagpur</c:v>
                </c:pt>
                <c:pt idx="36">
                  <c:v>Nashik</c:v>
                </c:pt>
                <c:pt idx="37">
                  <c:v>Navi Mumbai</c:v>
                </c:pt>
                <c:pt idx="38">
                  <c:v>Noida</c:v>
                </c:pt>
                <c:pt idx="39">
                  <c:v>Panaji</c:v>
                </c:pt>
                <c:pt idx="40">
                  <c:v>Patna</c:v>
                </c:pt>
                <c:pt idx="41">
                  <c:v>Pune</c:v>
                </c:pt>
                <c:pt idx="42">
                  <c:v>Rajkot</c:v>
                </c:pt>
                <c:pt idx="43">
                  <c:v>Sangli</c:v>
                </c:pt>
                <c:pt idx="44">
                  <c:v>Satara</c:v>
                </c:pt>
                <c:pt idx="45">
                  <c:v>Solapur</c:v>
                </c:pt>
                <c:pt idx="46">
                  <c:v>Surat</c:v>
                </c:pt>
                <c:pt idx="47">
                  <c:v>Thane</c:v>
                </c:pt>
                <c:pt idx="48">
                  <c:v>Thiruvananthapuram</c:v>
                </c:pt>
                <c:pt idx="49">
                  <c:v>Thrissur</c:v>
                </c:pt>
                <c:pt idx="50">
                  <c:v>Udupi</c:v>
                </c:pt>
                <c:pt idx="51">
                  <c:v>Vadodara</c:v>
                </c:pt>
                <c:pt idx="52">
                  <c:v>Varanasi</c:v>
                </c:pt>
                <c:pt idx="53">
                  <c:v>Vijayawada</c:v>
                </c:pt>
                <c:pt idx="54">
                  <c:v>Visakhapatnam</c:v>
                </c:pt>
                <c:pt idx="55">
                  <c:v>Warangal</c:v>
                </c:pt>
              </c:strCache>
            </c:strRef>
          </c:cat>
          <c:val>
            <c:numRef>
              <c:f>charts!$O$7:$O$63</c:f>
              <c:numCache>
                <c:formatCode>General</c:formatCode>
                <c:ptCount val="56"/>
                <c:pt idx="0">
                  <c:v>2340</c:v>
                </c:pt>
                <c:pt idx="1">
                  <c:v>1215470</c:v>
                </c:pt>
                <c:pt idx="2">
                  <c:v>27500</c:v>
                </c:pt>
                <c:pt idx="3">
                  <c:v>64800</c:v>
                </c:pt>
                <c:pt idx="4">
                  <c:v>91500</c:v>
                </c:pt>
                <c:pt idx="5">
                  <c:v>54200</c:v>
                </c:pt>
                <c:pt idx="6">
                  <c:v>35000</c:v>
                </c:pt>
                <c:pt idx="7">
                  <c:v>288010</c:v>
                </c:pt>
                <c:pt idx="8">
                  <c:v>1866480</c:v>
                </c:pt>
                <c:pt idx="9">
                  <c:v>243450</c:v>
                </c:pt>
                <c:pt idx="10">
                  <c:v>11300</c:v>
                </c:pt>
                <c:pt idx="11">
                  <c:v>72700</c:v>
                </c:pt>
                <c:pt idx="12">
                  <c:v>351505</c:v>
                </c:pt>
                <c:pt idx="13">
                  <c:v>44360</c:v>
                </c:pt>
                <c:pt idx="14">
                  <c:v>13100</c:v>
                </c:pt>
                <c:pt idx="15">
                  <c:v>2444730</c:v>
                </c:pt>
                <c:pt idx="16">
                  <c:v>264450</c:v>
                </c:pt>
                <c:pt idx="17">
                  <c:v>129200</c:v>
                </c:pt>
                <c:pt idx="18">
                  <c:v>881970</c:v>
                </c:pt>
                <c:pt idx="19">
                  <c:v>86620</c:v>
                </c:pt>
                <c:pt idx="20">
                  <c:v>657570</c:v>
                </c:pt>
                <c:pt idx="21">
                  <c:v>88800</c:v>
                </c:pt>
                <c:pt idx="22">
                  <c:v>6700</c:v>
                </c:pt>
                <c:pt idx="23">
                  <c:v>1216520</c:v>
                </c:pt>
                <c:pt idx="24">
                  <c:v>342390</c:v>
                </c:pt>
                <c:pt idx="25">
                  <c:v>768350</c:v>
                </c:pt>
                <c:pt idx="26">
                  <c:v>142150</c:v>
                </c:pt>
                <c:pt idx="27">
                  <c:v>189090</c:v>
                </c:pt>
                <c:pt idx="28">
                  <c:v>109500</c:v>
                </c:pt>
                <c:pt idx="29">
                  <c:v>54350</c:v>
                </c:pt>
                <c:pt idx="30">
                  <c:v>27200</c:v>
                </c:pt>
                <c:pt idx="31">
                  <c:v>118000</c:v>
                </c:pt>
                <c:pt idx="32">
                  <c:v>1780</c:v>
                </c:pt>
                <c:pt idx="33">
                  <c:v>7428900</c:v>
                </c:pt>
                <c:pt idx="34">
                  <c:v>27350</c:v>
                </c:pt>
                <c:pt idx="35">
                  <c:v>1123320</c:v>
                </c:pt>
                <c:pt idx="36">
                  <c:v>1139250</c:v>
                </c:pt>
                <c:pt idx="37">
                  <c:v>2970</c:v>
                </c:pt>
                <c:pt idx="38">
                  <c:v>4720</c:v>
                </c:pt>
                <c:pt idx="39">
                  <c:v>40600</c:v>
                </c:pt>
                <c:pt idx="40">
                  <c:v>1240</c:v>
                </c:pt>
                <c:pt idx="41">
                  <c:v>5623825</c:v>
                </c:pt>
                <c:pt idx="42">
                  <c:v>10700</c:v>
                </c:pt>
                <c:pt idx="43">
                  <c:v>102750</c:v>
                </c:pt>
                <c:pt idx="44">
                  <c:v>128480</c:v>
                </c:pt>
                <c:pt idx="45">
                  <c:v>211550</c:v>
                </c:pt>
                <c:pt idx="46">
                  <c:v>135850</c:v>
                </c:pt>
                <c:pt idx="47">
                  <c:v>388210</c:v>
                </c:pt>
                <c:pt idx="48">
                  <c:v>97320</c:v>
                </c:pt>
                <c:pt idx="49">
                  <c:v>184650</c:v>
                </c:pt>
                <c:pt idx="50">
                  <c:v>55200</c:v>
                </c:pt>
                <c:pt idx="51">
                  <c:v>147400</c:v>
                </c:pt>
                <c:pt idx="52">
                  <c:v>1840</c:v>
                </c:pt>
                <c:pt idx="53">
                  <c:v>13800</c:v>
                </c:pt>
                <c:pt idx="54">
                  <c:v>33310</c:v>
                </c:pt>
                <c:pt idx="55">
                  <c:v>123500</c:v>
                </c:pt>
              </c:numCache>
            </c:numRef>
          </c:val>
          <c:smooth val="0"/>
          <c:extLst>
            <c:ext xmlns:c16="http://schemas.microsoft.com/office/drawing/2014/chart" uri="{C3380CC4-5D6E-409C-BE32-E72D297353CC}">
              <c16:uniqueId val="{00000000-B499-4D18-8486-CF941477A201}"/>
            </c:ext>
          </c:extLst>
        </c:ser>
        <c:dLbls>
          <c:showLegendKey val="0"/>
          <c:showVal val="0"/>
          <c:showCatName val="0"/>
          <c:showSerName val="0"/>
          <c:showPercent val="0"/>
          <c:showBubbleSize val="0"/>
        </c:dLbls>
        <c:smooth val="0"/>
        <c:axId val="933034671"/>
        <c:axId val="1684846543"/>
      </c:lineChart>
      <c:catAx>
        <c:axId val="933034671"/>
        <c:scaling>
          <c:orientation val="minMax"/>
        </c:scaling>
        <c:delete val="0"/>
        <c:axPos val="b"/>
        <c:numFmt formatCode="General" sourceLinked="1"/>
        <c:majorTickMark val="none"/>
        <c:minorTickMark val="none"/>
        <c:tickLblPos val="nextTo"/>
        <c:spPr>
          <a:solidFill>
            <a:schemeClr val="accent3">
              <a:lumMod val="20000"/>
              <a:lumOff val="80000"/>
            </a:schemeClr>
          </a:solidFill>
          <a:ln w="9525" cap="flat" cmpd="sng" algn="ctr">
            <a:solidFill>
              <a:schemeClr val="accent6">
                <a:lumMod val="20000"/>
                <a:lumOff val="80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684846543"/>
        <c:crosses val="autoZero"/>
        <c:auto val="1"/>
        <c:lblAlgn val="ctr"/>
        <c:lblOffset val="100"/>
        <c:noMultiLvlLbl val="0"/>
      </c:catAx>
      <c:valAx>
        <c:axId val="168484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3">
              <a:lumMod val="20000"/>
              <a:lumOff val="80000"/>
            </a:schemeClr>
          </a:solid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933034671"/>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6">
          <a:lumMod val="20000"/>
          <a:lumOff val="8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E40-4FCD-A08C-ECB6BF7AFD8A}">
          <cx:tx>
            <cx:txData>
              <cx:f>_xlchart.v5.2</cx:f>
              <cx:v>Sum of Sales</cx:v>
            </cx:txData>
          </cx:tx>
          <cx:dataLabels>
            <cx:visibility seriesName="0" categoryName="0" value="1"/>
          </cx:dataLabels>
          <cx:dataId val="0"/>
          <cx:layoutPr>
            <cx:geography viewedRegionType="countryRegion" cultureLanguage="en-US" cultureRegion="IN" attribution="Powered by Bing">
              <cx:geoCache provider="{E9337A44-BEBE-4D9F-B70C-5C5E7DAFC167}">
                <cx:binary>1Hxpb9xKrvZfCfL5yqcW1TaYGWBK6sW74z35InRiW6rSLpXWX//SsZNj97FPMr65LxAjSNBWl0SR
RfJ5SFb++WX8x5fsdtO8G/OsaP/xZfzX+8S56h9//NF+SW7zTbuTmy9N2ZZ3budLmf9R3t2ZL7d/
3DSbwRTxHwRh/48vyaZxt+P7f/8T7hbflgfll40zZfGhu22m09u2y1z7N9devPRuc5ObIjSta8wX
h//1/j/FTdJs3p00m5vbNnn/7rZwxk3nU3X7r/fPvvv+3R/bd/zL099lIKDrbmAtZjuCMYalQurh
5/27rCzix8tC7SjOfMyU/3CVfnv00SaH5T8v1lehNjc3zW3bwtt9/fev65+9Clw+ef/uS9kV7l6R
Mej0X+93ixuzef/OtGXwcCEo799j9+jri//x3AT//ufWL0AVW795YqVtvf3o0l+MFCQbkC7eNL/Q
QBTtCKIo8yVHX3/wcwPxHSERw4KJBwP5zw30cyK9bJyna7cME6x/K8NoAz76TTH/e6chbIcLJRlm
9CWbSLiMFOe+It+e+eAtPxTjZTs8LtsygT79rUwQ3maJ+aaOX2ACucN9ShXiL7uF2MGY+QJs9OAW
/NujHyzxQ2letsTjsi1LhAe/lSVWJcTPX5g/KKeEKiIfFK2ehyd/BzHCFSfk4TL79ugHO/xAlpet
8HXRlg1W//m9bNDZTbNx35TxC/yB7HBFOBY+eSkkCbzDlEAcnOJFf1j9WJ5XbPFt4bY99n4re6w3
zbQpfqFfELWDlcTKhw3/FE/xHeoj4iNfPphpKy79hBwv2+H7wi07rH+vLLG/aYqN26S/0BLY3xEY
+cR/xTP4DoZkDqmcPnjGFsL9KYletsmTpVtW2f+9otX+bbPJfqVJ0I7vKymEALT63Dt8JAn38WNS
38JPP5bjFUM8yr9thd8rb1/dtu6dvi3iTfYL8wbdkYz5VJKXoazYUQIr+AJ7iFdb9OInZXrZLM8W
b9nmSv9W+eNwc5NM/wf0nNAdRiWwO/aYL/Bzh5E7RErFKX2EuVvB6+fFetlC2+u3jHT4e9Hzww2w
wE2buOZXxjK14zOCJGXqReAF6QVJRclj/URtAeCflOk18zx5oW3b/F4M/fjGtMkvNAtBOwxT5EPg
eomXSH/HJxLCGnq02pZZfizOyxb5tm7LGMe/Fwo76Qq7+fzrkgzUsCSoWwE5eR6+2A6UFn1B1SP2
kt+e+cAOfyzHy1b4tm7LCie/V0453dhN66Ck+E0pv4Al8h0mfcY5fmSJW/YAMABxCnH1mE62vOKn
JHrZJE+Wblnl9Pdiiueb3GTvjjY33a8zC8Y7CHOMkAQHeIqH5Y6PBCKIiW8Pe3CMnxPiZUs8Xbtl
inMoov9G5fbz22wDaPhX0nYsdgBocabwliXUDkIKnIM95vGtSPVTorxijz/fYtscq9/KHBfOQSPt
l3eoCN9RhDIoXT3gK/QcAktI9JxTRuTL/P2npXrZOlvLtyx08XsB4K8vs0nvu1Tf4sn/PqdAcseU
IMI5f0Baf/EciF+UqG/14a2c8pMy/Y11vr3Qtm32fyvvWTVglXfnpfsxu/+FHcyXo/3T5sCzb/yX
zWVCdu4dk+NH11R/2RrQO6ASAQz/+rOV5R5bva9L8/KmeFz2TPD/477x6xb53nsPoay5+Nq0f9JW
/vurX18PBgq2lv5d7+ZBV7s3/3ovfCCkXGJCAGJD/MQE4ub30YD7Wz7e57EhtoGZhnf3W/BoAw3s
d+tNf5uZd/+BX4SbfFN8vRSa76Dn1UfcAmaFp9MdQgSQXuwzhgSI8f7dAPUruAJcQGAGkIYK4Gf8
HvIUZeOSf70HziZ8iomCCyA29FDfv2vL7vEScDnoqGJ4nftbyu/jFidlNsVl8V2Vj5/fFV1+UprC
tTDkQCHoVA/fexRcSgr1YEwx9wm0zkGI6svmFGY67r/+P3VkBxvz2V9Ew0U3lYfqHC/jZUKDxmgT
BdIGhi1Re0ovilGrLpjtRVubpcmvotGFJvIC2fsBSvNPKurDNFkneas7bylks+orqaM2303k52n0
w6SKre7MVTd8IsYtvKnhGs1ntPL0QKZjmjRL6u1V8q4Zg2wd8fOeHMU3SZHpgh1MLtXFcFg2XRDx
u7zgQdoQnXjaYL7LrMu1Qvioz4twGrwgS6ZVzlOr+dgFo2+XzFshbpulxS4Oyi47GpNPhZo1L4bP
SBUXrUMf8npOQhMLqRmdqkUrbOAXX1x2zGXvdNenTmPbahoPOktq3Ux6EOQEW3sWZ/Mupc0STWTt
+fleingW8PyAjtgGbVUdt12T6jpuws7zFtyikwxneqys1R4tb1nnF0FR+x+R9VZgpkVfxotSxdpG
w9Jv0+XkT0HjxtDyJszS9pAad+I4PcIR/ZIKfjKWIOswTUxXmFyOZroovXlJcrWIfd9qK32sEy5y
zXu4a5yYkzivOl2rttW+NEd1OwR2PHziNi/tLQw1t+d7C/wOUDsSGLpxgvOtvZX2qB1N6anFOOcX
jfPKwPfbk7Fn62TgC6gl1WEm+J5Li1VWHbN8XDHs77tcduGEaK/zti90FKldbrJ16qGl6YZlY9NI
dxE9oX25HEd2Rn3WaGvbsKZmvy72UeevmqrYx9MSe3JRTJWuzPyBZclaimHRYHXkwITVZO78hp2y
9KMHao46FpgmX8Y2XcY4CZrGhfVAw9K2B8DnQzKWYdx462pGJw1rlj31TyakDrgfH45Tp9WYr/LE
ndsqCmBLrma15+NPnPXazt1ezecjVA6F9sq41kKMiVawK9OpWFa9OZDFoaizlRc1muXyc+6mdZah
dTy0MfhSi4K0mw/m0S2kjDZTxZZl0ekcbqg7ZFrt4WkPwsUVIfGRLc5J0xw2kb9u8XBejJ9my8b9
ikxlYAssPtYR7bSXZNeepYukwituYYsM3F9irtY1bW7QCDL2+XQcT12kZVSyUDna7ddDrSs+f/r7
bUKgcP6XXUKFosD5gIsrH3Lf0wg0l0imzVBEC16mt7HXXUWgvqjBn+omCea+2cOiOa2j9Gju+uO4
bXbtMB4Z42uctvXS1eIgZcqGtq12m1kdJySH2OVOW6mKMHHpiU36u4oVP9jdMGKxJTeHyA37GwI4
JBgobaLncrdVnVU9ttGiFo3QltC9KAWBWRmM3ZzpJmM6yhK5chAXq5ivvRyCVI27DRHLsSpWdZJN
Wngz0009zEElBOzZmCxKYtais0QTnh1Npj+DwLqi2XhibHdWefhipnGYN+QmZuNZ7rc6otKFZdI4
HZkUHsxduRilhNDYkzvUJZ2OnfMOaD442IyV01k1nCZ9fzLIbr/iUawNLw6TPrJLQLafajFjTdP+
nOPsuM/8WXesuis8mywYrc4H592phGaBNPyOe9lZy+11PptV07fZkuG7KjOrZIwDVYAEcb3btL6e
pQpcwi6HHK+oHJQWzech8XYnI3WZD4sW6xgNAeqTwKTsqqiIHkyy9qNxkTN3iDxz0jrIHhUioZVq
7eEi1UnXXdnGXdSIQBz3r+e0vojNeNyRYg77zgWz59bU1kEdozWrizOWDGsUz7pw9kuEqrMscXsd
oSEn4O+WhdzKk7hAu2U1nAy+DEkmz3JMet3lPOyQWkC1KDAxW8YJWoLpDxDOFkM/QJYxV9lYr3vR
LZyoAjYdovLARfOindjSqSzIhNG4vbbzWcRpkBoZJt2+qtJdW0RXDahwNYnYBDbCy7rIVzKdF8lQ
5Lqh7i5NkmB0/KRDflg39mOdz06r1hZrQjIUzNSvteXCXdlcfChj2mivrsOiGQatqv7EMPulzvxe
e+TOyHw38tSV32Y68sobGXvLqpsLXZbRQQFuqFVfnrg6XZOZLW1ZneUDP01ju++TaQjniOt6ZlPg
ZRjWu1CV3bK1QxjFbQGZ6dqSYU3HcZ13idJpYXIdufyCJsV13LKDsaGXmZOlZvyazfX5mHduAbt6
t47E3UzoftQlfDG0HdcZjvenkQvduWkKm1hmC+bPB2kMWYuXx3kN8EI0aOO3c7YgQ3Na0mmT1kmh
085do4wmGhe8DIyaThrfXfSz3OtFlWiKzMJLd1PCLrnAReDwGJDEnuOWX3ek20fj+DkfZ6W9Igtx
RtfeMIYjQic5j8OURZe5G7Rs0qDx1SnvvMM4/TjXsy5lF6goOWp784Hm82KC3e7b6m42RE+gsXFU
Z+NEr0htVqWbdxtcn0be5z6Vd2pGn8Z41DEZl7hTX6xPQpOLPogZO43UbS4gZaiF7x018qjCR4we
F92p7c1J4+VhRyvN6Wk/Ee2svMjHNkgBdZSzCwpOdV+NIbG3qZlWxSAXaXst1PnAEm1GX9PsTpkk
xORjF5+JOF9x2Wjpf/DyRsftcFp2BLaLd2jR6UhMpZP5AEWZFpOvHeQow/3dRiyZny9Sk2plOeSH
Yzx8UawKckGvXSc1n8CvU3It1Uk+DoHIPqC4Mxpi5VUdkTToDAtj83lo22Xe3Y22DPJKfR4pzZaq
bz97FV+bJl6nBt/0g3VBp5Jcp6UKpzqNNVNDSKZaO1XKXZukQnu9akMZ55dm8uLFSCb/xmsI1tKT
YUmFXA7lvM+a4jyJaxHOFp+r1PtYTtNVmc7n82hP5siJoK8aE9CC+ruxS7NFkcliIXjRhf1QAOGa
V3IWa+e1muemCZAEOBUn45nn17FuULUYkK9zO2wcBziMm10+RDjoXKFnLj7nfb+nhuRWTt25Kqoq
qC1ZWzvFYdkCNFFRni4igawmXhTa3p1ndAZoly8AqB+UFb1LURZYvIod3/P9MsRlc5gOFURf/zCp
2dE0uZWkNQn9iMbLxp8S7Q/MC4damdCxxgtaX7lFlnqT/p9kjkgmOoBpFVMnKbFIAwI7Nyi/bua4
0HmZpLAbolOa4D3QjVlEauo1qaJJl0K4QBRdp5En4SE5P/uKDh5p4iOKfGAsX8pqakycPM6If//4
7/Myhz9fx5X//OXzj3CHx1ve87lnH/5CNV8hkw/z6a9c/DmmCexKwhjT69zy+2zSn+z0cc0jWRRf
h9OQEGAp7ksfsNIjWYQ2HacwDILhEcAlETznkSze95Rg4A1GC2GMhPpUAMX7RhbFDofJUAVkESN1
f+Xb+z3TPDDrx89PuSKQwS3Eg4GRQn8dCCsMpwA3BSr7FKmlmCQkTZNiZXtPHgskBrHM5yJfFrO1
1zF33Ucmq2y34NkA4QDcW7PRpwuU1v266YnatVXjzpQP9wh7YdVl2Ul6TYZCHM0z8i8Mi9rDgSC6
O+XUfi6NR4+6Jh53C/h7zXMAZIFEykxBjZ1/k44z6XRbd+6IZ4ic+8KaWhsvL+6mqSKHjeTZOcnw
EMLQP9krEopP2pqmYTf1RegSnu/GlYw1ryJ7mUvW7jWejC5RldhDa/OlmRyCuKH6oMhrtTA9oBVr
HQq5SCD0pJIE1FK8W2YyCljM6kpDzomPlKHFyrSmDP0xzUJad+mCyjE/Mw6QYj9ad9TBOYRQRTKU
Cav0ZDg68H2/OqRJ4u2NGfKXLE/6I5/0/rIXaXrWO+QOSxfPCwth6KgmfrsbZy1eiLbuT7Micbu9
U0j7GeogB7KjqGuyI16P/aoeO/URNz4FQFT0ezFUKxYeqdPjLKPNmqUzClxTTTrr3LxRuZ9pamy1
LLOyC0kCNNfNIltEjWN7DYz0XUQpwMHCVSyE4wq1CcY8HT4iN8aXro+H6ymJ2nMVddEtnv1ZAMGc
q16bGudFMCEizC5HXd4uDU3Qxxz6DAbihoXsAhF1/GSnevCXaeSbk0L20QEglnFfecm4aKpBTqE/
z9KEZacgATTZ5AewRzwZeH5Wl/oeyhzIvsvv8DSyddRD90+jErN105YFIGDfW0Qjq8+yCezi1zkK
WiPuptEWH+bElXveyOlhmsUAsL3CXY2WxwsgEt2V6K25LJEXh23tnRJuq33bD+TOGw0DJmbJqG1X
d6W28TR+IMTeJIn8xJiIDqtmbsDoItonGWVhNxQshlRdYhxEQKtSoIMVO+z7zp4mpcShmdtpb6xn
cQyJcFV66cWYFDiBYkPcH/Q1KTZN283rifjDOjYyOWgmwJHMAg6Kx2hdei1wfDpT/mFQsjwe3DAt
J87HvTpO2MeENhxgwNx718IwcxlXWbpbpMPwKVccbYaoH3WS5EB8Wyn3B1q3oYEcm3L2wYyAWWg/
5oHqsn5jaV1fspEmq6bs6Meqr+JdoGh00hONBNalMfTQzykADPhqdQQIUHHtUz/ep0nZB7NogPSP
pj0xsqquIsUgVSY56takJp4NUF6lSwtwI+rRZIMo9/Fp7OU4DlKIDsdQ6RvXbkxKkBflLdE9wcMl
ZGOx15XlFIrZKw8j4WrNnSXHZpbtYVV0eOFgLGav7UUDmEBYZgJeVfwwTWLTL6LM4dsobfCt5JO7
7TirDwkWYxMOUB3CASN9tuiLogJ83bZQpxo4Gi5MkxT1CnMJWblgXSpCNWEV5pPlNbAzy/Zrquok
7IqeHZICSEKZUbTsIsCrYSkcYmHlF1IGhU2qhaOiN8tZePLISQzQsoFQ/BEmCmZATSOfCoChTT7r
aY4BHfTZwJxuDJfgnfOQHDgzltfUT+I8mGzcfRi9vrhp85mPQVTE5BPUPEami6pNPo4l1AY1BESA
AaKwok91RjrxcSp8ALmJR+UFRoQdpTUeroFlzcWeUSPlevDKadcbECtWUK2hAGyU8T7H5UhK7Vgl
rrsE6hgLlcnmBFWdPKTldB+0h2iCwDgWmQk8V4zLjvRTt4KywIh0QZT3kSdjRgDdjd6oJ9yO4yGH
shVaG0OqJqDIq4+GzNbJYhwdHRcxwdMctN5gm9VUyDSFQiIrzwzvC6cHOZeenqKm/YygMAClx47z
ZN/0jLizKkHevmjmfNnllWsWokviSds6n85QnFZQ+SNp9xGAJ2dBboYCKiTd4BvAz1MC1RiPO41a
FqVA8bHVMaVQ6CFZivcmm/FdjF3V6paa8a7xeHHVwcG6VSnbKQuIz4ZYp2OdnZpURFAMVe1hpvy7
evKaDTPq1B9HVOqZxb7QY1byZYdytdexbvw0QSEy037X809+h1oZxHk67SIei0gbkfFVjHtxGqVy
BiKbRl6hJz/HtU5FMyyVVfACjUjcKs2U8zUXEx+CDILvBdSCxv02muJL5Jui1l3mt2EFfcgBKkPN
cIslZBWqhtEF3CRokSQDO/TSvhXa+bhttMs7tut5Gfh9A45wXbGMn0+Op/tDLoinc2BjY1Amfjmt
5ggKGhGO8UXXdslhmjMM1MpD1iwKXthrJnqQWWQy3+N+6xfhPJvI6DZR7V6ZZfWV5Db3d42wUxVE
Ih9YAHM1WRs0qKUHaQGG82iGodiGWhCQ9XF2U3t9luixtvNR4fXgMS7C2ZUtsm4fYijeIOymqwFK
VLtZ4U+TjsRsIfYC/g8GuDUUTcux+6hg/Ye2p5HSSaqGFUwreh/rDDIUmSS6yAsHSa8f2SoyhbqM
59G7QJXKPvh0jNtwGFkPFSmaH9KsgFJfGYFmIei6Yxv5uAf+lLjLvvcnF86Glp+8tKx2FcFQnqtp
Rc+YSSQURavU+1zUbpo1HJRrkB6h0OIHJII6/FJ1LtuYpJqrldf3tllYN6lUW1M29cqSHF27vOnO
ygIVtyLxZX6FhwiYSjMN4tRSm8RLMUygyR6qltqlZXqiEjwnoC5O2sCP2bAPjJ5qaW3yYXCJGXQr
hyhsBhNiO2efwVajDeZRVpdD6yAL9A7yu4/n07RJvEqntLwnlzUGB0mrovzgiZTEmtQeuqxsSqHD
0PnioE9mnusxEiJeO9Oo7kDEpJkWacdjF0YJc8eoTuHpUIJvTUDSJLqO+Jjt5mrsgdxmoNXYi6vL
rh35BzcYFWaVAbvbpmhPcJbPh/OIIKIi6benHc6q00FGCt4ZIbLkDZbg8bHJd00y8QOrEK0DHzIc
7Aw2ibVnO7zEJe6qgPapWdgZOUC0OEl0axt7zDGLoKQlC7KZsSgvvVqVuca8RUe8GUEjKkvrA4RG
0FDlV2aNx1huUpPRL9BNArFiZd2lwiPUcNpkSkKor8dfJODZNc86dWmQKVfJXAOR8xw5SmdqD7OJ
RWPosWxeQU+HrSHTVil0QXBugImiSayglq0OIjXK/dF3VAUzEc6GxiTtpyFLk1LDyWB6l1Uqv406
S/dY5MWfZ0emKYjbWR2QkR4lkqLdac4gzf8qpnd/NPkbN/z34bdTyM8J4Fde8+e3VrflfTev3f7S
PUn8/q3/r6QRagJ/Ht79NnNw34LD922T1ynjs9bv9+8/0EUlYGoQC8oY9SEPKg6E7YEucgmHbuDE
HxyIVXCOAFFoeX6ji2IH+CUM9nCYboO8pIBjPtJFOEHLoQUN5xGIgJMHCk5t/hd88Xld34O4BJuS
sfs536cssY3GqEyN4usEh4odtz2MvX1//xd46Gv3vf/9k06lIqbnbTaKhWMJxPJ5hpJNQvj4cB76
4Tj0f3H7+3L/k9tb4aXTMBZikTR105wOfEbxeTzO5d3fiw9Evfqz4fqnWrbIs8rnVHZpxBeKsHb+
ANUcYGsJgEOskY9yAsi4dtHy7x/2mq7A/E9fpgXb2yEu+GJsqYRojWgM+Wbi8gfNm/vezEsvs9X7
EKpGlVUTX3S48g8xHvz8bEAW8YNJArBbeWLmjc6nujp90wvJ+9LEE+tUElW9uH9gnykx7pVJF3WB
D/DBLP7+Ac9rHN/Nc9+Mf/oAaeYBuY6yxZC2YtjjwGFIUKUtSQ5YmlhyiLu0S4O6rYtJaJT5uF6i
Iumb9d8/H9+r7gWVyq02WCXyNmXQLlh0cdzXgSRyJSh0U1JaQzGljoc+190kvINyiHG66EhZSoA4
sSQ5nO55g4Pdl7KeqiCLp7zP2AAqkAQgVVPeCTaYH7zfKztSbkWFEjwV6Ltji2lqxTUqpxJ4XWeP
3yb6VmzIpDW8pQ1bpNSYWwT/jcVB4Zm0C952+63YUHoDq+qEsUXmRH+Jh9oHaDKLt0UeuRUZmmyw
VUVqtnDQtZ8XCBhbE/KqLMUbxd+KBmSMsZwyC9Gg9Dsb3BcDgPbV4Erh2/SzFQ6InbyibCtvVZQT
jCO0cMLBQaMEOoVvuv/XwuQT72+BfSBAz3I1l1AEn2Lfa/Ro0rb5gYLuN+ELvie2nF+VqZ91ZIoA
8UughEODq36RDRM2YW0SX73xMVsuTv0ykkPliZVzHXFrqBUWaDEXOBsXlXHD+DZXE1t+XJc99PjH
XK4qAh2NtJmS40Jwdf73tnhNV1uOPKSjxMD81YpA7WuRtY2gB7E/lfVVymQ6/kBVr4SL++ORT2NR
IuMqlaKSqybzodSQz+hYxbjJHkDnf5vsBX1++zIyUIlMZ77qRA2lO2RH/yOfy2rx9zp6Tfotj+56
UcL/VcL5qs/AAi6L84XfeaJ6o/Rb/txBeXnKJitXfntPPrJJjp5u0WTmNz5gy59T5bFajaB9hfO6
2K0wK2Bwxop5OHmTgu6B61PzCjLRFkOxdaXaxFwK2cJYEMwKPHKKV817v9Nf8OftwaNc9QOzXSxW
edbW0anI87q7pPWs0J7zEiU+wBwd5btve5ctrxZTAy0YmBVZVdR3Zu1mOt6XB/IBvc2f+ZY/wzhX
zR1pxCpt48rfbXPSQx+i85sf5eb7MPeSurZceoptjPIB9lMdTVUT2pgKcZJ7c8/3YnffixxjMhXX
GZT6PnVFPBQ/0NxrmIdveXk2xpEo5wHibiazai/x2kgAsk8VwDrpBuu7+1mNuQ9Mwqt8Cf2eWITc
H2h51iPHuzcqeCsaTBH3hEy9aJULrwupGcRKioz+wJnwvVu+pN6taMB6N5qa1GpF0dyUixlHvVuw
aJ6zdQVNO5izavPyrvL8IV/7syzYEXS/SXFIhJT2WsKoAvuBKK/EJb4VOGRhWVUOxl9VImppwGd1
W43jUL8taPOtsJE1lEPfxYpV41UDNKcxtJJiKuObNzka2woa0EXnUHaK/VVcjRI6jUN11CIvf1vM
ZvfO8QRj1DQurOcJtWIZMJkAGnRQY+9MM7U/2GWveNn9SaanD2hNPTEyNjAQNg0R2ZV+06DPY4XB
4xKSQMm3MF2VazLzKv5S5XNL3mYWthU/6ADDCylpOEx3RHmnq5q0uZ4633tjumBb8QO6fGnd8UYs
uprhBZ/6OJx56YVvM/tWkOCRQoWtx3nVdrFbzYWAqd6msj+IQa+4BNvyfTiLlngjpAaojpo8IA7b
MJpK8sZNteX6wHqgo2fKeUWAN2qU4Ksi9n+EWl8TfcubMa8Kf8zieRWLyR12UwGjTVmdwPDP2xS/
5c6J7f4fZ1/WYzfKRfuLLNmAp1efwTUklanSGV6sJN1tY8DG2ODh1991WvdKKb5054rXKOJQ2+wN
bNawaGr2A7hUVd4Tt4kzoIasDhqdedlMtUv1IjD60pBbkz3Hg4lKeNjcmZfNaLwehcvxWdEexYMN
ta7KRM7C6qgPWe3jyMRrMx/1lHB5ncuhPTnA067/HZlb2vxiv2Bevg5N2h1HEq31GqV/4dop3JUt
6JXXy5pngX+Bl7LU5W4AkHqtKRL3fbmM/SVhowi7jt9gLD+XumXAUWg9srUeQcG9L8rUnvt9CCw3
zEvZZFGyKY7e1u0s2SOXKn+tNxk4dS9jsVE3QiR0qacRYMyTSfHskXeb6M7//XH/JWmZl7QpkJIi
OtDm0QPfHsTSLq9s08jApPJSFv3RyCW2X67GAjz+geJFS75JgYPpwtYN9bJWJNxNrSMbjoT2OAmd
ftlLgNiDYkO9pE37SDAg3N1lkh0gyLMloCjgTSZsdG//pRq4yqYvHCIffTHAYlRDuTVhn5V6OSv0
YaJozv7v1BkQDHh3zEKn7mdrWjS26BJ3KVc0jclt9Dk8MF62itjpBkgid9n6sjvZQtgqy0gfGHYv
WzuWFiOI3Ridkb8mzuS1BccmrMz/DyINYrYFbzF4eVhVy7w0uHllW9jZ4PaI8nMZA8Qgb4AUcpd0
adZqSxypEt0sgXP3clV1mgwjje1lcABgrx3/y/ZA3gctduLl6XyYRY/dai9KdHjpZ+mXyAEjEza4
l6dxkxq6d9Fyyad4OIPj8w2ApDlwcC9Np7kEGotbe+mzsquynsvKGpIHju7laU77qOURsK95aZPX
M55H3jZ5K8OeqIiXp5tlZGAYuT4SID6qYyiy9BwtUTGHrRnipSqZtlJZ3boauI4BOH+q01qvZPkR
9mHpywWf8IaYEaj8um1m+VD2c3KeRb9fwkYnL0e3ptG03VNbLyX9mvTk3czou7Ch/Uyd917te7TU
vIueUB6/7CQP7BUSL09LDix+MuQLXtW74gxk0/MomjHsgyZeng5ijkxZWFtHfOEn2eevcjLFYYv9
puTwc/3Cs/Cq562IgF7f/uR78omkClzxgLeixMvSgq9thP16rzHsvFQHmbus2mfahpXexMtT16a2
E8wsNZj28We2oA5UMz+SsJNG4iWqnSSJZTPaWo3mOI9b/r3jugkMu5ekTcEnIPiMrdPd7CelNKYu
fvfyehvkF5eDfziXP7UpyiFjXINKVoNJXL4u5jZ5LaNGfwr7rF6KkoUsBkLsWI5dA66MWj/nBQ/8
pF6OHmws+6YTtjapo1VSbF/kVLwNm7eXo2xl28opxo76+ZnZ/XXK5t8R/n4d8BsV++ckGtemaRfa
LpcYTJhT1AOSfMSB/QGQuV8MniRaA6dKwAmOyzdqz78UBhjBoJjEXopGHc7pZkRMZDeAFjZeG9WF
VfIbGeHnmDC97nRDA/8yHgD2r+SRpWE7aOwlpt7TJRs17naZal8V41YPpgl7Zo29tOQSYGFrMWmt
Ph7Onvr8j7BAe7umLHujD4GPyDrx3Wzlu+LIwupU7OWjnZzY9jVb6n0GUenYF1L3ls7nsIl7GUmH
Zht6Xi71HAFKQAZxVzbl57CxvYwUks8p1GijS8pxuo3i7BsDBTiowkKI6OX6w8KeJhljS+54tlXp
zKJzWYIwFzJ1yLO+HL0ANnxhqYsuU/bBjOcCXeywgb2M7NpuYlMHbpYtAOZY6ayrZMqewwb3cnLF
e9e+D818STp9t0q87U+0X4JWCsSfXobEWBuLSGLwQqZvqdU/ONtNYFS8vIRw9B5PRTlfjKJvU4y9
WRc6tpeaycpzChEGtI2h+vrKFm3/MLEtC4yKl53dzBxAlxYLJT2y6oj7jxIA87DP6eXmVlq2ihKZ
v9F9ARmCNdl4JjgB8aDSwkovQfWqwK7ukUMt09+i1X3C48PHoLn7YC1HaWwyirhY26ZnsJ94Bdnd
POgcgYaQtxY7l6MfvWHi2/bWjvHD5qbADPVBWCBQxyzv6AwCNn0tATi8QLuZhEXcx1fZFsj40rql
jjUg4REYnKYLOqQwH11l0mjYW6rmmpCUnMCyNyfAxv8O+5xegu54UZgLtcxAM2Rf2nl74Hn6IWxo
Lz83s4CsQCKwNxIJVZUxn66D6sNgGMwHVo3pOpQOWKEaT0jHeTjGp5zOv8MY3P76/z2Is8JLUKvJ
LLpkNfUIrI2soPASPUZgKr0Pi4yXnmtEURWZxRd1+58zTnDbXHwPGtpHUy3YeDqdgZEisvb9pvV9
rFTYOvSBVK4pRNZLZurDgaTj1pacIzn8CJu3t33ygzWgXIm5Ljt9Emx/AmXzN8fO2z72i4/pQ6ZW
MMSl07mpO+VSW5k8619Pmd6qtSd2P4XN39tEUzFsgxhTU0tOv8qOfYq0eA4b2ktREIZmmeWNQf67
+c7N4LYljoU91UGl9mXFbUmXckMJJs6ST8qBVsQi/UfYzP09dJu0MHE31ynhbL0c1EJcYChkJ85h
P+DlKYhwbWELiSW5Re+4Is98CruLs9zLUcnTCRdmDN3s5bsl5m8amgU9QzEfICWLvVGT201NG0Xq
qCDLu6RdeRDSF9JjLz8oyV2cOo6V2MQH6JrgBlEWiE5jmZemaoMwyDZ3ph6cBvvW5ddpbcO6w2A9
vJz5Ypi1rETIUR4foXnxKNMtLIcyLz3LtZW2h0ZXnTdQPciP/bE0POzdDNz+l/MusUrijQhTJ6N7
S5PplYmXwHl72WnAamqyNZrqOSs+8cS8A7Uo6BLHMi85m40p0WqQKzNEBoR+aFNMuyrC6qGPRlog
zRP1Yznh3aabToaIdxChCDuC+lCkOMY9a0jjqW45VaByoVFxsXGUhQXGhyL1fQlUGqjqNS13dSpA
LH0veXyEfVEfiuT6NGuAtZsgImbIKZnZE3bSsNdz5sOQbDQUY7qNWC5jyWKI6hW7mLuqKJ34zWZ6
W9O/2Ex9vBGwwHHZbmBEt2235qcBzbO6adgU9o4ADcSXubQLawujGl0X0Symk1u1+tuW+Rp4aUy9
XE0UidlaRro23T6fVZv1FSKUht0CfMARtN+2Inaxrq3MyCnOAGKnuP1WQbtd6mXsIoHAm+mg6xmE
QegVHkR8E/s2tIHje7vpxg3owBtiM3b9WHGIO20yCdvzUn87JeOqotwi7kOh7/Y5nq+rHLu7oMj4
eCNHoUyg5arrvkmPT/HYtHdwzdMiLDA+4IiiTqZkx2cth2aarzmETViVNiMUAMLm722reIwT4wCR
Bdw35vXemOJjN8mw3jz0RV+mVC4UAcbY6Dpnywfezu9WsXwIm7eXrW2zg0At26nOh/LrMK5QooRX
RWBQvFQFXT8vIjD4a2r64muOR4U7K5QLXDLezrrE0bYfNB1rZGpZZYC+VNEe5ZewwJCXMTfg+y9a
YvQUIghVmugHMfwOxfTPEfQXNdiHGU0cKpu6IGPtMtE2EFgZehSbnG8CmgFlK+6U3tcPkGGR93Sm
UVYvHYSjnkFxy6e36P/N5kOZqwyqm3wZ73oxsAyMfI5mfLtNBWQBDtZP5uMKpQ57ivdpEN9GSNdM
JyhecnJOUvTaL7m2mz3LBF2yU4ZX6u3eTlHR1wT6l+y+Gft1PyUxugmfIyB7IddJ+zk/03zDmKvk
y3Ftp7KbwbYjh70qQrbjPDtFh69bzljzdmFZ1H+fk3SaIMdFSlebDX/vWS9Heuljl0JRIyeJOGUQ
17N3bTK2EOwsIBBwiqeDfIBRxwrZkMzcaz6bo47Hstivq5KOnZ0B2f3i8hWSMZAOhcZtK7UacZ4t
y/1UGE5zKGNxkzxCurIv7yWFIlF9INrrKYV64v1xROrJDA6ifSx27oCYq2mOD5CLGPOwUwjzCqba
mM2EpWOdpd2Irk9UkZaWYanlI70oa3YcJKWuIZP0V8PEhybnYfP2cV4OLzGQ+cC8U9vUcykfmjQJ
aw5Sr0qmDsiUBB2kGi6cGyQKIX5QymQMjIlXJk3c0kzg0a5uCaR7NzH9DU3hsEPfP0LNPz3s9qC3
uiGPx9ruVj+BDcbvRrqosFJGvULZZTy2A8nmujWCvWI4vwL5b5cvQaXsH6nUn+ZuVOuc026sRdHa
P0wxHWjmD8USGHavUk4DX0ATKce6RFO5Skn/qjvaMKYZVLdfluEYKQzLaT3W+6gbdR7jta+3KeaB
txzqJWky8OSIKFZk1qp0u5B5sAdkX1MxnYOC70O9FgVZnQjiVTUeqv5eNXtIozmM0cFI8TI42q7G
TXsOrYm4BI5smfNNQmylJ3+Hzd1LV5dOB3WW6FpO5VFU+ThRvLEXhIRhMRjxMnbVg0ygZ4wDAgzs
K5uv/YVzHnhA8PFeOl+b/mixheONxkAVK8lOGrJIdVhwvJxdY1ClUz6MYNVK+ZDRm2xNNpksDN/P
iHe8gYAsNILGEWV4sPlDN9D4K+60e1grmHhJm28QzIKAN25pe7PdN6yxdR4veeCi97KWUKig8Nvu
1HPVnuYVqpt2USqs4PiQr8Qkm91wT66jfaB/dUCb/3Uoq8KQn8wHfaWEQuirF7pOs9xF96IcklPc
rGv6m7fDf+HVMR/4BW5r02RQLK0PmVDzrAV3I5SSBqLP6zxGzyCcPUVRKfszTnGiPLUQdMuuXZSm
Y9jX9/FhIAVD5K/H+XPdpw7yfKqHAIXqBi2vQcnhA8SymB64s9wqU7MkzaPiLXhn+wTFxrDulA8R
O2JrQK8lQw3LSS6qbe1XVvWCucADVuKldzYfygwEP7BbAtjyYT8Bvf8jLDpeastF7UsJMcRaQ+7o
tLX072NJQyfuZXYLIbx5Frmqcba9SiIeCJnDWgD/UCh/OkioKIrbFQoi9cIcdIwjhqeG9XgfFhRv
J146adpkdUMNacziYjvITqmUB26VPk5szfk4DPiiNTdb9B3Sv/SHgTBd2GXRB4rNPRtGNiSqxlnr
KXfHo5zar0Fh8XFi7YZ3xsyMQz1vpHtIpCmqlo9r2CbmQ8VWkfHCCapqKooRjhZFMT10uR26sDT1
AWOs3EaaDbGq83ToT1NZ3AmW7GH7gA8Zg4tE2zYlH+qSdeur2Sh2gmKWe/ffgb91QH5xR4+9JC1X
sbs1wf4uDwZ9zCWe2/Ii42QcLxludUPYGcvHkBV71hQZbcc6tnSBhne69LfUissxbC+Ovb1YRRwS
tCXH2kzJB7vE79ukCVz2XspCyWIpYoO5o7uWnuHP0VeHhbLff3+AW6X93w8Aa6aXp9sBizESQAVe
4DDRvHd7pD8MXRrGZoKq1svRJR8SG5NZ3mpw8U4rmtYLT4ugoNPSOzlrdBfiRg0Sj+HoSoxT8S5i
LQ8MjHdqtvsy7HbnEggBSDidQD6cvhyyHF3g+LeM+KnMQ5CmaaC6KevD5N/RO3qt8u5T2Df1dlXm
YrxWgyEI0urYQDhxtu4vqNiGSW9AVvLlzDmub0PX3MKuiwYNx7m4V1lqg5Y7hf7ai7iMpLfbYTD5
pu3QdkoIRJEhFRpUKmnp5WmZHfmezui/JeuS7OeBA48AT5ihd0HNF6hevJx+4dZG42Qr66TLdmjw
wzVhBJ/vfdCX9VFle8bR4Vqn6Nwm7TY+9HESPxGiU/ub2XuWWP9PAoz6wLKMUbJlmcXSyWyq3kxJ
Mtg7LtxkrriIWXKFll4Gm6FUbuOraMet4JXOIRn7hSSUXW1GjvucRTBhKo/GQl1hj4R4o4Z0Iyc1
TTs/HW3XHN/HZuf2OmjsuSeb9tsPyFKzR6f75WHnnbvSxsIC4IAGRlfFirPjuUvAb3knbjoVzwPE
kuczLmzwZYmVWU9dDOTnU6+76Djjf8/8NSXN6H6EBd0rM8A1QnAahORL2yT9kysFVCA5gQxm2PBe
oYG4dTqiOypqssV/ZWR6Vybt27ChvRqDu+auomwVNT2As5WE3ZNx/p2Qxm1+v9g5Cq/KWBup9pg3
UU8aWh2wuDnkCtFnoB7OK24I7T3U+mUX1F2DXt/LtEomKGMzl4o60lF2YWKV10PL9mNYnLya0+2N
xR2RitqNrDtHzfEJctm/i9Mt2L+Kk1dykrjlVhgraqiW8g9AVbM3Rddu37Y+iX7T2fy3n/CKTtyU
UIbVk7jMGxUZ9HUnaNJXzqDZfs9XMNp+c6n+l0/uo+YAT2ihuyzbS8sXIa423RKgwyJ54eqAEQAQ
3WFdJViSvPzebYfeSWMkgjaQCEC37BMKUeAGlnsJHUFwBI2AQdQJnuMWul4XmvymQP/Ll/BBdDm9
CU+Dg3sWcFZZ7ks5w6isKPHun7VOxkHogn/cLn4+O6QYO+M8jyDTASFBcN3bz+WUh1Fbqa87Nu/l
xPlu+jrP0+UKzDUcDDvYwQXlmg+kcxytSGqTrubw/rhqtys4U/CgexzNvUSOM51ImcvmnDj+EDe0
YmMWGHMvjXcay3lcMPRxM4osp6vipA4LiZe+O1TX+FyK5iw4eczT6HGC7nPQ0D6GDrDCmxAub866
X6eHfp6XOkrph7DBvSRt0rxzO42w2JN2vmhtWLWXkl3DRveyNC6FaVK4ntU5n/UjUK+fpnYPE4el
PoauzfI2csTyWu5EXm25DHfxJMOgqNSH0UX7hvcUZXjN+3466654FeVmvoTFxdt3tz6e7Exh/rQo
xrcrIetHbYQIayrCkvdl5e3GcoFT2lCeBzc9CTnWvRnDNnEfSrd329aqFgcpucD9arADjNtk+pvK
e/vzf7HN+kg6B3T+AYYfkmh2sA4ozUlnUBQOi7mXoQdEema3aA7WktpPQ6tHmFqYm3lq0Pg+lq5U
OzgXsHAE0Wo8SFXIxjyOG7TQw4quj6az2dAMOQw4zmo98Gb7DiiA38z8n1btL+LuY+lYdiQQp2q7
Otkj6h5jrlIQjFoIhz5DKWmseVoetMonp9JLhu7aepoWkTrIcepsv062jKfLoWH6+E3lsBapm4Ly
PKgDD9v4l2t5i6YEuhvL7bpklvae07iwl24WMOoL+263Y8BPl/iB8wWuy11+3kyXoUDtvR1OXQoP
7B9hP+Alu1ngeuoabS92hC2KKth61iUL6jRTH4aHIxvMLKmyl+Sm+7WmE5ja8B0Imzl5GRqdOzbD
JsFenIV2s5zZVI2ShGH8YGj9cnTWWbDh7WAvpE/gPwC3vwodie9hU/eyfRRFEce0WS6OwGeviCIQ
uDYWh+1rPgivBdY0ZhFdLiOQNdUoTPskc7r8ETR3H4PHVq1hcz3BWrrEqwcTR3vhexoWGF/zi5s1
GfEQu1ygUUneDmoT37P4yMOOQT4A74A16bRYN18GmKfBA9VCEYY1YaonMER+uWLg9gI/KPibXTis
jK5ps0BfPIKNcljYvTylK6GHFMt8oavqgLhankGv3gIH97Zku06QzMr3+bLnyVGJWJgT7NCew2ZO
XsYlhZtIRCdE/VCQa1mX/e/YdGFcQupD8KJDq6mR1F5asGfOsHvsTqjHYY/3MOR7OfUDNIiGOxys
ck2+z4p+UB28zoLC4kO/OoWW8qiZvfB//GU0aS5NAxjdf4/+L9dEH/0lEzERMdLimjUydW87q7iC
QRmR5sqMxi743z9zW32/2Jt9JFgDlx6W9PgjUlJEZ0fS9jRsMGgLG93bXXUHZ7Elw+htO/AzDIkA
/xj3P8MG99JV9CgHwDOai970fuJq6s+zasI2Ph8JVmoWLypNzcUJ666qKwhMhssjbOfzkWAwZsuy
w6wGLmuHvCaz+HgkfRr4Sb10PTrFjhG9nosuuvykJIyGAEkNg/3jVf9lRg35ni950ehLpCJzglH2
UFENL6Swb+rla8OYNEmf6QtfpptLuLoZaM9hqoLUx4BZ2KDhUbstrn0/wMQ21tsffTz8Trf+X1LJ
R4E1dF0TC7DyJTUJ+Ci3A4cmye96hP82unfXhcMN2tV7WV5ZhNa5i36McngOCrqP/hKwRW3gnwG/
9ZnCSNAdQCcu3TZ/Dhvey9NEjnQ8YlNeU60GAHD7LetewTV9KMJy1Zf70nNhcYrX5bWck6ovyYOM
A09iPvgLQlywECMYGg7yl+OGhxjCAInUR37BDII3XT6V1+MmfSTWhJ1YV6xhlZd4adrHcG0/9pGd
ocJ1Nxj9Ns7C1ASpD/uKU4CKqFLsnAH+0A/RKzbwd0FL5X8gX5AR6gwd2JlkViU10xK8625V9mPY
+F47atDJ1Es75lc2Jhsk1OGb93Cj6v1OT/CWjL/YTX08F4+EZvB5y65KR/Pd0jinnuY8btsLeKp5
c98qeE++Xo7m/+Ny/c9V9Vc/6m2y+U6awfWTxLV1W4ftlEguib4IgayT166BuW41jQp2NdUAk92x
2vrdDDn8eHXWqSsu1r1QlTyE2++7Zo+ab5SugN0NMEMbRUX7/VjXCoccPb0SWVLo125u1iS73yKW
T6Iyh2wjWMTRklO4ei+5xkFozPDp4Ds+je03bTplk4qJHE5x9BCQez7vuNDnLdzJ3WrgVEr77QMk
5FbHYRgMix/IfO98m4cqKeEiyapyhzS8uEu0gKlwpdCzXBSsU42EMSyd83H4qInCRabP++JvpRX+
2diJuXMGuC+tLCIkTg5WtLw+drtlBmdkOg/fRjRtc1ttJomTtYKpdNt9GTgT5Q/VWhj9gMh5jEZV
UPvq9883kN6dPtS+wYcT0oWndeVzIs45iJPN5cCTDYFlcANv+QaWpH15ctm6p+pM3JHGj0nhsvLK
U3so8MKmcb+DS8BwyjPtMnjHW16cY05XeurybMIprFDwPVYQwIUhY5tNA/Cb/di156XEfT8/oUOy
tTASNdNg8qogWQ7eiON1w3IcG1FLMmUf8LXGjlemwMmuKpNIqrNVA/k6LSo7r/ux5T8sP3Z61WZM
xdNhSJH90U0kz5/o0lD66mi6wrZneYCjAuPE1SZQRDiy3MrXYGgU+F6ac43JtfFRtvYaQ9UYpzEV
j4e42zO6rd+nQvGxPY0OzeD7HAyk8jnZ8m3eTzCRhJNYW0Q3GUhp5bBGYLEcAG1BQSe3zl52fMtx
vCcpGmnkPhMD7NNFJsprBnPs05htqzLopuzR7G4nSzc/xnYWl9WgRj3BZNr2z9tG2qHAchiJvfY0
nWGw2XaMQCW22+UZ95qu+FIsdBgfy+3Axa9LY7uZatULmvlVWaQ5wQlqWSilpzKltH+XiMJkMJxu
xPY4kBWm0VW8QFvtwDMzzJ3B3Yr3Gd6nqssgshZL+53ICJwZ43KmP+SpSooz7J/T/jvuPoVE0ig2
uvPcp+P8JGzcZs+AZ03q2u85aELlGI/pw5FGRLxKulUcf/IBrtNgzJhoZE8Tkra7DLrbyb1WST99
6iJVxATlTcCYtcoVK/VTvCwi+c76pingztiWqq3X1bn0ITacjZ/7NdvTEzTvY7DR2xX+5pB2TjP5
o1nWVsCKdRLF95Rmk/4EdvnRweCUY+8Cz2PcXwPVB5fViYwR+zH2xh33iuh9f4ZnNuybdYdM+tEz
LPO7VpDjCQbc7TUmU9G/KYzNs0tccN29n0S3HW9XEDzghCoJdAOK802JOLuf12UY/hZ4ueke+2yi
ez2OvWzqiZSJebRTmZNTDyNH8qXICCv/TFbRPIFCHj3gGen4AWqLqvo1bc8tBIKi8waX4/UBHhLu
uIN4EP0sS87Ks5ZgOr7L904OT0nb8OR+HbndL9HU9dtduZs4q/NsE/GnOGtE876bylaf9L5E0ETs
43IGiUZlMPJzx5ya13N8LPE91ZmWH2/W5+Mbm5Z5d407MebnZesdaueaFqa7Aj+dmNdT6bIfEpoA
w6lBy3B9022xQSnpxm29ZOm4mPYc47XKPYoeAsfXprUa9Jood+1zV8wlu1caHs0wIY1M9r3ryl6f
2mEWS18VQ9LEMDqCw+r9LNW8nBf4x0fnZR5IUg3yWPUXupSYwTmN2wRyhjDThmd4O5uq36J5uAw3
SZ4KgnaHeJpWENMuqTbrVxLvawZ7tXaALiesILLXOC61fzVI4fzUy46oUwbn2fHTPsGfEQJHSkHy
rKICBqj36wKW7PMOfzrTVN205Bvq/aHXEf7gC7bptULH280/Vthlp3/AgsNgQxBQqynfS4xy+5B6
seYCE0e8dF6Glai0AvdzSGtZJqW4ONdSuVdtshTH47rNLboWG2ysyru42XFGBJOt6+5nuKxF1WE4
jz5kqTDk3LHMRuc5drCnzvfj6P8wMbxD79xyrGVt1QhH6Wklzf6KwiznbZzMPf+AzhHZBTxV5VJe
oRrfLg+lwA3maUdLrLgywbHfLU2TTsB5s257pdq4F6fxMMlyYtrkEXgLZm7g1hpjBSXvl1gokDHg
Mr285Vuck7sRT8b90wilOz5Vbmcw0IGueDWtpkzuE1rOy5sUxuvDN8K3Qr7KJJ2xxoZOye5PKosD
K0FBsm2+jG3B3RV/2dZfUiXY/DETrmse5pb39B4k2ky+tobA4AtWsrHMzvBlos1fB6SSoWk+d/BN
nUfetsA2g4GFNVJAR+mhg42uvtO9ojerWmCI48us4XpYuWUfyAf8ZvGHS7pl+yohGg9Oekm6kZ0m
yC+2cLpeRHPaGr196Em20Lui1OC6pMMAsKpypohOu7YLLOXMuG4gkMBH9oQHhaJ7i+mm6Ztt3Vt+
Fw2E4eWINyKyz0od4/AA6G534FQ0HNsP7BrzIKCRGsfJu9tLDY1PtJty+NzGJVMzKvGxN/dFj08P
odkM7mavVhTk6Q3cL2ZzHy9dudxtS1amt51766AJ0CKM81wtJbI8hl5de9j2NPF139/RcpNlBde0
IrvmTKG+wdkXNtxv4iUppm+HmTVsi+UCM+T7ndF4e2JY/d3nft5gQYM/ko7NG4F22Pq+EAjiw0F6
s50HatPlDvt/pFsElyh3WY88h2N2KpbxwMc0rbu6VUTqY57si3rrEDP3AF9mm7zpHe/4ifXdOH/e
dE7SL4rkewEfYQehao1IUdn+OUAzNX4L1XpWfhuhvCK+TnISBPcrCCLSk+pJn9+pfJl3nN+6uMjG
aorsjq1Qbtg+cNqDZGwWpS4/zxBpGHdg9PLoO1TldwbTehTw+8NO4jm3WN8XEa8yO/HtQM9V5QP7
lBLgIk50L5r+hLsoy+GIOOa2JjJPM1fRLVbTk+6mDpTjBPKdV132cnxNlV4jWWVgYH3rx2nZrmnC
mXuTDLGB/i7eWctnVgxrd3USTjlvJ9LRz8UMl5fzzBq0AgoeLdnTPugmv8amX8kbvD/R4b0U+Xw8
Jv0wjSiYDLkBWDyAakUtIKJqXjdKlno7FYy1b3cgX6LTlnHl3s/HOoEQDd4rWU+QMWzEKS8Trt+I
GT2mqlOtnC50B69WXkFRSy5FQ4fhbOKG4EvwTiavmdU3J9dsvh1+CkAru/ZUFvBnPys7xYmtxLHt
n/pCQjWpOhRYi88a5Db6Rztn4yszWJy4Tl3bR6ekhyrcfkJ1d1W+ZnT5RCxkD+7abNXY7/MtxjGd
gsCrl2qnLFruOaYQv7PjsOQnkmbTWeydHWqxIdW/pLFZ3ZXkQiZwJjGQPEsYp8WZSsCD4eueHNcS
m9G6VCZt+vnJAjpVDieVqVy+EvBRf1PsNwPUwxz0cS4KEV8KONhs2EZx5Dibg6Hsr9JF7b3IhnR5
trJJ3PvB2P/D2bc1162bWf6Vrjw3MiRBgEBXJ1VDct91ly3JfmHJtgwSvIEESRD89bP2SaY78XSS
qVPHD8eWtLU3SQDft751CTPMSIboq28Kt2SFK+MjyjWkZtZQ0fRA2tNx1eWxnAyMNWLoqnHY0mzb
JmnSHmFIPJ/GIDoq1AOvSF6nFwUrpTblUg82K8OIK3i2mijt+1jzs3DK/4ih/tG3EZZOe9g0cp5v
BxKND4GDxStaIDrdKC6iDbVTGI8PCzGg7U5rknHIyG8xz4FYG+GlFG7kkCHf+lFEn3tH1K6ONK/T
tl2ny4LA+Xvl4KCf13iMM7bOLovKojrGcSxvkOntzypcm69eLfoZWe5jVgX8sWFj+5lp2clUBcaC
djI3dT2ka1BJZxHJrkq/94iq80e+ROqFh6s5T9oLmeNx5lm7zdu670bNzh70xfizIyJ5Vo0DayGP
pi4hx6JNFtekBZ5cAZm8L4Mf1VT46TNjnPt0qdpVgMoZLs7n1dUP4NT4dYNtihhDb5CsOww2Qh+D
vHadK76E5LyEMdTYkJW64DyWYSHvLFnttF+g8w9eNt5EPJM+XqbLHBumvqJybYcdmyISHU1lqvhG
r0uDsFfVLU3qQjOKFzo3Jrgf6EzNDjYNvoMlgeXlqSeLbL6QElnCOmO+YlUeWMTIpzOrUIrKaU6q
bGxQo7i0oITSJvXMz9X3VTA63Cxrv2zfEErlUA6Vk2B4uhusLWZSDcGQ3sFFp4gOo2gq/biG6P13
fRfTdj8l2HdydDQqOQ1X+t1uSNqI3kNUo9kF/Fka5qFcmTyFkE2tPyuQsdv72U7CBJmXainPdrA0
4CkMRQTGo5uOGv+I1jiJ0AWDsrldrG0s9oWyS1x4a1osyecazar7UrNanmLkbaNBbl3yJbS0Jl9b
DFjRJq89Q+IiQOgyw9OBYikt5gW7ux3nNV9aNYpXDk3/9CIc9vY3awcZ6ZwlA8F5VXSMLM/cbXpV
KUESO02nqRjbTBa0ie7sJlb/M4bcv/kxVlCz7YRGbOGTb8pVwnCA9eMDMp5Zve66Be6uB1mRqH/g
WGXYEQM6DgLbU7kmAAvLDrLmo6ZB6Y60LuugzeNtRAmQNpxzBRv4Hv0HKj49ZH4x11oEMS6Te9TT
OCp3kLWqx5fGkn7Z95pM8mStnBnu2CbdmA9Rsy5fa8mgReJlLe3XydXDsjcqaEkm6zm8VIMqeDZg
ED7deK1jhVuSVBADWqDs2WiWAUXpwGEn8zJvcMmFQHoobnoVDQdXrOJpoJGfUB2wbTP3vmmadEQ2
aApRmJop8sWE7vfeCYbweMSpzqeNWjRopZyT1E6uJyad5snZxyR0SflzQbSJ2G11EJQ5d9dzNVUW
GRPHAmX2TQVrLjx1NGzpudDIZ70Y5ftXKXARcjpNcdikQQXKw4ttNk1QpfqAHNYNz/UBdUCYnCcc
AfrdOVod0AKE8ksPi/OkzJhUQfVkFlaWsIQOW17NKR4yRjOBXdWjmyMQzm1JGVZ3Qrtgy0Ys+M91
yNpdU1S8w1Ir5nMfAMG4BV5B2YPoVl6f3TLKb0Bi3lB6TBFHpAoHBbxHRkz01EWq+Ao/C13lqsWm
WOmxvp2mAJXZBoMRd2oSUWZm8wgcgawjOFbJSJvbYaK2uR2L2V5mY3r9joDo6YMMtbX5OhPcxnhN
Xuo5vg53aoGzfY3dC0ctMeVqG1Crg9c0rWnjknYPsbLkqTZOoTbAqHJB2J1YgddiJ7TAdyZ956Ay
QQKjuCI9EH6PLzWKsTRiYKCfAKVLe0MHMZAHmoDEB1JQ0qnltHClpgY3ZfaBhaK70NVuDajQyU4L
Xj2qAdnwuxDqleHnukT1kpESyNVXeDUgDXdkwsa7rox8hEezip7HCv3IwXfappHGBmrSZR6RYqei
ufwuWGujF+rmcsl8a0N0O0ncLGuqF9GQL1UVFt/EtTQ5ihUq88+em4+pbqYY5a4cQhSzbVzPR4lM
EJFJPrYfPcOSTQUiOzLEggTxrpGx+A38q+mGi+DFDv6WRYxWBqHq+zVKXPJmFJHQH1eyADJIZAtn
JGtgUZCjKGndmfG+/940Kw2xz8Wl7l7g1CZ1Fo2lo0c9xf4HWme1XcYmKj7astkkQ/63X6KbtnTx
8JkUAWcfISIz2A+0liWQEa3YjezHGntHUPosUuHgHkZZJAa6DsyWYsVV8FARzoFmo/QILszBUHQv
l5FH+TptAd0tfLFL2rTz+gxP5DB+NaNcHgmJ7asokvAzuB/TdugLiICOpEdjvDbtuux4LGDou+nF
vOKa15curEFr4xoB3PA4iftTX0o5ZMx0rUsNKeo3KHXXdGAQbxkTO34ZV0MeEu7WWy63Uuz7AtYL
u4b59TAgVuIQmiY4xchkxp7XUftSSsX8vVE91MPLAr+flA1zMT27GRavX2EggubMeheXb4CGaZLy
xeM6RE5rbAuShrRHxZFAfyyC6XO5chSJFFCCUqgyNCOwh002ko+gwbMdEwq4iUO8OnJKknGrDpEJ
zAvs13X9FIkeIvAVCQxPFd5ISqslNHOGbdtPLh2BjdF7U5dJnFGDt/O57wvX7/VQ6DKL4sS4b1eu
66nvmra9rEmyNfgdNbFPdRi75p6qxKFg8xXdC2FIfwSFMnGPgKK7HbaJrtuPjGmbR+XShKDLIRh2
17sAmwj8Mc64F4AjCsN6g3bbgbS8eD89WVLqJevYHDZnQpZ2O8B+bPtBGGKT0gbRkBe19SuWTyFw
OWoX7GoZz9kwTO5M+xAFZ1l1F29K9gT28gCFAPwdgXPAqIHGSfFGNtDJ9wIKGf8ZONO64CCyQfhj
EqOKEmTg1BvgAdvMpjt1mFBUX8ttsG2GOwXBu6hLVObYMZulzcqhMPAvh3mRvIVFmkgy6biZT2sf
D+KQIAMc0ajFwkWVEgbbw72T9LoIiV6UQrrigI4Jm0+d681Kd5ogypBp1K9Tg2WMedfHjLOzOJlx
ClS+wFE7ABOzjeLwpY9RoeWLk2OZJfHCofWZuK9fKg6bmjyA33z11gDQiNO2m8vyc7Bu2D0UITw8
8yRsWdbKqInyHmjYkvXdAmgrhQhqVbmGuDC4j80wikcEglRL6uECbXazL1if+miLUcFIE07fyYhU
hZRB6iEfkWWzJIfSG5d85/hQ7tWiQOU3zIZNksVNUkcPjXIBTJMNmoKysm375CHgr/eRtkHrUwax
/QIAs+w2hUZ9AuSAh3pFUYiM9mJAsLa0xW3ZB9V2CuNg7W6lAU6bckMd/NJNOX4EjFblXbQVHXhJ
RVB3x1ksJHqAbjLhWFMj3RzmP503e+Q3unEPpptpM0xV2Pytc60lCEjcJnEiDeCUt6Bpr3eIo/HJ
w1EaDTEqGrD2bgZ+WGfQV0x2TuHFEkaXgEcMzSWbSHeswLNYvrnIS5sXnBfTwWG/dvnIjKl3DaVi
yCMk0kx1OoytL/foBht5KWLYr4F82VzjwZCW1ue6rOR6LqYgERl0IkqyHE4MARZUVbSYZ2MU2qsz
X1a6oWaZTHwESNBjWj+gtkuBw4Z1CsHopvMBj0Gzj9c5HD6SitUNQe8QxhNF3i1MTH6aum2g56ox
IZtwmLaoE+OMNKM88MhEfj3VoaDiBZ7R7XTj0NqvBh+8inWMGmSl/T1LqmZ9Jfg0kqRlONF+3l/d
rNGQLmJb4rv52kFfCtLXK4ov8GVhMOULpe59G1o0K+NMORZ4XAOzSjLMWhi61cC2svteeXTX4Pb5
pA0+xmkhA4qBhKFh6idoGxek1fTj2cp+FvcMm4dCqSj09qMuMY34qrXr632s4o44XF1DO2Qx87F6
jFHuYy1HMonZ3qA0Gj5KEzMn0imUcGt2STyLTyHwuQrxL8D/p29yjOf6xZC5Jw+9wsDncbk2qnAs
8KKJsmQZ4GsM2ZwZm1PZYu6FhyQ2dD8maHz4DjmK83CBAlAxl22YIfXodKsxqZI8YHwSF2cwSbpB
dS34Dcqi2D53ja7Hc6Ko609kRjD7VxoERZDxa822n/uWzGmTRI7c9AHcqR7JbOcKexxs6DOJyrjb
+bkV411lJwhdWhYky6etAaUxE4HFkKeiTQeLmVGR6bvg1hSfqLPY/DvkG+hlO5MN8d0oWeFr2Jyc
UdSjnkLEdRYm6zQffd9JehyBsrtDU/MteAGqyNi5qjEJzEzQggCwg544GEWOZ3MDtnVF1Mh+GKNo
zihvNUmx5m65sT7GrJHBHmMfhKBWD/uKhJj38A4jHp82iFgTqR9Ww/KxTFh8nNZZbkcTryToYOkW
uVkC01PISutnGeobFo7WvjALV/WPRMVze4PCtkr2DStn+ewcRjN5o4RWUCeCkPZQdV3DL4VquvrZ
CVyYi49Ebc/BjEid2wXvNUKiud/Yg56TVp1XPcr6Mxq9qliyYEa1POS6Fy1g6xgebVWQzVjMhmTw
/uDe5JgDJkLua9ABrxbGyRc4GAY2zKSEAWa7azEKsvMJBdiICzsl2owPOKc7AM8g42CUhtpN+meK
yw5xlWRlvX3G9KRY9wtW8l5uW3KDJpqTS0QKicKOB3Cvi65jPBEdAs25OdQ6GdjN1vRQXoeR76cv
rpolTCvqGdYh+0mZ1Zdp6DhLMOOMQLoKBiuWjAPYsF/bBZb1Dz1sF2y0v1q9hsA0VoZwdzFuctGZ
bJ2rc9+O10S5yfI7NhZxd4qh5HXHoTMzzdXiTXcTWfjUACINMG/t/ZjM+wogfpgSG4ZkjxnlVOWN
UBJtpxmsQYVE24q+rwlS5C/FpvT6BEuGeAL2Xhbj9oN2jKpvpu6D5hRQSB1PAVDf4RauAeP0qYEl
NWqbjsXrTRgT63/6gWlz470iFgDfGolskyhHUuDLM2YrlbUg+w1TfDsHrXXZ5BEcehrxFnQ+b1FU
Z+DGc8zM4/hKr13EXoLZfNcsSAb+HLha2dtx2sLunCD2brve7aSA1kFOHsnwNon1N8B8hOaaCWIs
zFrRz2S2w9Pe7lBZ1zggsZFe23w3GncvybjQzBMSjlgsYhghlzDsegWlAVyFSmJk8t4mS0NgN1Al
1Y/5ej7+SGbYJ0BLztRp6KUP0wD7XfNMxzGasPYUa4cpNcJCVQ2ICUFRSRlUQU4jRkCvoWoo7qIy
mdwe2yi8EJemq5aPSa9mvem3pGWv4zrzGM3LoOez98m2voqkNcv91cORHm07F2kLs5shRTWqrmC5
WRecuRhgPgjvZXK2JZQGdxiUtBC8ozbeAG0NNVArhuDKmE3vEK4OIoWwKHK7lZsaqN04lE+gSYSo
iBaEMj9pMBtxLiJjA96NchGFfElMIME07wLMs5ZDV4xDP6UV9H5x2gvwCGiG2fc4fwBIUgBvAdgE
0zvQiq0iKZ9QvuqUYZedgCE2PdQeKUzq0XfuV8hDEQ7UrTEvv0Bh7ecxnR1CbIZDu0ys0pkb4B+O
OjTgKwvzkZagcuT/bscJ9ryEiQMmVXTKAjCCbErENBQZjJLpZ4qfJpfFlcqcZHnFfhXa79Vc98y4
uO8jO+6AFmwzSNakIKd/L+Y1WL2NmyOMutc1D7ju53TzJbvHwKqbc15A/P37GEy/OgtxH3dt39lm
F8g3HX/iy+8j1/9qKMQaumBcg9el1ZMAaFGx3ymh+TV0rodboyyqJNnjmAwAIskluLXYre3xn7OX
/oFhFUYGf8+9BBQWTWCkYTJBsP6Gsq+mS+tIDw9EOxoATtGiEQuQyCF6WC2gWzRYmgRZT1bcp3/+
Jq6sov+JbfQLsUxhRLNWZEz2PdJMm7yCqOUW5MEhQ72G8SNmceJfOA38IzLVL1zQcbB41CjlexgC
DMnz5Ptizo1CnZs7nExwJ4X9Q4OqdPXdv7jC/4Bk+as7kQY/DKdJxPZcIJNjgu3MbgDW/C8+0D96
9V/YZwaJfjYpJQNzpP1Wj+GLE6b4fcTZ4Bd6KMr0oTWqYHuP2I+0HP2pmhv6O1/8F4bZFIZT18+c
7YFB7zBIrdIiBPL4zx+of3RVfqGHFutSTUxWfK8CYnGmL0Ualjj9f9+rX3/r38ivotpQsINwXaKt
hTfvJJEyufXP//zF/8ET+qs1ER/D1plV43EpExn9sMCUXBZwHyFXSEStSc0MNvYRIidmflc8H/3V
pqgUyiXwbGF7xKGy13gY7Z0OAa/+8w/02+b6P6zuX02KEu0pYCEV71shSyDQsvMOwxX89+HDib/E
qLzxL10cdvxQGf1Jb9WnEE8aOxa2mkv0KqrcIZ3xx7pQRDenU4KS7C/v7n99X/9DffQPf3kf9s//
ib9/7w2afVVOv/z1z5/6Fn/+8/oz//U9f/8Tfz589Hfv7Yf99Zv+7mfwun/9vfn79P53f9mhLp/8
4/wx+qcPOzfTb6+Pd3j9zv/fL/7bx2+v8smbjz/94f1HW3U5mp6x+j794a9fOv340x9CdpVd/1ei
7PUX/PWr10/wpz/87+5HOb7/28P4/uPDlv/vT3682+lPfxDxHxMODhGTLAohjb9qRtzH9SsJx1eA
Q/BQUhHjm7CCO0SflvjV8o8h5yIBEwvG3wlWn+3n374Q/RGwDVp+vByPI+yF//fz/90d+u879m/d
3D70VTdZvOp1s/7vByqJr78CUHkoJcKcBftV78xh2reEsCHYj7Ny9rmchfi0JaQzOeslv0ecmLA5
CdF/dcHa76G+0NAAIxftby7bX9/X376P6/Dpl3eCt4GGR2LEQGNOxW/v9G92BES68Ip4Ge16+PO9
1MLPgEtkcVoUUm8QwiZvYG+TblhTbQHEz/TzUTSS7EK9siP+qdqTsO4PfV22X1kJtlxXAmHEPKqq
kIJQsIdgAoMEUb9RDrr+fFfqCqNlPbB6F6Mzeiwt6ukKfjEngWY9IwPZAJaqptiRsXY5ZYnfdQpz
clRk7i0EIIoWibMOcwEvLxyDM5/KCHRWje/3KRg54Wks+Preg/uSzTq+Q8dAjhDbsCbd7ETfwdhu
bhmFYjiFcBu+uvCyu6x8yipAb98onbYfYT2yTxIPwQGM2OU81c4+VCAU6FSXdYUhk+u/QfZhTzNf
xvsynsJz0IdRzsEO3XMZTw/Ag4s87iK/CzQ9N705okwA3whT689gKjUDkCHIRGLsVm/hXEiQN4Po
c4kEif2MCvukO1qk20Kjm6FUZI9vCQ5rUvC8d+V4tHEgbxSh7rSIa4nrmz2i3HyOpMj5AgZeBaQn
VjvjBrNLZiinsnno6N4nju0KjA6gLuPTJzYEJpdVT/NEDeUz+KbsLdlEgQ0LpS4Fq/hoLN3w0YaH
rfY+bTlxt6qt9acZcQ6vzmE2qNFeHqM4DtKxj6rdgBzWjG7j8mNotdjxtu4eY8SS4IzkZL5F6sZ4
rhSN8xBwKQjat3E5HEVHLmIoceatBETSILlH5Hrp06BWYbYFQNPbLgJ6C6Q9qTt5qOGcm1rLr+28
b468JHlXbHVm0bpZbh9gG8PTpkTPk8xQLoMUWx3pAqMa2IeBJlPX01ulkS/S2akHUKSmzHeEfEu2
Yd2JpUNGGAP172q1h6kegcLsSqI1mBtf/4//UOgkDgDf1OuG8TtySsPF36rYYQxe9uFjgJnNw9wu
631gyJYNgJNyt0HUABjtHnw4DM3beTsYNU2PTcP4oWni7TGeCkzON1JlLQVMuqAPeqh91d2j7lU7
GlVsB+oKP4GNHGesHEAI6YIoQ+qoOfbQsL40HaW4m8kAAmMNAqxsf1L0MrvQyfYTWNDA3dAC53gN
OEiVAz8uKwRcK8hEp55N4tB1KtrRzksYw7WJyloi5W5UgchW0NDyUdHqOGLEtauVD1Y4J/aY1IH5
y/YzBa0JWwTHWrNw0yFmxQy8a3171DgLz75MinSmK78HS5E+LSuqgs7erWbbDnLp2a3oY3/QTbfk
QNHDWyXKe4lNZheJ+D6Y26wpQXFTQTdflpBW330/lj9btc6ZbFDUh3DOuvEgTtxvCR3eFHb9I6gP
/DzCXvy2c/F02rqF7Ql8Pe4t3nY2YPr6pMBJeI+MqM5cT+w4uXn+PsbN8ISdWWCW2o9fo2HWwNh0
ARSPQ6VqAH91wNoVr08iZhlqnfE6wZxnf2Db0LocvCKg6NYM8x6p1W7PrBTmDn7+rsshtdK3M+C7
vByJ3msFPKHsBeblCIsusxBz4CmPhoBC5DUvFDks1PF8qYoXcI+K+xi08Q2sI9lHKRhQuM8S/Q/Y
aqGYH8EY4E0aBXZ8sYPZsjos1D2yOdozDr/ltqDgvGBP8wfr5+7sfFt+MWG3LJlQI9Z1uWA6s1JZ
wyPKdSqLQMOgN6Wp2fmamRDvqJEfHkxzdTJdN+zcPHVnAUraW4wk4OOme1AzFxgDYe6b8EOHic4G
qrg0P6u+9mZXbOP0M7HCpsWyTW8tZAxHhAnedyV5HVZnjx0JQhDyQc8WqBq31DShbK8zjwnrf4u/
YHTBEaZRqv4NNiENOJkevyBwyalwmML6tu1OZVS4Jv+L4ABNffMAcvgSHtoCXJIT136RN6YF0fID
NDw7P4W6jZ/hS0HX/WSIebdYCu9FEXUvfVOSW2gMujItehzQu3DEb2vlBt8QDZI5DqkiflHL8la3
kly8YGtxCZBtm3GwQHjGJsCOf9EuwBiOnoFE06e/CBhgnAecuvL8Z+gj9oSjEF6ALtGNfpys7U+g
yFTPM3q95zKELiPH9Ddid0srh5+qBfVlV1YJf+2GlX4HS8KfJmBQB4/I0Qv3i/iQbQLD8iIK9JGI
kN0UOoauhwxueIbBIb/tVlxVOJ8khyUc4jS2ZOBPdcGHL23MhycEd3XPvh2GI3RMy15Zhd4Po0nB
Uwy011u6FfQYs0rtEova5Tet+bS45MWWQSPuLUyi9HmpnwgQoAsYkTaNwbnfBXVfmEzDtyJ47RGP
9sUxPUNAaioAMG2DoPRd1c/sK8cwrrvXGJz0u6nqNp1aUEh3TUhGmyKpI3wMO9pjuyXqsXTMvTWj
CT9T4uhzP4XtWYbwjoro2t8XDVGfOy7BdYKaFCjsgpdAreU0Zjfjkjdr5UDoj6ZLmMTA6KUgGLPB
eDqEU0zWua3HgGaN9hhckeucvFg+j2vY6bzWA0YdvKvXO1+30bTbQLeg6XaF0JCR0q9HHbo5d0qd
Ctuv38qEuLwfffmqotbeJlS1YC6UYda1Mc0WXOAM6pVj1IKwQ+QqMLBYt/sZiUz5OEgLowYwb1CL
icO6gj+OTbVuMemAA/u0XkzRkRhSJcydj4kFb+Vse12eUc5AUBRhnoVWpOCfQCgvQcU0ON8PUifh
AwI6NnDXYZlUbz23SJSl4xN+as+0rw6gPCFhpWVdzpGWfUEKn9+VvVdt3tnRvpmCb2mhmQdJK4LZ
Fbi1OI4oON4DI2kfJvCh7Dd1v2ye7acYz2hcjuKGQzaQVmoEFzlOTfxRBqd17N4Aj7/DFSnVFIbQ
ydu4OBplgHAx0QPP/hvqy34/hcwAt1z98kpKPzw04HPtaF00dd4gpfDuOtXZDh7gPxTPtTzApACs
ulo219Cm+KiV4geGaIYcTRocekDULjOByXYazq3ZrUUQ+ge7BlF/7vuNgV3QQl/OSjKmC230papl
/WmZizKNMEdB7g7SbzTEKg9LiczfnTa9/1iiFgNW1Tv9KiZZ5B1hYOmAOJ7QTGPwYDIHPkG761sR
gTHe2UAXKWJHcNT+JgMC/FtlujIO+oaiVUe2uvgEpZXZ82HsbjpMse+0S4YI9W39svYljc6LWkiu
XZgUCGAvhuaohe5uRCQwmAg3dsRHdtmVW3hEilX4bbaKPsQusqirrQ+esduU4Mci3N7k5Qq/K6Tq
7tqlWM418m7GWuwpmKw7FD0ILik6deMYA5tmbsj75oprri+fyFlo/Y70BQmWYVKS1G9R8zF3ibqv
sSvi9J9aqHmA1ILw5Auf13HQ3SIRCNUbWYIXA0rmAw644YIAjfgiJcHYKYYuKcaYBUqLvvjJQDrf
1SFN7ldWRSigkxl8KAeyO9QO5IXwDXuIX4tizaTpgkNtWrtLGjY8bY7HRbpOEb0bi0BmldzWdwad
zKPHLn6IFAkAjEOE0YZdk82N/Rivc2gwYIY8uQYrcYYMJMK2MGehuytGFAWVoxeKO7TTvk5AhQl6
CO2SeMdx0GCmPuhdWxXJLTQz5Us4j3cDqPt7DEbtoQF8vOJTb9PNyFR9ASc9wUYSNfMRlD0UbqqM
TkHM/HUiCiZO012avvnMo/aDFOJ+WkQPklVZZ8NaB/uq7NyJVAInE2yZ+ySxKQ+n7b4ZhvY7AkDn
+x7VF0aohULqSV0eAeC5cxJ+q+EsM4H5tq9pDcBw9UdK4hK91OZyX/p2H+JAAole+VJnUDQcwWzz
WRHBdqU8rRU7l56DQ60u9VbxW5Wo8NIJsAxrDY1kthlmrslNYHuv7Q+BfIUwtYv7BJtRFNGd6jMu
vEGMUl3lwLTqR+VR0Rajii9imuPHOGzFeQnMsptCDa0JEdDvYbVfZn8Vw9B+DFGCdsH1MWRZ4vFo
kHVsckQTHgswIA+gep6hDDiAH5mHojxg0Ipn2meuY02OqqM6Y2SvkRqp18sYsSD3HGdTuvX9fAqT
NtxrojGNjxmmO209xrCuW49xNRyHADXEFi8iYxHHwA15xadia7H/LQtudWF6kpWtB9MV9MNLqQb5
FjATH8DqDl9Bbo4z5GA2Z7Nucx6SUN02hEEz5ORy3BYdfcVcn77yZDNPqID1aYJLx0vdFf0JqXzk
KVxm9lRvQ429koHdGndjeTNOurwtkZexC1C0fQ9hPHsSoaE6jaf+B0UwV0ri6WYd9AU+ECz3QfEt
WHH2UZ9tsFDN5op8wtAIo0q/8NQ4aY/EN8lpjWZ567iTz1AbTHkHkU3Whyhgl6SjO/DYBZiv5iYo
EUARVn3OA8iVaIwuMmif9LLWqBO68R0wXJy30MlkEASQk6XREXwDcg5o1e46uAlD+DbZcyLrJwa6
BBMdT6N4vOuj1yFYb2fQ32E/s48m/qUu3X3ngvAISdwzSHB7RcBbacdjUYfXY4krILCg0KA0fB2V
fGtbCZFp9T4C2MiaEaE5SnQYWK1ze5RQWaU4ZrobeKJGeI7H/iRFfRGsbKGNibcLH2GjnDDRHNta
HGJf91kNbsixCLqrSKtRB6TPPAcUuK/w3ZIhBHrNNxAiajwcPT8FDM0VgM76O410DwpBgkl95Tqe
6/9D3pnsVq5kWfaHig/sjEabkrx9o6vWJZ8QcrmLfd/z63PdiKiMyAQShQRykig8IAbvueShK9Ls
nH32XmfgjCRoto+r1ApEn+s7kofhtspkeJpzzKFYAru9Ig8aemWTynMSsdTGnWWwMgE+gPfMd4k8
GEN8YuHkntw5WAsjEa91LfuzzhLm1yS1ScG0Y69gmABK3GVFgdSbhYs7+G46iO3aJfWbNqk8cC1a
lNVBZy5WVZ+w9YzPuPJvmdDxhQj+PH4JRqDHvmj+lDMpviJbtMKLXB1LA3u09doNGmTfLRJTfUhd
IkuNNWcBO2uXy2piUnWkqX9Z/HwY74es9yVzu/dBc5vDiCHoNg+l2IYky5j/Ka9jW9pmbGZ964y9
P1ihzplXvVuOpj+NRCbocGa1PBY6GVQoU0677QVj9Yl1N9406Xz0zPUxgExqM2mk8DxmDOeC6V3g
1M50ltCXz6NVXaJE9/Bi/SEjGaN/y6NSz7OeMb2xbgDMD0Wf/Jqi4c8StY7l6XVFIW42c+4JJ2r2
ndFWW65NDQBYPgepqembSium65CNpLukluy5ufaYffeG7BjOjMGku4QbVbF33YoXShYbbts/zmRe
tVKoXSfXvdCMkyCC6VFrbZtx/BjMKWp9QMHZoeE6eG4NfblaYfwxWCZ+4kp7sxIlHop07j8hVNZ7
/rtXZpQtkgbiYDV0Y5Qo2vOsrEtlQVVMZ92XVe2cG5OEYSrMdw7wCItCI94sqzACDfNZ4C7GWyEd
0hCO2/oreUxqaJzdmY9V4c+gd6Y3cjV7SpL5yViq6i2F851J8shxciiy2Y+n4qUh7uNlOGySZmQ2
xwW+ZfkqQSlrl5fLu1a7Nm+Plm2SKcRQl+M1e6bJ7ra5nVzSkOC2Mvrb1OaUevjJbnFnvabMz305
WxjBcp16EWD4VhrmgKM/2c4gWH07MXOkPMO+zjPQbTcfyyBr0zAQpbMhzLsBn121vjDGo52dNaWf
6ilJeB3LZ6zi3jCWx1B1ap90w9VZ1dwG3TCoYKiM4iVqqvldlf0RnyB4NhoOr6jnvdPk8w7QoVlu
8nmpDgl2tK0GGOCgGbG5zzpjvDXrGP2MMqP1eUM/aflfrDb3p5tZe3jBfkt0rhf8DtXBoPQ9xChD
m3Iezxp5O68klbDVZ+nubTNP6U2Gh6hAbhmGqn6zjJTMbroMkZdorrUxaiKwZT9i5a+X+mxKFDPa
hpAR2+o8k1dMfJZ3z5dqtWe0TNNpDo6TDkGrzUlQqhnqZlF6CiYJvyg9IiIbJhtJHE55TW0lr6OY
7SvP2Yb99mdWRHRnvLurV6U6qteBOIa74Ws7AhK2djDpFDeVpS8Bf6f8qteQJfNqelZh+lyYVbyT
FQvOsPRlb1qJ8t2I9jZgrfPSRE82GQ5sbKMasCTueepknLNpbGMDyOsnTGqjt1InLKu0sV5oTXlY
66z2m2n6EBVe7oVT/OAkkX3JdTPD8RJrSMR5Vjce8g3V8jRb7lmyIQK3H8wBGYiUP0fabAziEuYi
L8VvidSFr22B3Oak82PaRY0RZHc9XOkSEyN5usw0ox/kWrNz5xKuLC0MA5suSUPcpuE9Wxkuc7qb
cJP9JD7X7/rMgm9MpUlBlQ1BYXMjJ+BgUq+FyaVxLixk3JSQY3QeneVElEN7I/yGUa++R1U7zTBe
lBBsK8EXlcEJqIr0DBoiOsmwNvbsBtExCUclT2dZrLE3L468SstJMFV1zZ4vsTa6mfSgDCzzLVG5
ODDJar67uKZ0DO3uPLU0TKVm6Y9mKaIHzamsXRNDNybaQQEEK88AZz1w8451Ic762ActxZ9lKJPo
KyrFWbX3nR6FGR2BxZovHPzlw+BY8W6Mmr7EKcPqTWw2VoOZo4DEkANEx4/R1Fx9cvUXuxmR2ZoB
JaxazPjTdTgvcCZM2atpuJeBtCli5lTe0qZyfGO2/4RKt37pllHFmDqt8HeYJ8ULZchHqgQGz6x9
NIfuxVTZyI5OBK8BLxRAmBojmOxO86zzuAqEL9cpx/2sreVnLRK5d8mj+syR9c1Y4RCOkAeDaMnW
mz6Ms88cASICy2SRzUil8mrZCHQOedsCpkqVpPXVzSyCbs0sWZXav45LjLfIbFm4jkOAMBDRQVM4
17WPEny4XfPThv4AwD+U084Sg934g23FXi1obKLwhRC7OrjqXu7ALXHc4TRj9ubAm9PjYsrvhPIf
QEnRBxkSFCcBsVl/HO6EiZwQk9+t2RwMvVGenTW8DXK9OZGjHmMSkD77Vutt1ZtfZezyMIrEuswF
tXGb3tOI4Hk+7xkNSCbqpyKtu3fqmFiScG2CRmA0cCDWGiOiPD2QzzD23Lq0xuYxoWp6TXNDXDGq
NXvSc9FxmF1tT2OHm6jNH/vE0byZwdRWNv3ZoFDv3H4EwI8quRnNtTtAH9Wu4zLfIyf2SwylNiiz
gvFKi0co1pwxGLAoLiVgEtKafm9YD9ra6GdD6qvnhtBVDTeiKc4yhTLkZKe+nJ8Ms+XlbEtJ9HMy
jmaonnFs2Ke4LJ91XiJPF9OdUKE2OMFfqjy9LuQf/NghlDWTwTG8NTOk9OGX6HunbPutSYXDWYg0
am96NXImTzKDosFCzhgVoLV5mCcIJ4bDgWyolmSJ0pzflZColsQffAqLlV+v6A4Vj2Gw3GEltNRZ
vcUvm176uAtv7bquxwWG6sVVfe5ndfoqIufR6VK1HcgmO6lxyrGvuqjdO1t0lIKL9aioi04JWSUo
90FStG/LkL6LsUJoJXPiN5XEovwYdmMcrAxYnlthFb6pVfmTpVftqekqfO6RE78J4pn7jJxrAD+g
IjbqkhEyZNDEtb1hMba2K3pyl8PjzKzpEk1xekx51z6LOUxCP5c1ZXdPYJX8E29AVIqzMZjMxRq7
IO1a98cIe2MwG+3BcDhPPVuQpSAWSzWYUC14qVy4Too8xGwqbB3J0WHXWlMofo1uYb7pTWzfCyCc
gu6cl7+A//S8P3jYz3zT9Egs6bV3kahyzdxWnG8XteSp9DXC418r68k23IfTYzKt4yGqyyz2FL7/
d1iM2gt9PwAYHuW3ucxHf0Zjj4NsiLsHzoWu4ae285/OrMYv/Hr0dYgGamQolGWCXGIpkgz11h7e
RN8lD6M28xovGb8EZkxTfA2xIi/e2ieUmXltqZfccLpDPFcrx1Wrjx+TLsXrAFaeGKdEpyojUZUo
mbZN7q4y84cIIyMWp3xWZIijO7dYYg6vfduUyeuQT+2BcRRlXDmYyZaO2t5LKIqr51Q1QV1JbJ6I
3zS+p7L8iguSGv3Sf9GWa2B/EoKqemN+5RR8DNxWBCtPS5FEukF3T6PZJ5wUFf8EJDa6y+JUMSWl
Lt4hP/Au8Z/17qJZTveLSGSCr5VtI9t6GMXvlIJ8izfdObhh5FyYss7XocWTLVijd2idqd/WSS4e
B8fmRItlxIPSSH57Q+xYe00LW+ZPhJlgLqi70lV6lIrjHz4d1qX0bFGRRprs9bl9cmabMSSZafbX
2ELz0zDNL73mzM8oa/EWJhSR6FHpUE6bovdIMDkJr186RoEEbRBIIxS/KlL048bO9ebYgQ96NXtl
BCaq7J6sm/WQT1rW+TJ0J0bRpuVbjUNVabOpkZgOF9+cbJko7li+CiJodT/LmMCtS9TnxoMP1llT
w6EyK/NBH+NPxdqd0kuoaTE4jh82dA+/s6Nmk9nrjfQaZq+6UPhlsSSGhN98py/WoFne6wSmt954
llldmQhWfH1jvEZ1E4xL1hIwddc30iZ6ADGp3QzpMAXzbEgvzNsjLl66Drm2e7rAeNtZWvg01IQC
5OD8nMM+XjZp6TbYEMf2krqIXzMS2JOdhXC1Uuy9QKzjdRvHafg4lVOy7Wdt/mDd4h+QWsLPVGg/
lG1bvLGThhMxgxEhlUoeB2I5uxHETuG3qgHSxBTFWSEqhuqUIEvSdWRp+hIPev8kTQY+G5P1jaNf
mHpyEmqhJIhc2wgiiztZZNIPV2t+npfM2MOYGnf2rGjQsKAyQQQuUTE6tUa5ud/UksZjI1WBVx5D
gIfrTX+bh7r15qFbUFPG/D6YNYIUINeGmPMLnRlVSm+3O7eqrUs6pTAxlzwJlsz8yfwtPFGIpOec
atIvGhqaJSmcE8ET0lVpmm8WZn+XPI3FD6mtG8An0zZNrGXf9b3cZ3XdnurVSLb4wfWnGBcjkC7u
Qa+vJ1hSVC3Nri+n8DkeZ+eKXMmPkjIUlE1pnxhNGzc+VWz8jr3UFyMchM90rZw97MImNoqaDUSw
P+T3spQsjWL6Qg/I1G0+wk1JQDasPD1oqS/Rag8P1lDftGgNStS8SwPp40CMKFUe2cLqFAHs0r1G
J8wbMFaBJ1UDfFVr9d1MDgvXJoeRCvit4XeOdWDba3m4t6Kcv6/qanNnUCicMEnvcxZPfmYgHIwN
KMdJepEokzd+vz8Xs2GxMiICVxdzdY/gK23bHAZO2r3rQDt2sZ0QLCS4JlrPRqZD3GF+pwe2bZHK
WK3B2UyZw0ixNcYThC/Hd5ty+OgXa7mlC/dj3cjU67G4QzStTrIUXefVjuCyYWZO/d8scfLU4/hG
Lk6J6lkRJ3Rf6TdmDTjmeX4LQmxGLrLfrFdLXjrVyt9M4NRZDMYxGVKr9ui3yfu75tSWnIVGTvhP
q941BrIPldG0d6yLwVNhaIGeWfXPScGT8AitEUGfSQufuAviLzRQOg+zsR4ikyAmxiAio25ZPDD4
n8lPltAcutnWT1GBgRwkBQMmTTRYt7SPkLThT0UsyPGdatRPqM/cNmMq0q8QsZI2gYjlzpqMdI9n
h1xqNTQ/EIY+knj9Nc1sW08Hp321TAIoSSOw03OdJu+kS9cf/QIzi1NIX/ZTS51Or9HRTek57gB6
liBSyQh+by4f3aVY/bB0nQe27sqNWefTnqjfuPoofT3g16iy2XFFLCeaSIWy0Grq4dxg3Pxbg5Mh
S2xX2T4y8TK8NqkMVIyom/euBvZkjTV3pzWz+XhfDnWWGpPXnvPoCZOH5q8o/QFF+3zLRWTvzZ4N
MHFfWq9N1md4HXCtMO3RMXNo9rjrhrs+rmWtcU3NCd1JbwuXgRexrKnNgioRmIlkxE2QlAtC+5iA
DDQmgEakZc466Da/L01MPuVKdIuAn0wDp3GI/svuOzUSgFNV2AxY8rEztFm+bkzLeJFo+36iG+S9
OE03zHeLs5abNzGW6/YOWPBMscorsRV4ick8/xpzONRe507uo83wu6VFWtVVT4ziiSGtejY1e74x
wHZ+mW5cnrTFYa5W6uMxbeE4+VGUk0CoYvfZZuvVAVP8e4cOfWcFtuvFSuZsi5Om3XGV4nchAPYw
mMUT5r3sPFNz7VMyM4E9uW9N0cbg2pqEUtKd09cGv85tguIze/pgp29zszIj0NwVc1MyAgmz1gux
/9Ivs3C8xyzkoYuzXVxM8VEUALGIlbrHVIhrHWYg+qzC3ZfVUh7QMkZ/TeqCN2KejsQT1sc1bdE3
WykLMIOL/h6C97zwSlg/NMd6ctvwVc31dIvbqAxkSBeXtV0UQOGKg2JOH2PmhAluqL3tSt4fpZbT
ktYor/lcXrNqbP2yzQ4W5exjSbxuP9FEndVSwLaiebIutVTVHt3vy+3qF1tfTlHEwMjVxLFsCoY2
Osvt92k46+8xcaNtlxdqJ2y7eDUGycHVM5M+lGl5NCpnOKEJ4AmxxRwkhtm85cTHLy5+WZa2mUQw
WgbV4OgcUED4lRq/IRW5jZoo3Ztagq2jgrRU6A3ByqxHAJiHxdS9OmIuG9t6/sgxDRuEkfy84eao
tswk9dNgjn/q1kDr6SJcq8mEtJczirxybgkf/9dyxE9ADlFF88vYR/PVLcNprwZ3fcJimW/WJESS
Ukb51FBcPMFDNzdRXNQfSz6mkDiGeTzNhQ5IRhnutzNb4dvYZQRdV5pSFOmwyXjzV5BSLL74USb5
EtRJhWoQV1qQlWa2EQTSDinYtEMRS/PRSJzkapUdQvnKdl7ivlZ/QxuIv/KJebKX1CVRaoRI7A6G
c1qczn43smnmPFs7VMNZnIZ1Yd3Jks05vq2EeYKw1VcTKpucpxF9IRJSQ6R3Kcpq0seEJrygERjE
0e3f71LQDz3EleVBIuw/1tAx31A3kg/8aesD2oa1iVSowcdV6Z9Ys42nBfjRYQqr/CVMw3jDWID2
HvKTZ6laPgvd0Hfx0Agf2mT8NEaMz/3aHvJjz77vb9LU43PJ9cpgZgkfGtUIgXciL/ZFn9obDYTh
cSgsa8vWSqYKnVvqtzxfpg9kFufCyCrfuBWAER55u3tgYmA/FwMNuFYt2XNWab/SrgWr3nJ/AhQ6
Qu3sGOeI9iFqZuNTwCTZ0DnjwCirXudOTDSMQdBN+gYEZZcRHUSeGZ9IvlEAmtPQBjmbSrZri5BR
p2rya2Ua32bqhiccOvCxSW629LXhEN8cigOix3N4LCrew6lt2MY+0+rTOqMWMI0yn6aqC59SpapN
hBHgpQyTZ25Xah5BL831S/KxkJJZWpyduiyfX50pXvdLT5bA1nLc1iZlbUCNnP1Qab0gRmth/D7a
oDc9lplPyA7o2yS2mAtpIGu3UrfsU2c662dZJ87OjZnedX0B7ZKW0ydqynXFrO8ZNQzqmJB3d99d
e6/1ofvGXLP47CwWzyuJysO4DDk5taUjRp2oY51NDpoGkxhe1cbrbQzyUDolusLiaIAykc15LJlg
F/OVIMBjsRo9zrh+3A4qdLe4yag5o0TblYxunrsRdFE0dmKv20BK/Q5MoqCpXNzvFa4SN8Vavma4
yakFO2ub5A6cBfZtXtt0aB/ssMuOMRFSWniMgl4mbZeP3PjDgaNdRjal9RsHUKfmiTznDPo/eMXS
9I7c2cbjJAw/d6s/oqnCzSzC/CPvl4gRCpbhVydn/sFyivE2lmEKUKYbr6TCdZxIJWbYbIRJFttp
+XdM8v/PRnjduFu2saf/12b462f0mX+Wv/+DDf7fv+7vVngl/jJNuI/S1qVpYvkz/68VXll/WZbp
2Mq0dFRlJNJ/t8Kbzl/K5OBDUDRt3bRswiL/MMOb4i92FDkKfijUK76l/O+44U3Fd/pXO7yrC5fA
PfwSU7ku1fx/SlEhJ5j6uKTFAYoFdm/5GcEUovNti2tsL+Gd5CMw1RSvFcTjgA0ctND6nH/OtpA0
oXDO587dpQKfScxdX6K4Uei4r5HNJJgAvZwBrQC1AojmT5k9Po6tKO4NOps36yF/pvpAD1Btu3dj
+yMdO9/snMvSrb3nMsSIZcpNPYaPgzZj/ipQ0DPc46Q1X2eYd8iETCjIYp4La3E+JQX+bszUpqtM
Bq+uWi95sXJgTj1mrXxJqbu7PTPQaTt1I81B6m6JihuRl3OOBwSXwJiiqQ1RqwWVmh7RtPb8Bn9P
mGIwUJ+hR2+WznxicdQJjxB2TTwx8Hy/gfvNRwhFKd0OWxV3Ztw+w+UxH6qkqLbjqtV4yJNXAJCe
o03nQfBhqr62zpgjOz+xsqtd9jvOR5h+dXNBge5IqFfFLpn7LwgE6zV86xQiStfkahs3w9E24vwK
duLNEUuQN8Mmt4FYFwjXhlt+9/a4BspJtwZkrxkXYbmkL2BiGXEVZtDSXjFCqD3dJkeqrXgWl7uT
VYybqOvmV0jM4mAhySHfURBl1QbiJR+NbKJ9AcXtuSzap9gaf4VioWUkh7mdQQD4dzPqg7A43nOx
os/D1/EJGac7t7fRIIljHEy1Li9WUT1ZWcMI2LDsIUiLeHnW85CZCUv/6l2vpdHD7FxUIV4tPYVu
kTpUta2GMDaOl0i3HwDhBlnm/Ijy5Zpzt/j9MNu7dGrPUdsdNBAa+hr9mKKpRajfwFBL+FV11xYz
LEZL1ufVeCqI7mOnyPGwLim+lw0TIV8f0SEahQYXQuFhb0JzXUb9zDwVEIgsPdeFf9Msh7nTX8Pi
jZHYjCe4AAHr3P/u9NDomtdCf3s1k5aefhmFhxHU7LYlxE+/cCdj1zBdL4XxCQI4Oa2G+s5TdYFE
69l6cYT1cbN61x/xPFaZ+dSusfExgmHUvaRKNvag3GfllNsS5xnfd5HAKYtWe1ipHG7GtPbbRLGx
srRc8VXfQwl9myW93y3CueWNVR+tsFtOmGndT0GW2Fewv0+aodwD6N/hABA1/5GCEcCgPHTJOTbx
C8Zp1O4Xps4v4Cyx/pO8OViVvnxwYVb+0kzVDUlwPEhZ5j/ZeyyfVztZfUbFme/UpXOKnUqdakW2
DpwIO0wNIzoMGuNQMvXFy116fXFhpbMkui5eC0IQzOHvYMu2Vu0n9HpkbiMeYZIqZGNh1+dsdKdH
YyitqzDW4djrrfFhQNTfyKiatzNJnlPDvOHQknJ8wGgS/7Ggf9heVyzt7xrREFvVyKe+DhND71pN
Zy7S/pSDSzcAhI/6zXVn/WmysC0aoWmci6yKXxd+WdCRRXvmUZFn/K/6GWA2t3zdJoaPqVHuDIDR
V8UPGMQ9oS76Jv3/FQq1/pZ++2eIybWJDZm2JbkFCDEpadyjRf8SHSJGQfnWrdHBpZO81nZbjTgj
x+7a3JmdJFbmoDamCVyNgesJUHcwsXRwA10u2tj98OqMnbbFjoQsKdOOExYWVyAwZxAgVPQLdhJ9
9OEQzjxzkbg5pZ6eer24EoOxiQyp9VbfVSYbZvhlQVa6p9JfRUgD09oKJO8MHWjEEwwWWLy0bRwz
NJ+KB2eANxFMyxC+1NNkajslFmo6TBhNyeyXb0wZG6vad2S97Mo1DpFdwUvMOx3EabphSFp9MNxn
lIK3odrgECxfsT+6Hx0Tzw5ozlYz3adBUqUl5BPIEAZ1eceJ95I4HPzgHZO/s2ahQ8BdAbs4WE/1
3N/L6uewBTNT01d4tM9HLU9mf6XkxQKZgPbXhtWXzAl8Iy5OHX60U9hWZ5nw+rOAliRtFwF8ScB/
D+2yKUQBhXZyoq94FNOxHCd7qwE+JRJNcVgtKZNRZeRbGWfpU73CUqiHCLDOOsmdwijnD6vkqVp1
Rz9PtZBnpkbdORGaugxow69o1+aZADJbL4XSnyrD0W80sCY0jQRQJb/r+VzWTnIh2a8uhmPxvANQ
7H4znh5tz5JW/KfIQZTMLQCN9v6mLPd3xr2/Peb9PRrubxRAx+HI3gbrmmnl/Fg3SXO29ZL7Oaau
rHHABiWk6E82VyDnQdLottn9DYbLMBz1+1sdkhp6Ge9vujC4feqRDcbN/RxI7icC5CHnVNsVGxGa
8v4cNO6zez9Dkvtpst7PlfV+wtj3s0bcT53+fv4gREUvxIhaSHC1fshcIzmXjFOZDPVtgelvHQ4g
EtSh7qfoxAJPxF/mdp9pbi5Yt7X6qDuZvEHh5GBU/OkTBYjz5QDx280pvtGR7uPGn9YeBsIIvlEt
9iZJHJqFBegBAzAsqVhKV0WFkimDH9tVsGcRieS9q0nCGeRQPTuFb0RWu+wLOy7GaylT18eidk/D
SdWtgXknbu5JCYWMx9Yuqn8A42GUaoqs7n1yaFm/r6IWPwL+5wgZuUsQWYfeZR8B3BrirwwVFVP9
SCN74MbxErHUfGZpQbEKPPyzEMxNW5soGK9BWu3cpkdFZZnsxQVc8gix3djmCit1m9Ird2srMBOs
YaHvGifOsXi2hjv5Ie4fdv/V4S9rdJopcFXuINlKZL/NUKBTIYKvNFuSY/N9BYgO4BaH4n3kkbJ6
Ym6Nxji3Vm8+ZX3D51I2jzJEBFtBE230Dltqb5b7Trj6NpX9az8yI7caNtjrl7u57WInMb7TXgt9
alS2LrTMM3UGaJ4R4o6pUUeCoqonD7zZ5Olj+rPOFNCOFGcma0Z8twX2o3CShHozXaued9Tp2l+J
/JU3mmJ6HyacN4sZYNybzlZFOiOV+k7G1aOtjCeWS6hgzt2bEU7hPkYIJW3Q6puhseWpd2ZnT8tV
+EliHUNXe4IAzZ2XGNZZ4/6/G0S/2MXMNolIi3D2gaBt4+nGdf66GnXyLewJ7jt7M70JXtkpzeDS
zVPVvxku7p3UaJZvVRk8g0PEvMPvGImyAoLJ0j92ov5Pd3AXRNGqq777/5xl/g/x5/9FgWdLmXRk
/3WP5yXxZ/uvDd7fv+AfOWf3L0tnXQCtnf63oDPd1d9zzu69ueNfO7RpgpWf/5JzNuVfwtSx8RnY
chwTQPs/mzv7L76CZgyIlbCk8d+LOrt/23/8zzJBkpV2XQv7sS1oJvmW/KT/WiY0NEcdaURrV4eG
/ZJG9hoMS1weZ6w3AVbCYTc2xUecFTPGCtf9SGRRnDGPDQgk/I+9KwmGwZyzsx9pHCek6VbnYqiS
BULQN2Jso2YbI/u1jvPDXCdmExMMqXOY4bL1eNnLQ6YWZxdhrvyhyFZ+r5Xsf8QABqkdLLN/cKQ2
39BpwT52uubbDagyHJvmcW7Brg7d1JzsrqyOi9EhEWMBPESwIufAMLW7yLya9qnuu/SU3k8xj7Fm
+ZIl4cqdkNjaSU/5i3xhpyPDN2d02M9S0DdWKbwaoYmTo6rxJ1gNxpapBiTTb+SSvMHKpbQXy4St
w4r43laFe5M8CmbdKF/N3yoKgec6LF08th2APgHv57rCw+fggD521osUomRbKdT0ShYgzx2rfdRq
1j1gf0qWR5Z8pNsRuvyldO1sJGw7xBmQHVEg5/bL8I13QnsCYUz9lSfh9FkbbGrBb8NYiiDD0lzj
OSN83ehuUW9DaTNbimJM/d26LAcHuRaTAdZNjMzo3AQP2KozyOrMyhlxSClNV9xvgBgLxol7cxDY
cWbrO+7vyUYnxvZGjtVu96mWMSiplD4QRO11frvxoMzMW1mj85PVC9QMNltzll6vt500kFMrXW5H
y2p/L32eJHwa4bAb8PV/1ZkxfRj96BwZ90QnEXfVI4EE83XCUH+BwJwKdDhdaltR66m2mfGDYmK1
mTH5MnXEkUnKssegoFB5y3pDhh3LmKjs4riMpWTxVwq3te/1x1XU8mSl2rQxHIJtOJnylwJk+7Ot
26CbKxPDZLJqJHVcUghsERBMp9Fb4oeaEFziycztL6J1rbNoMNbqhmaypSYkpTB0q1l45cRHCpEN
24GhKRTqaJgsL1PjfA7BCRT6Gv5UbZkdtcy2P7jNnZPUlnwfma3Jx1QZ6oqaXemekCWhTKjNovJL
CFgkelWKcOtUlMNbLhv8FG63WgfKemahGDjMTbKM7ZNWYUt16Vj1KdECUTc/a8KVoAOqIsAhob01
djszya+O+jxoWzmElPaL/dBn2KdANmwLhUYTtvaPME42xUBrWlWyhTQgY6o7d2Jk3HyR/GuuhdM+
N239rZIu9EMLeKOCD1bXnd+v9vRQEIWWorbB+d83IZgOzjvWpT2EghgAdypT0+0ELqxEWelwEdrz
wvi2W3ezvsjes7HEH1s2TE26hVmHrRSEcda+OGNtcDa8huNrqezyoulsS2lJce1yepfhsXdI7Xos
VGldKmQtnrxIm92fAyZ4Zrxur93rwCj+wk6lAz13TYJfFTtw1NFd5zjeWQMfDga6XAM27078n+SL
8N1XVtQTWwJPrBG56kGLTq7MfidWOQBchFJ9JxnwWPTzDoKovdNHW99gCmHjCcWQP05k1Ap0r4RF
HGH4Kvlo/YH4EMoRmE9wbkUbkKdgHK3nWEnKtB+oUtL1woBUf3bTdv3pGo1jeSgH4wncNBkUNjvd
QtMNt/Cqk+8ay3aPX4ydFPiV9GU7MUjZAFmYZlKa7CMrrXH4qPHI7JsMjDkbFLNkv4QJxEhWm5Dh
6qR5aR047lamkj3JmPbdNlvB47DgXA6BfBV11aMllSOKjNG+ayw2O8qioVU0U4xt3QA0jc+/u6Vs
ChvhOtnDrwhbFrMVtV8jcWJksZx7PcvfWzPqGMrN+2HNtOehHjPgCm72BCmQiDRriR5MLfs39s5r
OXIky7a/cn8AZQ6Hfg3BUNQiKV5gZDLp0HBo8fWzUJVTl5lVk9X13i9t09bDRAQCcD9+zt5r5zu/
KKzrqjjXcXvI+36CWwHBguZs/xAEVn8GewyeREL36YAiz7gUTSH0ifP8dDVAmjxHmwwxNwV6eITK
+xwGQfvsGWn6pYq78oLbnN7k6Wy/tEjRU0wTYkStjNz7SkVoqSPia5KVVHODSQQ/7ICNcE0xKnH4
zAUH57Cj6xJ0p2ya7XU093BOjR74s9HDtQ0yfrp5SLOzbM7nu3BuQe7gI0wffXzctM1AUeWRbR09
GpEIkrJZrxs3Sd7JmML4RN446R3Ace8yKOxn3XJtj1LyuuUoeQbvYdpLU7tfzSGadm6oWPrQ2k1r
q8gKwJfmCB3cZp517jHAX/TVtD8HtntdV1BVTZdknXS45UjvqFVrKE4AhFscaMEp0tkivY5Duj1G
0c0P+EXl+QzmJ12ZuB2P2mZKvi4iyzwoYb3jW0w3gk7CG1G3VbqdEZA/kA/B0d+m9Cg2QVV756P2
kwvpN5O/alhb8fW8QlSPeYzT5JKWk7qyGGuioZ1DxfB5IMsFYiLcOHJbLGM7qaK8YRRitoehiuf7
UlK8rcZyOUw2tYu/Pu0fxsR8rzv8ors4bOCHK7RfnKbUN3B/6qxwkRbQ9kCwArMLzToto5FZiiW/
MHkf7mnDD68hrVgWXRhlxNWlAsSklzj6wZuS7BuRMyA7rBLTWhQDwAbg9xwldPb3dYL+o6002lkW
0VHBY/BLFK4zSounIFRvi4GIV8s/VRiltjlZeysSQ/ZFZd6Jmd95SsrhOEEVRIBbrQTYQFpsw8wM
Wk+SrARekn0XxM5pLBL3rmdCDxCykyRbBi2IloSiA/lH80auES0ExAIY2euDBKy3q0CySGi6RrIh
+iHbFI4cblTIMw3Vna01xyWs2VMeSJgi5peG2Jokrvo68+zxIQUbvyHKzlmlWeEyeM4QlJaOcY/7
aTvaE6l9Qvo3Q0OEVI05B2hqnDyaEylvfZ1327ov9HtRJyliewK6FOXWnsyE4Im2w3QVmm753jdy
pOU+D8lqcN3prl6cfUB4KExks4eYH51HZQcooY+qF8Lg59PIVP4DzDepbaFzpWUdn3Is18dCVubb
VEy/izd9SVBT33AonHpaqRkMURIaGXF/hKEYzmfUXvFmzA1ydNyahYQJ+xsJThKPUgNHGzD2bsiH
+NqdqKNIWgvOvNZEUp54+gIyzNJFKjjDh7a7qprxPXdnYDS6uux8q8X0o5vNZBI46bd0iPBEpudo
7MFddnQTbVzISVDYV1kvMbBplnXyXmz0xCneyPh8akFUQZLXZnCFFag5y8t2yRlTsXdbas1Zr9LC
pNNvnFgTAehjQYnu84p1dVVOYxGvxdAllBFBNZ88F0olZBbjllOjJZ4JAvC9Yx82wEJcTVQvIyH7
gyILSDr6YvMLm1S1GwekgZ4zqOo45xW1X+2nwTuiddNkhsxu1Ng9npHM8Yi66OYL0RgXZAk7txST
0zEJkBhYosF+UccB1dxi4/HzJJ5INTSbcDUgZb7PUpORQUMvq8hwZw9tcrIc7V6yIrRbp1L5uatk
D+pdWfGT5i/OZW5A56HOnC/r1kfroQWs2IzK+q6sZX3O++p01F5kPdTV1N+kBglXtObRZduGyZxc
u8UswVzbYsPs3azRNBfZ3Qz1BsceDJBntMX5udWQCbjGyudcWiUVCjk1yAooVnO5ipRbXmMrcNx1
kzehu4KhSzs7rWo1b9UsOM6noY4eRRqZp1pr0swiYRtH5VFiwKk5lGmWX/YwjTOC7fIL2bvejc/Y
wqIAs9DgJhhE3uHGm29Kdz6+99R7Rl/cHXw/QDqH+hXnIx1PZmZhAesSU7JvBXB6xwK9OipJsB6D
f0/iFdExNY6/7eh76LBbIiPsyiFsBIsh4mIEUwbaj/WUhPWOVeuVwXYLswm2duTb0S6j6Y6bu91F
Ul3LyvmozF7tw6I0DmMSAjtAmyR0tLed+HIugbP3rs43GQCfO8E4BiFcjU3YyYC7CqK4MjvdGcsR
A0XQnhsxr6HpFyW1IZ/kCDnqQ2Ao2sTK2Et3ZAaSUnBzRF6y6gKDdMnoMagH7FmRuiePfFqZmXow
KDtWHAexBCTtFadz0jYH/8KSTbXJMXRaMV4gDiNvRmgxpknIU3AWni0sU2jeL20pTwoHwMppABO3
hDxu5qGaVrTz24OX5ohAB7PHXhjOmzBmCIgNqV2naEA2cc/Axg0GkqLJuievhgCd8TXvK6xp0Z5A
imhT2sXVjJroemCktXUjMcNZmu2dtsIAfVZgYo6camJfGQIfE5LMbkPtpzsb6v9aVbTxKtGREGvH
iwJCw4mawfhQlBpTvxtNB8N86JjhmkStyUIH1PlwlbK2PnfpBzN4zLi/fg1TJKWVh+LS7ve24YVf
OlN2T01SIK2LoowDS9LiQhqbJWZhln1/kwlmbltX6eBLZufjK0rU8NSAKXb2dahXFDTOk2I+q7Yt
cSqQeOAbj/iHzfjW1WpEq29ZsKdHwVA2DcQj6Y7ZHZR+unAG/UaxM9KsOXqe11KD+oS6YAfXj+CC
76yJR1G0/j0pe86JBYbIqVj7+zEjhU5DGkdZ5W4JpSThtAmw2Ir+m5zIKaI6Ff4lUTX+njNW0fLK
6ex5Yqi9qDyqZFXWYf/CmxWvY0cTb5Ln0S6nP7cbyebbOnBODpJkCkyEcty3Pl0CWqZmsI1lrU9E
D9NgWPTAXxR4+OeSHtsudtuOJAev8R58Chcb/Rch9iA4MIb+3lP6b/ftn3CDv6slbMZX/3cHbh0h
sYjVa/0jbvDPv/yjFQdY0PcF+gYk674APvIDctD0paDyspzAWsCC34mDlvjNC2iyMTFEBBH4n2QW
/E8LJ5ABm+XT4xKm+29kFiYX/6yyQPvBxA6XCAdOV9j2zyoLDBNeTluIGh6h1UOO6+ep8mARUMCw
gjN9GJ9bQ7xhqq+/0a8uXgb07yBECDna2s1Qbr0eu4DH/OcJMXV57EGsglmIs3cnU93jfx/G/4R9
6eFUdCW8yP/7WdyVr597wX/+xfdnkPZt4CIaNBH8uF6woDS/Yy+t31yH2F/P/EPPswAx/xd76fxG
Jqkb4K9kumOxcP7ZDjZtnmmHJxTZm8k/xzP9L8iXP3KSaZksakYXcBsUTSbGv8+UP82MpUdHycmG
YQuWh+h1pHpnQCbk2jQjyE6Y2Y+f7sz1H23m//eJtLngcj83n/+4Hhek+Sy4H9yMz83nTFFiwTEa
trPdwGW31Uc/o6+ZBpQ8v74Sgqm/XovxEGjbwLYczxHL+/fpu0EElpYVRcNWmiJlPuPgvqxUZB44
uemLNFT9RUdu7i4DRb1RVR28I5Trr5tiTA95QDYC0sQUkuQ0aGq7rrFTunGqfrRxqJE47zO0dV1l
Hjshm7dpmJ0QyyDDcEg5Pvq9fM5GBEJWCTGGLDXXT817UifQDlpeXJkn/CqEOy2Bd4yz53DT0iD+
1rpRuUVBTu/CJ27noxuN6Jty4QGlhWdtyjCbr+Fnc3BoK87rVAuck+kn3STubJwqEYh+X5HHgc0t
CvgoHZD9R9bImZoqqgj+ilXGmEiRG2ITjGx4Oz1bcI9IOkHA3AUDE8WG/NCScXBff5BEQdBG4x48
xfNAZ0JuDQ8A0uTeLwY6DYDLCo+zMuZTjGH3ehwzEIZwuGwgEmsV6ycjh1zDGn2T2HOxK5ap9Qgh
Pg6ICKzoSKwtSP7nC6GHuAhaR6RkYaI2gyzaGK6P3Yo+8NY0RnqnU/MUByiO8tEmUAEP3IpJgY8+
1btsiyQBok9XPcJ1btEC2bIsIg0oJpy6aJRxRDTSuJ0qIqShQIDnGaOd7zn2BgH4geMjvSJtcfka
nZIw1UeRoHhzuoT/A/KlJ4Zyj5QgWPcZep8yasTGtbm4dHOx6X1xgwUCUSmHEcCB6lXJ9CIv0F+S
1fk2hDzqJuw0NDLGLh7ETUngnb/c0dSKgg1NlzsAO2pN6MI7eSXnZkogIxHia5LBd0KTxxcPZHnL
xrqh30pAfG6+J25+RmwYebRdu0MP9SGkm26RwT05/Jc+9C+Jgv+gn3eetwrkXWqu0z5csiGqOzAa
O5h7AB/6UxSmu9ZCQwzGa6sDwhj8cQkKrcKqUueJZQ9ikyBNvapa5zLGJVP0BHcPNNpW1pCdRDB+
czsNiW0kcz4lYBy+FGPwAEQsBELIH53FOXj2CWaIAwqyzvYv5RQp0Bng2MLmcVTSBY0y0Oq2mLa4
Ic5OSxFmyGCd4jVclQZ9ZunBUEvDYoVNkzM6hFu3lk+pCPgCIWEIIZfLhhjtGYKvAnpi5lreGkHM
ytaQaFDhJyv4HnBvyrbf1Jzd1vywN+iGg3VY4g40sgwaYs6Lyplvvm8NUtXCxrsfBN+08PLzHmIg
WixNR6cst//dXP+TzdX8o1775e66+ZZF8ef99f//0fcN1mOqGizTVJ/QmD+mqt83WMo/0wYSTc0m
LV/6n8S0PruoR+nnmkgx2AE/zVv932zktZRmLmNS/kX5bzbYZXD7w47HKIE93LZN17IX9e6yS33a
heLC0Tkfr9rF9XJ6rYaqve96NTxFfdtfWeNw3xm1cYtGFowJy6A+wSMmKlubLB/OkGTPkK/6V0xG
8SFMg27LMNXBGRt0K7KqEPZlMaINV4y3/PNoJZNBXyvSA78lrvtGxegih4cPXdHx5vRvl9fo2sJ7
+hqYllDaP1rMy2Cg0ARnqIV7KUzT66mEb1VmPbYe+FWj5Q5frMQVW4H9c6WigEyRtC3vyjJ4IreN
Uc9A8VCk4Hpdwxh2uBsxa0oZb5oG22Y3VXcit6Jt1KAFs3QbIK8y0k3XtdWdndvGtgHTugW8DUWo
hv1KPDqWShEMj6Q2IBzDMfBBLGMBLEhFb76bVyxdTfvWMSy7B12ZQxYMaSjYLv0Qu2d7RT06GibH
xtB8ARZF1Ww73VbQgz0fcCrBkJyJiVo3jG1eLNpTepVxHojxvffiGWgihspQ05f0FXChVd07F06L
O4+OUup/8Y2sOUWViUHV8qGerOag7IY/ypf/Hv7+4fBncyr7pb7+4hXtxWsTtfUPVff3v/suwRC/
BRz7OFcFVICcs3jxvy8JYOMd3mphOj5iC978P2tuKX8TFOIU1BZvP6Uxf/RdX286v7mm4wSBa9HU
t0zf/jdLgvmHxuKHMhj+vU29vajshQny/sdFAVyPDwnRGJmTa9lD9cMNSc/aJQQ+sj9U2gbdus3R
Im/gF8w1zyFaOHIRhXkKDIhWGBcTf5UW4JOfctaL4LLvxPL/UTTyKyZ3U0CxsQ4e9tMcUVY4gkP0
FDaf0EgyfePUcfxo0MBTd2Kyh/IG3nvWbOIkxnxJ+wpZc124IZld2VDXmyTSAQFws0tIFyJRWDpB
LhEPBjKnOz1ZIfbuElzLddEq88NMSlgjoyuDdcX87VCllXEr08iQGL7nPt/AAbYdvQK6kl7hUB3O
UV7ndNsy0fAF6uHIyN7xNzXgoPAyxI1IwKNPquWtn8on8tcmczcYjLFXzOKXeKGQJLSR5HMwC2Nt
J+esADiIWBsioBnpqOpN2TeAYzDmRfe2T776GZJvPMlMShjRDn0SJ1fAfAUYnVE+uBXIHENYkzpb
KG8Z6F41pEfyTjsG8QrjJ3UnhQCzpICaYUx8+0YyIZjWWtgdhEqcjG0CtZG2srzyEHqdm7UfEb2t
9HNjGl8dcrBg6Y5p2eHszp0t7cSmxeLr+qvAzuJH/jXY672qr0PH8MuDk2kyoOaC0LIzVyj7NgUk
pyBOID5bu1lnByvorFZzKKaZ8fVQuihtQhIX5gub+NOlB828kNnAbBv7mtbdooYcUGGA0gFGXY8U
QU4cEwngD9K5LoAPAArz4SWd+6It0xX55AzQyh6gkdMGNgvnBIYVPmbKdpWOORUePZOuxxo4FHs5
+m27YTQv8YjNWHs3bW+Bq2ckE4dnU5r2BJJN5cKxJXDTxM6hXcmQQ4/3DYA0yKmjZb9pwsYe8gg8
uKvq+h3XmTkeeeqYy4o8nEhHrtt2pJpHhxjVojuorKGxyBlnrtfC8Psch2voHplIW286AN+8p5mO
3jkaVdNvKoYJ03qqVXkkKpNFPKYdfU40RnRTx961V6TuQ9PQW1+3YWUcVGdGR38YPLFqiFB/9IvE
vDW6qHmZETOdoBrte/jF1Srl0hLZMFnUqxLaibwnR9BzVxxBSw5YQk93cWHN7zmD5IveEfWwzroy
Mq/wBTNtGVH3c2At2Fb2s1D5RUAfqN2PyGGrjUj6nJYQ3ky4wWBRYXURoQdMlcGAQafhHm/8klEu
c0aJPgCyFp83TBe7LSKHbKIphuI6GUBCOzQEHPRUbl/U2uyILAJzly2sovilDUq0EaS08bSbnOzW
JpNIf1NWwBJtX4RfjDkLd7NHxkM+lsU7aX5MnQmYPVOhPT4GPa9d1SQ+qneSPLGdKt4bHTTtlSph
WeC1LU+FyPr7BmxntMqmjLUgI9Mztm3ruibtHHJAYCX7rgfRW+DeIZ9C9DLfV6KyH8w8bU4EBasX
J6V1u53bFoZsOsacyVEw9+GOlNjhrJOUCqM26OonkS/ZpIUJAqjKqvuYMhKpmsd+D8iPuU3kotax
Q8/N3rUTwdyo58DC6gGWozNV8bXqyz446zNrVDusA77e5ClEfi+DP2FTyl1GFcOR0JYUSyjQs+EO
jF1YoyybRnsTAdIH2BfkFTGzOC6PzEuyjga0ZZJoP4vl8GTZLrjWkGcVilXVPPbJ5F0VvSzXgRcb
L0whveLBTxpDAPrhRVkxzBEbgkMdZ+OxDfpfGZBZ6MJma+fUA49n9Ehwm3hru8zc+rJMtnAZ6rOA
pIFN1OAQZQlnrlGaMZdkvljhaGpQj2EnClj2U9UeK9Loivty7CwKPFvPW4go4S1QVXEPc4s76soB
niuelXhAG5IkN6JDdgZ5QPbRajlbGycbBdyr25Onu8dH0KUXthXOC+R+hBBjWniJZIzuZO7q7jqM
we6ZPsscbKMRHX4DULHcmM5iCQIxBpaImPPhIZhm7AFObMK4abjz8XbWtnuTjZUBqxqIRrWOu0Lr
DQh2PogkBeWWQBODDWD2IJtG6LirdQRtUB5iULDIDPPYZWxlpwHpAvF4WmhdcBfs2Th0BaaUcSw1
embqg2ZxdtfhWVuh0SaGNH4HMFQ9FhByboy+hbE4olH4muJ0rVel5wBTG5MOyCSXaHE/dAk5vYWd
piibkU0tLoEKuPeiWcREtNyEAn4iaYl5As9inigQast69THs00WBync/gSu8KIUegGimI8A5e0kC
YQhkMYiDxnOJkzy+tfyo/zKg3j+mkwqsM2EY822So+Oi9dM1/UW6OK76Wfg47pKU7UilNby30e38
b95go063lHkZDhE8vtIY8F+XiEYAKIBaKTd+7/krzG0RMQhTArXY7rDLXE++2/crgCERbKE6eHad
yblJJH0pK4lHJpH5bYe8/gSloo02YWHGYMVIcaYTZ+yTOGP20o1viYbmFGvWTPITUuvFgfWQrZWc
/cc27qyPRpPBFdlj+ZoaMwHZZYWESIzMjFhjsHjFKrlDvdOR39iRYzrVOSyJUca3uF29o1l5Qu56
C7ptDkFrk2VJveKspRB6hpyfulkFmPKrCFIRgkJmsyGBr9WMvxB7hXtrZ0aevkRmq87dPoXoXeJu
xk/fLaJz1JX4HS2suHzoXQKAnBhQU4IZjNRwQpSmbAK4BnCSXjx5W0hI3mVfGfXXHqXPO8iP6Dlq
pnuE+5CuJNLcGP08dNN41LB7Ixd+GgK6hSfLWgTo02Jud8B45b5VBlk/O2ba0jjCtDmY9uTswJz4
kChm4E1pbN7TEtEvjonM8tJKqv6DWUcxUBukEhNOGwFujpKBwBdHkt0iwZ0BxzOH0twj9R3flFRY
Hm3iLr8QiF7EO7c0y/fKsUR9M4QSy7dMODgdIYep9hy7GbdRqaCD2NOH+h3OTE9Ehk3s+SEUgOLZ
nVNUlJlZ5sERsVd/h3J1hr6YGvkd8OPSOpQjoJhbq65uiZpMyyPWtH4x6Q/TzeRZBfrbObowCfwD
KTQ1mLbHut3VEVtWm7W5Xns2vK61rEJeEwrx9joGn3rIfeUfiwQsbAiq4IrJTDRAHmee0o5jRzdI
Z9tgEeOtUmqQ99q2xgen8KJt5w1y45VKUkWX/hfDKEKoUpPwEeJwKC9ep6IN9I6FNrif4P6+d30F
bEbZNbjFoKm+dGPmrhNrgm9npVN23sjSo8kHlvsRpIP5xaVWu2xaR+2CrFf2psxrN985uWsTM7mo
l8ZJazqmqba/skFmG7YsHy6Kj+65DZtXWVdhhPYlI0+ADqT+0GlVPcIjpn9tBmQfrJ2wo+Aw4qn4
UqlO3ZMC7SN6dYFYM6Ny7gboqY7Pk1zJp3nANoqQJBu+YoxHimnYrMZ4n0Zq8ldzJFkD3fhdkkrY
qtJi5W9HxwqOFcMzl3Gs2c/nqcmQmik5UTmXcUl8Eik+hpdAwqYtuJea6TJ66jiHxcVeQgvYLHx1
FlfdIh4GXQwZwm/vG0iXzjqWSt7F8MuQAdps5REBtLe4AtUtz/68n/tZmth72eY3xdx11zG0tTVI
FH0SGW57SewGzRL7m408vyFMmwk8SQiJc2iShkAI0laBmQRSkyyQ63o51lvCvNBW1cHpHzcMQzQI
D3R/2GAYe+cQECya1eu+6V9SHIPIKWGRhGuyYOpgZUXgUqoxaG8HI5x3im7Ik+beHgqaIxhqyKwo
97EBAWiT5naMKcSNYNzYvWE8R63bGceE2T80MSv3HnAcumJT4MeB2Fv35VeR+R4zZzbaS2Uvh7PS
A2u/4FLGuxj8foboNkj4CZ35Gc338CL5FACvh0iYa5/7jV+T4fXOturxhV4QCpnYTO0riMvingKX
FTYhCOOMMNfoGKJ1/5aH1XTmTl52qM1wjiHHlvYFhwY/PFaAJd8SnCiw5jnObCgyZg9RZNDBK07H
8YVRPPoBCfhZ8isSa5Chr4dLRfYM0morhSlcCLNa4RXo33h93XPAEcT0RqZgd+8h1e9DJAu4c6Ps
bED5g44POfGVFBRD27CCsHNsgiikAU2UA3nKRHtxquJ446455JJqZAMCc4gNqwAPdZxfEZfBqQUG
4QKddAN3eqjDxrT3RmuBM4+bInrvq9o59FFnPudj4W+ayAHBplnmZ2zq4NAml7WGLti2Luis5Y6v
EIyiA8FgOHaQoHLpNi820TRXyuudnWvW0Zc69pkCqElHKWO2zL2Za6TPR5JPQrFpmNeEK+ScLnLO
MaBVPqiEgpJkBEmkRzFe+ZrYwzU50MF7TJLendWoBxCk9QJHIY6nLMD05Xr2lgGT2CFi9I9TAwKb
XMzioMdYX3t9JTYaZ0a9ZW/GzDXFXXNbh4O5smoEXJu4iJuvSRvhd2Ou1tZ7ry3AiRJg/q7bub8a
66Q0+W7CS1dOSZTHSo6TeLVbxgQZv8OHDQzvto/Y4KlG3XObKfdNolHg5VE4XJRoZBFEOfTnHbIV
11Xe71Pb/dp0FDypq5hPyWI4IWy9i2Uldk2SUfH2rvU4z9E7j9vIPY6dVefG71kf54cmtNAexT73
O6FCBjBzaUOPOuYOE5qsL/W1zzZ8Fre1eqGmwIDJ4ufe2emrkI6Ddj50KPQLa4Nds9iadukcUoTE
d6Fuxa72wQ2xcG7KsrF2Zlx47+RtmJDna/tg6RRYlo8+jNC7ZKNHXZwleW0BBjenE7lt4i2o7eLk
9nJ47WoNHxV4Un4WwOcCsZaWrsIIBqho7ly6h0VqVusmdPxjm6L+X1WS74583KhewQL403Z2KwfH
p1XvSfI1tynzjV2S6GGvw4njfq/RG/nWdOk6NugYZ8im82HsqQr9oZ2/TQloGBpGhcb6kvv3GL/d
80miBXIb+KgRXrb1oFOxkVTy3xDB17u6xQjOZvJE8E0HXrV0uosGqx9xf0kJhhcLVLiDE6P2rTnt
qgwJU9FGI+59TfMjdXX7QLlb0aCYCM4BN8CZg5C2TdU46YfP4Ovg1OV8O0zJ/Iymy70FKdVBqIqI
0KgkaXyrgtBndDssl3Rudk6ZHQap9C4Cv3bVpbbJFwJdSwYXMeY7aeT2mdWV4Vp5rXPeZ5xPO8+u
noZanDxzQoMpmBLfZsQB7iFkjeidbBpHIsr9dVqkT1VmQasSOZEZXV1fDtDXtnYxyTPtLO2zZsAu
CTmSisa5Js2BoRWi7KNG0lxZU7e3Ru+Sse+AX8mzT5MjTQqpAD+ng22xQDfIGbmPz4FdGduezZhc
QkF556J2ZKFKtrwy/mNhVATTqRoYa2HhCZCmuoe6E/S7WPTjPfHXDYpZRKE4hTvnylceFAeVuNPF
kOFuYcWdcCwU2dnULgLOWWmJaDbR7ZZu2mEKo+bZSHxx77hVC+W3mpuHuQ+o9lRqkfyV4HDMUwwL
JRBd7fL7ky3Ski6Fuu9YjQNlyECUR+8wSt/Z8Fnf0Pi/ugZfZCxN+gXtnH/DixUi7UrL22oeBsqh
0LgEjOYzEx4e24SNFVY1A3dGHeXOGZ1+nWQML8rMu9QONudVy3EAQWLE8WYVDk58EmldHDxR+99E
a10bIWV3AxSagiycrsEqutsR5eeaEauxUMjpHxnlLoK4d3DHmd7UVM7uF1fmzrMDV0SA1uaE2cUn
r4IrAV0MTyumpfgyHJ3pbY4z6wE8nvgY6s7gPBA41x3UWwxHc3upjSkdLqJeR9TURrRnyP+1cswl
xseCfEfpPX0AbCazoXHkvur7aluLHMs/hJKV3U3FWe8TA7OapgafzTg7SlIOe8ze0ySeB0R9Q3cj
rNyagBCabHr/HSt8+08mjYsoR1pYHX8h4+kSBgvt51Hjn3/1p5SHVr0VoJoB0oOwkX/vj7GC6wPg
cQROiO9aHjyf36U80v4NgQ+FLxwdf5lO8kf/i+0RvxFra1GS2lJi/DT/1VjhJ2jPIqdBUCYAAQUm
miLvp0FjIOOeHFvU+a3DGHFFEtr0GCGp/Ydo558VQwL5G5olLKqeK/leP12mwcyQDEuR4uJSfOlp
d54B/VJwPtu036lc97tPv8LfSIb+qpPjilCN6C0KETB8+WlYEuRzimY7hAlrLnl5OheIRTojYgKB
JqbY5G4e3/nEuuzbEM7DIAKD5TGfXwpabDtRBcmxobjm6N/LLYO/5AhkerjI1Tyfm2OqL/7h8/5l
4svnXTRdrILI+4S3/FCfJr4JNqNpGDFBEguXvw8wfoEYmPxnGhTEeJAfRSPLcxcJUfleY0J7h8A+
fJkU8QtOVzL/Qf77UJQj+O0ReOuvP57863PCx1t8yIzGLZ5JnsfPH88LiJlNaFpvO3iNF/FsoiiJ
nSV1thkiYIsjoonC1CWMBGvcCkOwwSs6wnxmfx+NtsdUVuVX0xidTFMfRGTcjKDgcrIkO86RLu2Y
Z/qZ/g4wB2YSpgBvnTLTXT5V+vbX38Ve5GKf52jLw4iIndm+ZQGEXBR0n7+Lz5IpWvJOYRJl0fmE
RXM9jKNUG0xHEQBd8GdLcoazNcpmeC/cAYJ+lhdBSnIfg+bRDYybbhzbZ5ehEYdkUPx5ajhPI4aP
pnEuvDqWROHEPc1eQ0F27fpDW0ZkiKvkWTtLhl7oPFHPWpetgTOqmK5Q8Pd7TZrfIQWhcclWBx6D
IyAHoGiAiixjMzyLcvpPKOK9LZPAJUNjsGjEi+jdd7ETkITHqZU9GhcgsQwcdVmNTnUu0KnQTgva
TTmPydOv7+Vf5HLcS4xOjo3F3DItHOc/3kuK4yZ1IAJtTWrqq1KkxVmZwLJBV7HzLPPDSIbxqpvi
EWARArd839XZ8EF2R/1m66q9qNTAzEUCvjvQL8yIC4N1sioKsuFQ4etrAJIEjuBbHU9K59N70A0m
/r8QJH82Gk+mlarzhXqi1pmGTTcpMZ77aZectZ0r/uHBYWX9y4PDm7lsCf4iDvz9f//0jmpf6N5b
XoImrfpLsrU7TrzwWQ+aZf0aMmtwVpn050Mzm2/qylcnSzsCK47vk+wDHuwB2/T0DeeT+Prr3+Fv
1leftdyX/AKuQET448+QqSnvM4dg6AEv8hpt3kfUTwe7JSrCG/t/kGP+zW1A+imXUTlZ4yzpP16s
ZH8Aa9s6W+oR70lgBFve4uTq11/pbxbEH67y01ua+UnsNhbZN6kVx98EKAkOMoWhVwymprNfX+tv
VgRU1ezR7Kg+4tqfbh+PZKI1rhXmEpY8WUY+v3Ny4iBaW+JWjg3LboFpBR2KEMV1UIT15tcf4G9u
KXpzO/CQuKL3sX++pcaA+5rmD/nwXv/FHCCHjCGY4F9fRS7/zOeVz/FNCgfi5VjCITp4iBU+r3yS
JdcnKgF8pVPfakhHaNwIbY77mzG/L4P4ikPtGnXR+6J26aIMFpiZYWSeS3+TWMNElwaaXBvZeO7x
0u6gJ7crZ7xtpKYWnSKx1UhFV6KLDpr4x6XtOtcwS6tv2OfWv/4yPz8fDoLmxRDq2Waw1FWInT9/
l5mTRAXO2ttWbDtrrLX+itmN2swuyNlfX+ovty0Q7M22hbEL+QdsuR8vFc2hzLwOaaiXueoYTrgr
SSXpT6rm0GSBJtgvBoB/uCil4M9vNc1T1hvKJVZWxj4//1wD5z+Zm0O47bPhHuUsvUMFOzQIx+HJ
IuqAAfHY3BoqPtRqePaCIjnzhkm+JoqmZisiTrCEKHm+t7JC97rRWmxY3BZRmd4xm4eUHMbPoWye
SyKWY9SqjJPoepM0yPE047zoDePBSXsbNUgjrgN3QAudM/qK0WKiWeDkFItJnNHcW/K/QyCktTjX
0gBHhSp8FYTSQLqV33QVhI+iUpoX6BY5FPIJdjrbv1NB2V3N7iuTwvdCzM1VMdMLLBxHPYG66a6M
KpFnA5lNm3BOaCFVPsqUxkN+DVEdaHuVJc/IFwATdnEBgW5s+neZBfX/UHcmza0r2Xr9Kw6PjRfo
Es3gTQi2okiR6qUJQkfSSfRIINH/ei+WqyLKLzxxhCeeVNy690hHDZnIvfe319q5iUszrOwc92NK
7WAbmuWzUsOlDXY93yfIJ+s7pkuwoXgkL2zI8tMXdP1WHVOYrWjynCFyyGwLoR9jDRiWbpPlF2vy
0NraWdMxh0GaBefO/tVOHpxgoettasGNZiRJwiK0hngDlMov1zFPqU/2WccNPUIUmKC/VOE9sVqE
fKVxsKtWPdqRaGmS+dg6iXuNk6GJmPZsJmzRIUJiwPCQIAtnjwq4B91xGxHDaA7/ziOramP/3Az9
b8bt8jW1AZ8gTSo3YTC8lQmKi5L6XxP3PsVEll+bLHOuQ97SsZ9VXfK5CnAk4RKuQqe5Ish+nSSb
hAMk2X2nWkT3vQT1mgcT+CqD9GE7LWALlkJcIBKUP6zY6oe+ZZMGf4X8GwxduINaoPcE59SVALP1
XjWqeBtTZ8cGfU34kKj7pa5LdWW3qyf0x9KuiEq7meGPD/NLIZfu6sRz/6JsqE+MuphuJbHaIejM
z4YCHUlmx3jMuWid+4yGQ2ba5tpqSp+/2VNoWDCO5eMEWokV8C9QmC02nhp9UYs+I+G3h+287K5J
X/xpB3/+k92+w9EUxo7Nrwthmd1SP5sWAL+AvWNGfKfY8PUuM7PxUFt5/R3HVvJcm7wkG6dPuYAH
1pplduvO8Itl3XVNt15CuJX1JMXVb1DD5E29rAlywASc2+pvYOppawzufMfYAPq/CH5pD31UJqFk
wiK1QsVip9MbG2M1W80jWt6Z2VjiMNDpdbIcSPvj423lW6v0G+lMIu6dsNo/RW11rzLIvT2+8XIX
OnO9wTFts7k96vu2bAUJkNbbZ9Cnty0ppY1w+KLY96hemTkZp5Svaq0stHBtXj1ywk40vpoRwZjj
MW+o5I79j3s0Q7+OAInGuI34KBhJGm/OFGVpwh8wAHsOUxhshmkwtrkTBA8xw7iNVRs0oPv5jw5E
/Vi0o/cgek4F3oMLs4V0OBSluCzKdK49JExQ1D16nESPN0ipHnlTdck2CceRpQN8Anat7v2McX2O
rmD1D92tAP350jn/SMmr5WiaIMxE3eiITm22Fa6eeUAg2GKimX3pvurvBynGM6sUoNXneoSgYWDw
VG1HBCPbEe/8aPC7b0mdVGsG9OCMTNgbQzisJ4Y7ZxZ+mSsYEwG6MetXY9DAawuJiZFLaC60F0nl
xpR23tYp3VcnbsiwgQJqN0lSrS0/fzA6s3+U8XxkfgItQAOmyJ6J01Z8xyq/OubEYHhO7R9zmYpH
NWTc9AMyWbtM2z40+QW4Jyn6hxY+8LpSzJXxyj9ZqJRF5dpgCWOsL34PAlH1m7C1/1RDc0wssWbF
9k+VMlJN4fjtRtJUu9Ywn6CzMbaYhlMlhvh+7EEcrQT76e906ay1asYq/pSUZ8MqiUsf6sgMEFct
7bFjuh3ZYHUnnUv4gzoAxjZaiCQZOEd+TV/OaNoeB1RYQaOmgUwzk1l1PcZ3XDvqXZ1l+bF2jOFi
WMzFUrOqWOWv1Z3wdP3oes01yS06lSz4fkGvq7+W1sx36OoBLUE/YhDrpvckaJx3vmr2YfpcgJlK
ix1K9mWXeCr5Ci0ju2sC+PI+TdHH1p7JdJQq3A9pj+INGe/9XMzMbWRdHuhVg3qdRYNsIDdPBUus
RDg4vLO0vbbW3zyhjwCDd9bPAVBI1ngSdbFpoT96Mg+O8ERuHX0/O7KtPWMb6uK3itzXe4/AkJFh
YT1OEocedguehYmd7dy2Sz8BQSyRcnWzHZrAf1fSNA9pAoIHkiqP2wSmiZcn6yl35IXOTkdzta/v
cZyIYwdE/D52erFJ4sF8toEQXQmTOYdWj8E9+XDCzGEmT0MZ8E86HM5YU0CYNhh5RGlGKQOuPS/R
TdPrP0Epkm1VcF9c+e3tdAmTxEKZqbj3L743H7TrbBwWfVT/gKV8U2qvehgLtmVJGgUd+S8v3hh9
4J9IltaP3ZIKRjFN+Y6/RkQIOl7n2BXrGv4kNwNccWBxmYB2S5ftTJfFDAPY4G2s4XGGuZinfYN5
i0mb34cn9GQIkDlcTItw2Prkrw6NA6+eXKpLOKCp14tb8sKPu9ZQ66ny3AO2HvgYgfkWkG68BHz8
ijUp41qFWXFa0uYHKpIFEprkDISutnqq2v5MPnLva/dvFbR3Ml/kReSht0Zij0YQLdphcPg5Sz8F
C8qAfkU76gR7cTNI5glIK7ZtXI4466w52QwGeIbRCvuHrmMCR4npAWguUmsLmMhLVr4e2jNrCfGr
3/rWY1l25snuRiC7Uk6naZr0jwbug6akSZLnseKLMUxX/DqTGX4HuMTv8jTNNnbCx1ngA9ctPjuL
gKIyt9jzHPxfkzN/2aH278tBzwbYo7ragNWuHlXlV4ekyYbfAoZRjzDBUEeJ3HunGdCqlW+l1gvI
sCbKkjwk1Sd4Xg+0fxigebG5c0fFjCPom/jZVVbPL7+AWKbHUu7mxgFSqePGUyviMcuKwGjxWotw
eidGW0i2athCh3vMRs4mQwIGH6POwjOuzWFr58a4diiGEE3EhviQDY8gX8XFh2f34E2FgX4hH5mb
jmMZnkIUlHzxbGggelgyZzOQ5GMvrDGWhymnQbnuWq0eFMjRUzZkjySo/rh+9taXbo/rarbvWhnL
fd8v7/0CHEDDsojmJG/3vbPUG+a0cLRujxuT4Aq323Zpbi2iaV0RnVyrIujvmfJC2sCKsPUBi9+V
7L2RuynjiaHwuMU9x44B1G2erikjr5LRq56r7Ii5Vb1W03Ls45/F9R+D0X5mjvhlNckhmG+hRf2e
2K67L5FmX5vBDPbarPyIoLZ/XwxB3q0L8ODr2rQ0ETL2PM6lqVqQWuGyLwuDiZhf2NyTAlFBPW67
J0Pn+dqqA1h3rrL7c16hWV1pT4ivaSQ4HfEl9JcmFvJKyvIpnkqHRE9VfUyLubDcAGhrT2tp/B2y
uHtaSr/ZzVMNx0Epf48VQwYrwWPvp+8DmA0lwwvp3gbVlaN2vJODJuraGpJFNu4H04KkUXfYgIja
brxaVlMkQyRmubpCVw2hN4QpDFCU1wefsPCr2ZKLo1YZnIbVRBY0vXqhZjVThEt97KV/+RhMvm25
IKSdcUtGXGMSl/0XbdzlY5BtuP9rUtZkr8hizvmmtUOWtdzEECtwsv4WQgqD0tBk3pW6tYMi3Ta2
FeaGJ2O62XV9moYvrM7UGBN880iLombwa4e8uftwx4okMKN4uVrZGA04yX46mo7byenML97D9mZ2
AIDm2FcuxmD2m8kPSf5N5AEPDsSGk5k4MYFlIh+nIiEL0HL52Igkh1dhFfWujwMEkCz6HksZvBSD
ScJZ13+WXqY7BKzJE3mQ+mkRkMd7xRQpLTlOdRl6V1jQ5mdCiPCxx3l7sn2s73xK+X07Cj9LWSdP
wJWRznPJhUeSCXulMiN88Zeue/Zz8qPrvku/OViKM/qI6WU0ySytU+Z2W4u8zec4V1irqyTfJxJF
WdGl8mwtsoHVP9V3kJ6cg5J9d8ZudIsIot1NVR8D5cHro0ArHUcvAM/Dhe2NzJ8DAr9HKcKdR0Hq
G1j6uYUcmJD5AzqdPkHBqOXwmrt0BidjLu/qcNAh4LtRX5nY+bRTFqC52KnCo1d03u9oNXazWrIq
vTq8VK9NkM1VQvrQtg/Cpz5OCqrJPaPDCg93ipkHHlK1T6oxe9O6bD+azDUtIjwMDlZ1s5isDskx
e+ktga0e6/aGIAGaFeiXFDYBnsP7JiFvY3jI1i3SC/uBlPfKcCxFGZi0Fx6T2bZ1lsLhXdJI0IXB
/GpYVfWCxqRgshcIOLdLTHFYdefcnwDeBj4v/iHv94pvwVipQFV/+b+uF41sGbcb1CHEmkMEiBBg
ZSCIOgEvQpXCLSS2czdq4Eu9WJ1Fw9QEHgWlJm2+CxWjFFoG+8EaSoDpBheecwyb7EsgI/iohFG1
m9hipSmqK3ckLpok3Q4OPJddY5n75li7mpNBztilsAVHCj8aRRXMUB7qM9ICr9znDjsSr2Uc678D
cGhKazqH1Z3tEleLKAzEeAznlGD/ElsESwpkROOam7RhPJjC64KjBfblhs0S7305lXvoRM5jsTjY
vo20QbKJ4heUn9dkNe92oYINdeYIa2tsOAqWpSf/lKdhsi0r6M9dTbpQkLpQm1m3s31Pey9mdSBl
To+5FAODGInxT0QrTrkT6pd0EKyOGISPx4Z1L20E099FhWQlqb3Hu8Woyz/CUjfQXMEjcuYJS7Z0
HJz70i+XN8JM+i9ZcO9kLsL44VtvPvoYGhaCW7SpPAo5BvjduNVm7tn6PpMPms+69m5xu34ptoNA
IEA3THKeD2XBUN1BWNiQPnxIh9A816bIPiktKRf9sQn+ZFmL08zm4H5rLMDSm8AZjwR1AkA0o1ER
rRw91ksaEtMFmLZ3Rkq8r4biFixL66eKjeD7uBUy37IX8KdgNcMZdRK5ncvwhH7mjsWauzwf8Xkt
tMAwpRnykZBq8Tz1U7d1TCWPKgmsB/axDRofbd8iPQeGs52rpTvMZWNvFNnoDsZZ3b6xLsgcnsfX
q8SUjLYjSLyM78TSd+2S5V+sRlibEabxnreqBI7WWxelM8ODvdZVLHXbuMajbuoQc2KRiDHY+QlP
yWlYTsBKKQyohv/YogkOdFfl0R6mX20Nv602XkxKgJszyzo4FljYoHbcrTtyhLKj1L8i6JB3EKTD
+4zc++/glzIl3JLOZzpbPBlKLtYsT9g++0WuRRu0TdERsUnwq1mcVARwiSDbYtTft7+CWCR53vBx
StyEyJk9mCw7Dymlvcc4c16ZzuwSLx6cCK+DB6QrpgRfXkXbEk/Jl/FPSsoP0jnrYA9T7F+GpBOn
jjNY8G3FazBG6A/D3OmPA4KnQzu6Haj9+cPks5C9MlhgpzDJd143o0HkiJjW7QwysqcPR4y0vNFG
g/Hhlpl713zrdyx6woQKgeYy46o3dJec11sg0TXAAyD5m8XZsCY0SGzUg5/OAyQLyykhVX8MwaVF
MbC7n7mYaLeVaF9iRa1rTKyEO83YwQOtZnbBgp73gWERreRKi9KRh9VIOpRHcpfbE6vbi7GrTQ1O
r4VsiqnXVmfW86ut6bb+ofZtiZsokdaTCkCw08rIQmLqAcRdI8Nrb+nHMm6Ti2XTFwwNfIC+1zun
GDFAl/E6nL25xh0e1POe33iHv9BGSkCtzSs2CY8sc7yPhuO/JovnEZBvVYSdxaI1W7JPxLP3rs88
5wRQ3QNrnjbvg+VlR+j9ZcTlQG3saWA9amjYLQ/D8TSNARDVzjTmTegkTOsq6qurP1MVQzIajq0f
pt+yXXgAFyyFOIIxWp7K6qX0RP4sZb88Gob0X5nX15REaVzekiJYywJp1lHhsSdxk2vc9k5TVnRU
YT91cxVSz4I8pwRSB2vRGoacE0Tt2GZsteawjd2Kl0rospy1G7lLQietIcOlkAwQKQpUyWHiSq5b
M+lVNvM7yl+BtDqsR672JDy7A1PoAK+qblS51anfP3bwx/cF1/ua0zRoRsouO0W7JkbjmiLSOTd1
Hd8F2Hp3SU2cfByFdz+5VbMfc6vCq7tkazFoaiBdeOs2ztQlneqLLh3nxZriVdXan2ntfYUs45Iu
9KZ0xY2vAaEFAQujqRd1c3Hy+ljspUzMR1ULiHhITe7KeSxOqc6fqyS0IYQNCdQy23ryW9d9RjMb
H+BnLhujGZ5im00BFsPGRyh/5r5HFHqeeJICNalui8j9Y4wp5slbynKnO6AGdkmXmYaucxorF1Qe
wTaSvsiwGYZ89AHpMlMWxo5U9GEoWn/Xw85iZbL721Gt/MwA5VCxTxGOAES+CCPhP6pVjjTxYNo1
Klu4wHDlNb2hGFYbr3BHbhaS7c9gbbcL81gHuPEBJ469MWf97eqSDOVIcj3ouxb1XH7bRTQ4SSv6
T1DEzH5bs4XWrFRnBxtbPDQC63HT5WqIWqGxwkL8SlYdo2W1YfXyGLAXuihjE2YVkjOj/yhD8YOS
Tu7wK1kHUu386YC0KvqHqNbevb10e0NR39WdRHHbJA/0fmtmB+UOz+61NoT5h0j2yNFEOWyP5UQ7
f5iPNMBe8hBiljL9iMFDZKcAoeXQqwORWvS1rJJ37VT8OB34/dxpP0mw3bPNi4tJpjUL61j+WLFR
gc3jwBAk8yiBFpEefJuM4aoOkTWtuopJFlcP/yjAhkTtQoFMBtEnGEfEM7BKdiNv5QTuiemzIqsO
SzF3105NdNTpp63kzF2bvswHgqUYpsvKffIaWfVoFO2kXY0GTGPWXrp9Mc9wjqkq0GQaae7toCiK
j3awDPmFxYcseNAqj7o3tJ7xEIDMHNkkW+Uz/lXetyqilt4sQTAjrg0VrYwWDnhsuPFToxyWg/qw
Dnd+YB9CQag5AMDaCBuuIeaQcd4P/pJ+xX7MU9EnK75qU6vOno10yRg5WuQrvyQqSLGyBCQMROxG
fPRS6pNI5h7g7TDM8msofeEcGGeTNZ175iMMaBEli5sCluR2NDY2PVGvwycreR56JiMEztOQ/UKM
C4/ZOORPfedy2nJuYH7PFnqayLRZfvRSz/9QVdF/zbUtfjDeIzJ1wx7PV8i9WVPXRTZR1u0CHhcJ
8Gx1+0zwuCdGTDcilQPVIkBF4xoY7TuN4naD+7VlhNn5dwhT6OGDt4MeB6d4Kc6eWUO9Vc2Dk6FB
LNVXYt5clN74gMFmJesKxYU86qwznlyLpQ0i4JW8Ci4kJ15xyUfcZA0VMSF0Lc17f4YnK6aerLat
9myupEyXZvBxWbgbyvBzkMOjaKZ3wCgTWeaYa0aGnuIwgdWTgex2EMxxfcOtiLyWF3qZ0myU8IgI
2Vj9I8/uiidkTpeMdeySbe6b97pDD4t0bBnK32UQSIldR0dce1gZSOD9+DgsA3cwSZl4TKXYqByf
wrrqXmSvFhagHZrUhWjOGQEGs8hPGlX4xpp8a20FCU0KXccxWV4KmQ2ptGZN8h4hYu10n6mVaTTf
3jwdl06bklW3POPimzIWbjoeumUvOfKSKKBfMGcy3M8mWxYmpY7N+VPWZ7OoxFMD2pCLFv3T1ATR
Cgb3g7CrtZtvPD96q9MpZQF0bePQep99qrYyYpRFZ8PjxfLgteX7OFrOVS5WLLe6c+ZPZab5HpvI
eHLDzntHCwSVsWGsx5VoEVGdzaF5mgrDhIDo82MgD4ZXDO1M/ODQGvqmNqUKWbL4nA6yolHBz4+f
pJH41gaGYvFCCQekom13+WxHY2mZRzc0mBfoIX8pu2bf9mrcinJ87TTQCV3LFwbIO2UF/r5glrTp
l1ZH5jzj2xWtoMedGQ+OZKTIuZK+dKz3kBhRVCYDLzSYNGb7t1rSs2qIz7vpvPPtdl0h+dh4+cgj
m0Z+tAQpHfhEbRLbGdaapA2SYFvJLZJbmxqfNIy3Zqvhj93bpHBZvBv3JfXnu1mF9FY9tzmIzG5+
4GiyWjfZvEBGVhbTVdmEw1NBVnWKGqvL9ziNqRrwhN7jSipf7AkByg7nwBBGLEdgEB99cEGVJ69J
k587H9KUxoGDBKlh5GCXxX5qQ3YDWrOvoUyX4/K4TGm1J3g26rXN0u0+yE34xNXNg2sDNX/POBW/
F6u1oopwzZOn4oE+8aQwxi8uR5jwh0uXMzYb2JPdcG4YxyK1UdIFTe0eWptVkMhDLXseucfcDXMs
sTVp0OarJJkIjC9FzZu9A/MAVJYfeWTY/WuuUcgFwRJsUm9od2NgZVzr7IPnI4BfseG4E5obFLTP
zj5RwdWrhI1rNtGaZrkCMdZZavzWwDSj1gcCn99uvONip4/k9dikCwfsoeCzLtmyeHveSs6Fbczl
1U1sfwO5VbAtuRD7FSw92ItmlSOvYbdm0ESY5eX35JywZ/kDd+e4YfWh4feDLiHY9pzSOw/eE/nl
9jYZa2LrraDdcBczBVrjs0nAmjreIxHlFAZvLb6t0PdjJHc1D4+cLfp1795kwyO7r0XSj2t6SM7a
ZA1+pXKje2fZXTxZvD6vibJ4KUmno++w1I+CqBboTNuDt+mAQOeQpUE1uAezMXO6KfmcroNclE9p
qfIdjJnurYk562rTYaA/ViTbVrOZ8R2X7MgPUVFZTJbI5WNSrZNvlxzth4CU/jDbAFsZJxLiJ6i4
qjNHRAFx98g22d2BuVnfjEfzEZc4jxxZD/x2xroJvozR+KiC+VcOvnMC8HjhBUW3nm5SVBZddkkM
q+zXfdbeKgdES9M5XBhdw2Addb+rOTxZBG71sOdl3XB9RP61GssgQSqeyhe/wUB0exANJsbHYp7A
rPo+kYElvK8GC5mqX7bftkQvRM899p3uoTHK+YAD3o/y3GBtpBsz4jNJl8ZXSbPoiVdX+pZXynpH
cwmHFzb7RhpCbuM6Xh68qi4QjfTUl/GMpLErLPOd1GX3ki82jamgRLqRLVZwSFq7iYiNyd9QLsFa
xWa+Cb1lfkJErO4rGMI4BdFAs0uo76rJVNSjLM8zfrH+USX30eRUzdHIqL5sWRR3Ypbs73UhNGae
IViaimDeakyRZxot3WFBxfmVs+jz6mgu2hVF0l4biaYP6yPGAhmytTpvU9hT/2OwNnhIRzu2Vr49
ekWU4OACSjxdeEUWXKnd9gPwb/bthDc7XCKXJ9+3BxAi1DtqPTM+JsGwpmsMySPjf3O6JM8zCO6e
PfgqmBAxdvrJmkp9dsEpiLMZVMNdN1uQX4Ux9qxkhOke7zkT9CU3L7OTBFSSXmnt0R8WG+V1ZFQs
RVcPgsIzsnP7zBYCFxHLp2lT2CPvZ956SmqGmMFSvCRtSYTEIEK16Ppk1MaLXxm/DtHO51IZzWPd
u/HWqKf0dqsFNMYm36tptMPDDM7h2Zny4RFsb73OsutIq3Vrs5j8zu6PvgjLmd5RH3ebjCDK0anT
gH2VuH/nWHn38sI5zcbtfjCW+dnJXfsIocXcFTIpL2yA5VEshvxnAOe9bUYboVc5pJQqJqcDAas9
tWEqo0bZXRIR/xCHwtfNboD78VHKhi2Rbl7s79IxuI9pZRospywIIFMh1xVcShiCVbnWHngUqTBW
gBQkGlHhfBkcqQ6l8uj73BbgHL+/U6i00dlY1rsIi5qzlq8KdmJaWlearemRNT9nS88247P607ZW
Zg5Po3Auym/0pgSCuTaSKjj2Fi2NrPoLXG7rTTwzCijXO67R4W3V2W1g7CZmBEyv2jceXWMvkB/4
zX5IKf0GdFtBPPrbNLa2k3/b5saosFNN/Zt7bEaG3o3bzqbcTRSv8hksQzmg5pT3o1+/Tj3HDkQI
lF4MhgxrZhtPJhveslFvuesh9a1DMagntun2JIYi3xyS/ZxVRSRGdv4RCHELHCcGWQE6SVVqrPC2
sV/M5q5wXJj2873b0P2eLY+JEJ9yr4Mp27qdJI+slpRisu+zT1/N7dbwZXYK/DR/spl/PYuKirFe
gBF6ZW3t/sdSm9wbGd1vgKXLLyNJ3BMlsLldAskClk71yz8Sc/+vQVT/H9m9LI+387/FBtdf3dd/
+19bJOev8vc///vxq634d/n/Bpj650f9cxMk+A8hbFp4oRf+iyz3T8CU+x9m6ApMXRZuLUCt5EP/
BXUFLEdRaZpYMyyy3Q7/6V+AKes/hG9bUIoxhvEP3v8V1PW/ZmA9ApVkDT2HiCN84+D23/8t3Oxp
YSifE31DRnk/k0n34vwvAuAtKxprI+6uQ53/bVyGtf/2U/o/bGqg3OEz/3sq1fPAGViCPhDjRb6X
/7JbIBPhLN6CKdLjTfsbu+ByeoQbFM1iAKRhmwv4nhT2lrPyU5AUk1ZTwVsrWZgjafXXFagKiZ/2
RJGqPAje62Cuj3TkAZI26eyWaykF/Vkez8HFLZoJ5ibvxa0jYmJRLdGTxRv8O0N2AJR0SF1U3VaP
Cy5Zq8lrH0ZJ4wna7ndmMqaiv7XN2DiJqAiI1jTV41wivO+kufEMEvdsM1InsvL66LBYOqwm9inP
BJ+sS8FCw9nXxq0HPmU8NYLsWYYBf188T3oHMa+8zqLe5CqDoZnpU674UUzhYi2sm5ozftA85YNH
OEoRM7Lh2/EM96XzNel6DXTmIfXD9l5UpWBgOccr20s5qZVNd5UoabbCPCZfU0IIj54YJsj/7LRJ
BooWs97rjK5wHddd8g593ZFR3rrGTfri1JEzGMHDaOjubzxhmuRuHraS9cou/OnUiE1qHtnTlG1o
oqVmxso5xmtsHSsnedR1E3Obd2eml4VN8mmFimbcBWaQHG3H5O7KYAlTHHW3YwjvPKWIn810YTIL
a0lcoOn6gPi0eZ9qQAu9mgDGylH20SJvgpal4SFMypKtd0XObVe7/XQ/ZEG3pXdRRbe73BZC2XKs
pkG9NFXg9zzhtIFvyhH1qw0Da2130BBYKh+VsWNeHdYXaTusxyZuTgFXzH0Xr4eqKSNXqxCpK8/v
vWearKMTX1le4fmTG1nFtzQ0JQtsCZq2wfzAnxsbOlmV9SsMUMMbyeiD6HUX4jge6d2ZSF1E1DPe
jQTRygOMFfJYQVVn7EQNJgwtbdoOWdabqrSWSryKmQbOZslmL157Q8VAfeoCgs+tpvFe8yg4xKWG
VAs0SZ36Puk+m8rmhZQ35juN4eQ37nz1zU8mfdRIrR78XLDi2swQcDYpa9fvPMHhkaR9KpG3Vo67
gkQ3XIhb8LcsdmKRD8rDLmK91P0k9aHvPIzaUxS7AznxdMhItSH6mTdkF+0t18X5ya4X57GyAlBU
I1SThQREQ4zlpgH4JrHp4bKUo7oOsRV+6gBxQ5vy09u4QVuT6MD6Qd3FRXLoyH75fW9NNzgs8gRc
yS+gfQobRkDrfTVpBspOsUa1tqwW2KXHKNSkaG2sX0On1lPSqfKV+V189SbHf6/6wibDhhnPWNsj
AAMZZ7B1XGvI1aavKFNqr3E3eu4J/0uiy6wqZV6u19pB8L5NkwBXh9ey2b32Jt8GcOl5yyZBb7Oz
koGuLRdVi/U2mt+zvwzDDgVH+0gvr4HDJM3iuLAuat1mO5wiOfMkcCLFaDzMaqatYuVB/gp1K8Tw
ZdKCj7zKB+BgthUIYeGU+6UxuJASZ/NnTkLbhzmU8v3gTCNTorIguxhlkVzszhc9GClB5nqprPGa
Evl45VfKiF95JT2UQCFIc732CR9CsnaVOxIIFeW1APIEI0l73kp5U/PuaM50DjNz/hiB5n9ymPMb
ZfSMaI5FNTJd1BsGad1BoiSWkwLFYDCtX4h8j53DVI6v1GDKefPvMQoMstCILNREVTTEsajXcHmG
89hBDS3MNqOVyCwbuO4Q0ksD22h/pJ0ecF30QtCBtoyKcp1y8ZQhIbkY8LVeArifUOZwfAcbYDPu
+0jH9qeRC1OFMrmVSSlbfjR08IGTsSuSRdB3a2d5sGJGd4DAnPxMLWQml9ok37XhTuvc1YMnk50u
HKxvs9HrGwHC4t3V1gCg1qTCja8RGh5KWRm3mqXtKt7qij4YTUGfaY7TwFxB5SHZksGv5Ua8cFr6
BDQHCInUgIGIQJIjYIo7C1YYhOaPwJVMVlNLoojEUsmHBMtdmA0qUhjcTryS2k+fRNnJyFv/lYK1
vBvoRx8XLn8IYrVX7L1k5gmaV/38VgYWh54M0vHMRlCAhwIO2MsCrI4rcp40zYoFL/+nrjzvacrp
3aYAL+m4cuUm+9X77d+5HyDceY5KopQM92YAs3oO0J2QiWFA4BCXfKvwCxOSC+o0ynweO9IrJOTH
asE/B3XH8HuNXQiTmcNX/kXM79yPSbzqfROC2MJF6o/E/3J2416Pm57qgBoEww0RTCV8cx/L2RwB
qgfxlylnmky912GHq70ZWzIIKRw6zmTyiw7QVnEvnwICnRbf2xQn87uzON4zx6+6TDQodmyJzR81
z+d7z5YTYSdM6x9lP4XOytKkG1fShJWIjBgkRmT3FjZxPd8sP2ytt59jL7oLecSB3e/Yvpi+JoY3
j0YUxOnyIngjfVM5xIwlmKJjkC92Nm07FQU1EwooTF37s9BaBKrQaF9EIe0eUgLas6+p2+AmqtH3
wEPLi3tWwf0P0SfJXxgxZYIxvKGnAx4n4AeXJQtIEfBDtntYJpd0Xi3j4H0mUvLF0yW9UlwlE8cW
8SsIGH27FOu6UwSOV43O/QcTBEQTUbO7E4VeRbIB/pZLY7MX68kpNG8Cyp5JG9lXY4fxuR7qN5Ih
9I8wfZOit+ooLfWcbLkYwFbrO8MfjnPietTsTjJGDawQLypjDKUqmchhlvwkrH9QGHtlQL0r7eC7
sf8ne2e24ziSZulX6QdoJrjTCPSVdrnk+xp+Q/gSzn03o5F8+vmoyulK1Ew3poCZi2n0TQKRmR6h
kChbzn/Od6RzqhJfwDyjxoLGuxpeGn4P/6xc6xcs3vY5HyE7wn0KC2I3PGbb0O7xmVo2hwSGnoH8
AROBjaVVAT04buqJB9Px42inhoUgKfAS9JsEvgrfTgfEH25BbHrcOEuF41NkYLNAiBn1SQ2u+6pl
yxNVYsHhIESlDSY7tr0OzijuP5DklKXJ0frpciaarNNF/JZ2tNmuDeWOt/4FiGlO5bBNUgKvK/wH
FDhDu5yu0jY1PqO0U5DZ8ZXTC0BoYk2ho3x3WhyZK/qvjffY8Gt/7fRThhHPYRUIL7xUC1vSYyUa
PIDx0HA2ca1ZP+ucJOt6umA8p4jBwYpHAJk/hygQX9Pf5TyYFwBooX1goOlctB0mczxa0reDb3I+
TBddJk50jm+6tgnXzkIRxVubvOrRXjx8Mye2LkqAJOExWw3m1OHZoVBzTQoOApwETTpZMErphquo
RUQKNKhCDWexiqUod26KRZOYEamFueEPW+im1GsymvMhnpb4Z8kRTZsyHatDDMWRVodMuMBfDGOr
y0rs7L4rtkEYuWy5Q3QHegU1L0Ar3Ymu/Apn23rlSXR+dNpnW1gZDt8werbvAnAc9DmOmuREVgQP
szWl9daUYfJoTBZNWkrz/vGleBldzXJVUENU7UWfTa+RK/qn/gJ7TWdvnDYKgKu1sqZG/aDrqS83
QeFewdQDWlk7kUm2ldvNjyPw8K5nbtfYYKFhr+redhGHwTJgH6TRILZ5Cpni6irZWGrSP6nBDKiZ
W9hlM4vKqqmiRgGNWui1URUzN4zAldoH5TqjAGU/TlcuDyKH3oV9CwQFPEmeEHbwXFQrtrGqLW5K
TvPlBjzfYB69rui2seWnj1C9qBSfZsbEAXYDHJszFfIt+Tlt08xehxlRZq9V2lxR3YdNsogG9vsp
xUQWJH74VEfD7BAkoydpxUZZtIS9INBBg2xh8MUMbfFKNi0nJMOdeGsDt8ZjBruGXG5ObjxvzBPJ
oWTYyr4KewZbffE6KRH22GRV8hs4JiPl9oIdroySI6IFtlauYm3XL6Zyiifdm+LbxqV40NM0Nkci
X9Vbxc24xsvcZR8ZI0VzxzXWu6XNdIJOZFAVRyGnCQA5XljIYRVOmI0raM6bQUeQXITLaINtuG7v
sbxQoCFLHkPGovho4GlxzemXxg07SFvrVIiliGPqXPMpqDqHoW7xu5qXwg6QMiTiOmsp8hhKI4sP
3lLy4Xfaoyd+4AiZSB2Kq7QU5lXUYRtgWfbyo8y87o4eSwRXGEg4yF3on6thbLJ9Cnb6qMVibzXq
7Bvt1+xQjlPrxC3Zu8cSeoJ7aa50Wx9L255vxiTHkuqXG8nla1s7GmHHLfZpzWwKJIy90rZ/2/MF
uE2hCeB3kcDuClz0dcDxowN3TPlhIHPS5QDbMXNkGwJSiqoMbZLhoZ+N/snqHjNReVdOHdk1i1Mj
Xuupi/hjJrc419AZwaJwFwmmBTU4Zj49a15PdVtxIJRhrTPOl3Gf67vK78wXsyqhqrkmenvZ9a8V
jri1TAEmDgC3t2GTTTsPhFWQGKOGiaN8PMhjeGR+TcWDxjUKABok5yaMWgCRVq6ZP6Ri3ppdUd3g
cguv5gH307qOQhyULN6/RR/sWxxyP7jA87t4QBGUQxX+qo1BXAVMz97s1o+/BRvoOuANIq5e87+4
imlhk0bYtfgdc+Nu9p0gQBVvmIsNSd88lZ00D1ADserpcGJ0XybMoSK6VYfQaA6BnwzPSJf5e6So
8GRUMRk/gwqq/t3JuQYtCMrB3lURrSt7CjA1TALXHjdyCWUcU9UU31QSdueJkEm6GpKQDSwbLZPT
QANcZlcMnCbzTIT3AENEtrNESwmspwfuOGbDlEUx6I+4ZnJS2OTLnoltFCaW0xA4weTk6HzDGam/
ai7LjuSl/ZK+y0CLZCWcsRF0TsTyb8/ewSu5JhDzd/Bp2zUNN+smUFgPnMry3yV2vd+NB7Ft49ph
Pm1EL8JjOIRjeCBGRm8N9mAO0dop/N+C6uVNipJz6nWvb8BIwIAzzYSDqbIyTFylSwrVjdsUE7Nb
H6RynAdXmgPgf2GyJEYCpwTtpDGRyqZn/pSWweTtU4TsBkIQMFzY47Z5BqXFRF4uaFcpkm7a1cYo
v5Czhdz/P1E+r9Ovjsj6j/y3RVP9AlvWpegVl1Kmv//q/yt9lNj6X5S//1Uf/d19FP8gjl5+5E9x
lEKOEA9qaJk0B/uBhf747+Io6zF1Q76F1wHSBPHr/ymO2n8EJrcXAvOOCOD2/73xSvxB2tVEHF2w
NiHkmX+qds32F0LNX0VKyuDoAPBMGyUWrc9fRMy/yKNUCBk6z61860QSobKGYa9qv0jXkFHVucrQ
rzBR2SefqMgB07M8AuLMcXCXYXPNOEy+upqTJFD6JHvzGzYGHvSqPhZLq+0qFDkp7RZBaxcz47w1
E+mL4+D7GviX19Zf7uypU1+h710p00deUHWqhl2MlyRdu3NCjY9kJcTnnzYZvhJucAwrivi7ajyv
ZJoMan0jnKzDUlk4SUvN7ThWJ4269myyYBN35rJw9mYzOs09Ob0rkZj+aztr+zUKbAFk3dC39SyZ
fg+LxEf8Or4a4O4sU+OETnZRqPDKtihbJelcjSsMFilaGY7C4QqmLGwAfDhg5f0psR/NikvULqdp
qCChMWM1y2MLiVZ7ZkDOMk/G6DYJejUTe5gVuYfS9YkRtbrQt/5A1PpM3FH2HEXdrlg3de4GK24k
I6EujhFE2bCp/bSU9J5tZaT91kyn7lxPmekRpe5hU/uA6Lg86Gzi6GWXDrZwO012nLYKua5SuUyA
Q4Mbpw/g7is36rk5TpYqKBTqc/4AN/bFm8mZ8zY3ovDAJ+M+cZUYqEiPphuu8uGdTUsavtsw68Zt
35v1s+04CtcwLSPRHjx9foVDHt+MO3TjCyPX4B6Vzv9iWXPSrfIxVq24kvLWCKIUXMczv9gqr7df
W5WqVw4G7rDThUvOUpighDF0Be0pK1X1yOgaa2YmWvqLGk7o+uiOkj6TqIy5uF0WTu+yiKplPc2W
ldVb1tj+stwOy8rLzsIiTGIL7TjHiHuTLat0uKzXUO393+5lEY9mjxMSGg2Lex/N4ZHkSTZt2svy
r5adwF32BGbUbA+lb8IqpVcGZ59/2UL0ZTuZLlvLdNlm1GXLUcvu0142Ii5y/VUv5jFHm1q2KkLl
bFuEm9SPf9nM2JGqCPPQsslhLKCFwl72vuiyDZpOFd2Xy95oX7ZJJDe+g/qyfTLjWLB5NrtqC9Lz
W122WkQszFKRp7oNCiKayAongKBa1JHlYximhEO5fYBFZKZtc9XheJi9NHN4AyFi3ML01gEWej8E
IGsjG9ASi+Mv0NnB7M3spbI1cTkaF7ZB6s7nOOwLrsxs/O1oRyDIcx3oawjq0lrax+qXTjsbIi3O
wcIMxDzbkU125ZIoeoyTbCuLfhqosUGzOJbd4tekmPnaVJiB2OYqeqvBeCew/XHQNJ8OHtCzPVhY
dZgw0IRu2FE+vXiuaA0u69NAEtOZRj/fDQobHNe+IUN/LLOchiyjTR60qvzPvGDCv+FgTjRNT0U1
36Z5YcHR4yujdqHXwJzl1EoaZxWG0hFHP6TxGX8Tp8prwzCyFzlJjEytIz1OKCN3hWzlJbYK4KgC
aBYUaCWo8XEe0EhrtO1HPTanql9CWxTHj2gW5O+wHDSecteBR/Q+Xf2rRwmZqRrVbvNybO56e5B7
q2nyv3Fi/m+PNf/rbe40Rv6nw8/rj+9k+viXu+7j+3ef/JWGZ/3tR/+2yQv7D+EJl92dfZSlXACg
+fdN3rQcWG2wkGzGgX/f4236uJbjgAhdCEfs9byQPwegtvWHCU+OnZn8BFCb8J8agFqUZP7DJu+D
OfCRGhmDBq7peAuQ5S+bfGoZ4Tjnc78bC5W4G7ND+SVRmdzy3JoviSetV9HGgOW7OSjO6QXKLSoM
L0Kn2SN5+/S2QwBHitKTS9wZpvd8wXtHAMD9M7cBlbzQmQkC3Fho4EOUMb5obHszGg4lIWbx0HLV
fw682gOzo4bbpjJfkGBGYl6Vfkq9pnyK56r6Vl7g3AKJzA426yJTmDkBAlOquzIf6ZfhEAXEnGgt
QHNMvLDN7Ql//QV4Xkk0WfCCGv+HEtN9CCIARFhKjyUbdftQjQtAfbjA1BcT/WNzQayTeh8eywt4
fXY1wxhw58u06gJnxxRElMpZmO2GIcC3T23F2M+5YN3pQwlDOuRtyGUTt5rufoLC/e12bp3u4xC7
C4k3OPEEf8ZP4LbA4+0OV/ZWBmwYRETBy6cLsXhj+At23rsg6Gci3D9ycb9z8y3b9wKd9qn27XLl
LAR7WLDeXgO1TzjNGVfNBXVfF8L/5CTuDkfH50i+aqOuxT2bLJD8ZISXj9mPKOMFos8OgjLIuvJE
ri39pRbavlq4+6PZBzflBcbfC2yb0QXR75WNBrgDt3+p2KFnyYPmz7tCMlp6oBWLvsW3CMN6PmDC
0esYXsLZuRQDzDwcD1lGchAbYmVeGR0bTm0U9lpeigWA9XLPg5eYrhtVdiu4t8kGGc9HLyDHSXeh
ZnzdZPHZrfIvgnFQWqs2jzdpWTMnXboNxNJy0DPOXZkFf29kdKDylyaEeClFwAdNL8ZSlBAXpXh1
u6U9wbo0KSQNejgjOWh2avx0rNpkfrVUL4zYfsKljoGCN5oZ5FLS4NPW0Fx6G6ouOXseVQ4BIeRf
XVek1zEaHaavaU72rQwEtzubySepg+KNI5CiBcn2sMT4aTzSk+LCbGZOT5Z0XcB6RawCyNFc9ZVj
YG+fGaNREtOfdTRQ3FZVDwLs3DatLbfdu5kkN+OET4XrDr86F3Ox2aBirEMtvGQNTo4ZPrwi4RxM
XP0fHtOh5FUxH6Xxe0zw36JIk3sZOTrpoxlIRnRazURl6tJMq6NlCxIsDaU1b71ORxzeVizrXc1k
YzzTsGqEmyTXrcZyZzvJzs197Hecn63bHr99wECt8385c9DRXwuN14j2dEi6ry52JePGc/uk29Ht
lajduPgmNu7Q29M695GDd3oa8Rll5GNymi4qguEr4oDVCJ4IL/N1NCBira02M7FZhvxfD4nQ+YCu
E1lwdHm6qL0MinzcRTElUetUow6sq2lh1ZC94IadpPLJzArviEslbh/zvp7wwGL1y37rYWpAJNdE
pxz2+Wo1QQcDT57g9XLrLIceIMOOC1LUNdilWnpnYo8qKx6kGR2kx5JfkJixomEDAfenCzFFlb6j
obFnTd4feTKRR5uUUZwFBfseNbe6qYBBffvGWNkH8GlheqVcr/vEC9gZ0MEZQaLJcOzH+ZCySIz2
M7AH67l1S6QxM7fcXZG7qHEm1KB1IpqAIwNC/HoGx2Vv4MFnTF+TOcFmy7EEg2Km2pq8yoIvT5uI
Ct/EYaJajHnVYTPr9K9hqAR0JK96rYNs4lzu6YlRlp1fIQlijkBpGLesQ7GxGQn/HXxL6ushbMO7
yGA2tRZZgiPB8Md7ogLT2k0q+wGyAPF0jUcD30UV18eIiUuPi4AkjdVO6UlKDdAF8MWTVdnOa8mY
dGd1CMtzFfoIoRqhtGSLLIEam+bnGA8Fdgp7zGgnM+IZtWRWe3NS4bmppbGumBgwf6hLhcehaoDQ
1OqD+dn4jjvEfekhfRx9NWQ7sxuiB3bLVOxbK+ifaisbP1tEqW8cHvpJd6XeDV71SEKjG5Eig7Df
JkP9mDEMoa0Mg8lV26L87rnExwerbJ1NyRR3P1RU5a49V5JxJEDGzUsUS2UdEa9fMTVa7UYxQz3l
/iR+QnwUZLFrWlCi0DxkUsLqCkocHDXXdc1wWDnbYoCRzxSvPpRkgLcU8uobr28dHECQBbLdBIOL
xTVGm6pT46yizCFJVMVWc55Kh2BP3831c1voIsBTUS6WlaEB7Oiq4ZTnSQw9MxAuXY4mjBa4E+79
oCbnOmvz8LbqcpupEH1KbM3deSbB+ysbmNKv9Dg2V82Yx6eSBBGvZWKh8pyxeyhTm19LdwhveS3y
vdSh+ZJbPUoxfLL5wQ44X6fe1MhN5Ac7kGe/fWEXz5grs62OKAa64dOrfpngGDajJ4191klvX2MV
3RA3/MYmMt8ljGFuOLkQ8gyrkskgIkUbGinhkJp6pMpShMXDeuD7FuD7tszUvzeb5YZUqnC6t5Qx
N48VgOwr2627d5ueDYQ3F7D1KqrbUmw0qjFNAX4vPyG4uvg3GlCCBY2IR7oH8rdax3F8O7mSCYGZ
udUnwXz5FTmLYZJaT9SAvo8mZj4owNmOfEzwGMJwr1hfiuCqEVisVngD+OeUeAZezZiA1co0goA6
3jqt1p5Nh80qj6R372YUX5GwZWXmw7VeMPZUciuZnNdAPNBAGg5miLjemO6nWcsfrw65S+QDvzad
RP14uP+PhfaaswYruISzmvu8pnwAf8PUktUohuy5qNpqn7Rlf0oTyCemT1lc2AX8RtzXCkZRBZjh
0O/ZbJDIqfAK8oFXOCT8xyV3Ex66rOyZiE7O/NGGhNe2Fy5LOhnRl+zHAMtJP1TYvAV1Qit6EpCp
LcPrQAllXOdtfrwCwtdUzE+DvrptiVs+cDAFCZTGNsmRVMSYhVSBuYHfExhXmNXvYa5Kvm9OpXfc
tlMLuWMg9Oa1zULe8GOCdbgb8Vt5JzeKog8HziNF2OS1OeCRAYvr1vKIJDOyCHhJ25g1ExCSMOtX
KeL2azZr0vdOHVD3nHgD0H7EMfDs07gYGCrYkorX1nUw2GqRDim1ASnNg+0cO1vbjes7Vv1p05F6
nQ8cduoG20sUPwNSXdYdYJRub2Pw98uQTEAXYZrY0F9AFsgZp/Zd0EdG1M0I59sOegX4MjWqDylr
bxtQDFCvS3h+t05qdy5p8tLKwSy4pskgPRivJdQRd92juz/HswyfcMTnAtJdiLsQouUBpHKFCh6M
7psZekPymI8qvKNeDL88C4zAAmewfSzOGIwf7Mx3FTCmq6SoI5KzpRQHB6iVxFCdcCeOec8OZhrC
O5LSJT9idcE96TtSaaLS9qPPrrNp/FiRM5bpozPZ4k5PMee2BLfAPa3z3rAzw9nrOZIY5sTJfqDJ
shti/3HwIXiSyKeeBLvvdOs5bf6F5OM8tDDm2ImcOsbbhctu6w3wB1jxAEYWPWnVSWS/GdmQbywT
7xk5p7Z2vWn4D6bS/ns9Y4RYh4lD03ZrdzmTR8wwCaCUX3kwzHel2RmftSizR5NMUXqye1meKpD+
PzQbp815xhkfrebeK78dlKgXzP3ToZipCg4YgqUbN0jMbG0GQ1btfNT5pVGEVejQtqV/mHDYPPvx
VAzboqd9xpSePJVJF66DKTVxeHmNs7XIyUJStokmmHmpQRQUw/Q6C7RawqV0hgRYRgIU0XTcEXpp
zhRUBtha47Tb6ipOT9Q7mkfSH2+jCVomiut0M6eT4oXY7XtUk6lma2quxgRFA3wmK48bu/cpYs/W
m+w4XqUTgV9zKaBwjOTFzi2xcjtGizyFKFJ9+FPDU+x9pzuOQIa2rZDFzjWScS9oUdxH2DV/R1i6
bjGtsv5NIcV13cjt0JDuvi5lQkAmcd0NMXL/BmpmfTeSlzy2WdPvrMmoDuDx8lMbB+pL57K5D4wp
EihzHI2YT9ZPDE3inc9Y66CLMH7nONMz800e0oqluVe80GkmBaRRkFbBUEenxhvSfQPjCD6A6s/Y
JtipDVImOtVf3B7kEXpQToie7oftUGn5nbcoTttMF+IIPke8E6q3CAa0vrzSPCAwv6aO3K8tOSzm
4NT7fPiYRfs9N5BFVoUbLdspt7EmqaKjP3Uddit7Bh4Sx7uBUgOGOzgarsOUQG4SXELcBpWzMepZ
Go3+vYRlK9btOHYnv83l2WwSNFtwkSS3vM689WaPdICR+Wenjp547O99Nz4No3pxZu1i6MkRsb2C
6soc3xMVOOGKjxOjQx5nXNzmLLlODAl3IaMC6AX3EJaj2A/X3D4RwcOqffZNOX6kTT7e+bNNEYfp
y+x6mv3gQOuhe6wjMkd7c+xdljdGXVCszNu86btbypyafdTLg7KcjhOgqiruaY5659QZravc8976
qR4+m7m/LpOiPfVFVm5ay6SzK4X1/Yk/x/yMOW5A4Rrr3QQg/JqD3nwasNMs2q16LBP+bMBLHpZf
W+3aIgZm6HaGdyzn0r6p/UA/ERcdNgjcErtGYchfjDO9K2nZFDaWitHZ5ACGgxS1K8JgPHlhpB+j
mNCpKaS5065gd/N9ClUMy6dNsl2I6YAzhs3QDTMg01ncFTyN7ZbGI/o7ayo9tq3RgmKrc1XhnbUD
yRYO9YoArBtwGzYon8NDYJWbxFDDT1DgX30K4pFUj2VXFTcTCdZKspt8d7ahnXUOjuGQzWn1ToUv
8oRybIypBDyb+I4uLvMlSoea43de3jHAtN/txPBvIdFYJPaMGpeLWxD1bvgcjorbzc6H52muAjKK
LzSVaw9PI+2Tjwwbq+oAv09s6YuSzVYU7fw2JI13DFCAjqPqbe4LpKbusAjZ/mERSD5izwAYkYPe
WLnDCJbKgWVdrsmeG49WT7xY6sFds780j/SByQ+bHOPK6K3yYHvpOyVKycnpewnaSlHzbmp0Fu51
BQ7UqPae2mCSDCJmx76Ox8nqGbR20IDs3p4DitGJ7ewcitfBqizGmpesTW1z37BrOhh0iuXISK5F
N7sUHARvhAwVxvQeP/cqgy3z05ijuhGzG72aY0lUL6HCGTOLDLI3+p+6KxScCsU2a3Hg2Bj0r6hs
c8onHcn5ET178M/lmMj+VCdjPm7mZCq3qTZghqBK7KUT/ArLtgy3Lde3vYM4RxhwTuFOOBaNxFw6
u/ewYsfaaY3+n8fQQLmaGU+NgFFj+HO/5ghJOZuqh3e+cml3w5Lvu6dWldktcHr3q8iUeEWZwXHE
fsRJuvH2VV40N17YtF9uF5NCT5lwnMdWWTsrTIpvEvIG7BVQ5MRbkw6TtzXjxFlRwAxEweoQDJig
251c+432rA3WZX2d5SjtXAtVjB5RYLVbCdywGGX6SulV08SM/pwe08WJeCVDntQd+br3FM4T7qT2
xTn03MSyHZNsUewJJ5qbLvckif2uUW/wGZejcl+DaEoBBj3lyIFLHVWhbiuuL/zbsmNxB2sZ+yv2
6dy/apnYf8RGD8dZJTFRCewxnHDYoqYAu8yKedF4pcNmUfet5pXkm3gjbM4QD0uOcVeLwpnwwWCL
WmucaTvg7xxhU/gNR07iYInmhkknwN6e613Vmu26yWSDeywR8bvbTs2+8pV/gxtCuFy6SmHsSAYH
Gy8V3peP/mFsMrvIT1QW5sCYOfO8Zb1BsNjywUplre/clfSoHIoSNwBPsFM8VASKDzpy8LMlHXeP
tR3GsuAj8auzlS1ul74t+ZKUpOCIeJZ11+4juzQGnAcyKpsjDcmR2qrSyvb5EEAYjIpo/MXElfQa
Hqf+RU1YyNY+plD+1sFiB7VzSSEDbDkEtAH73wf1EdaTCASeJlcKn3NCHjsnvx+w9zDGzT5sJpjo
FuloWDsSk6axLgcSNFdhoObXrFJL2LbMfAHiagw8a+WaI3ZCjM77srL9KwSRIN1VwqmIaJjFNxEE
+xoLE4PSIr+M1PoA9GuqYvnShl722moTOLSaIlz1ehYYCXMjwFmItd/CmsejQu4xmquV7ETLrHSI
w6cy7bjNjzbLz+Rb2Wc0aQaryqaT4cw6AT0G/1TDA5p7pXUUI+iRfSzCwTnpclAz/e9j8NUxL3su
fDvhMpYCvVnlNpLeKpUBBAN64WijqCcj3+YgPwgq1JYTf4wBtI3R7tBKGZKKmwwIIhlL1k8W7Cxu
id2x/s+bvMICs/EqiTeETDCCjZ8oGumGdGhuwCmOsM6wxv3yoyzazEGrfvFN6uxzZ0I2iUllqnNj
2jjeKZF0wg2VS/F3hLs92Y22yjjsRRRordmWWFfGaizK58wZ3Ks5rGd7ZSrZwlVjm3SJhIY0U/nk
Awx7SXwPjTmdp8pgqMst0ogX4hm4YfLkxQLiTOd7/EB5Q6deCzotzsN+09JCo7ZD6kbXejQive5k
Nm9bM2PSrBldsaCaoQQMxNo5rLDPExPVpjpP2oNEYFBEPUMDBi27TjsTMakPqP5YzUkobvpZcrov
2Nm4gmGx31AMjUlBADP1iaXGuAxMHSMWTTUvODbGProGgOxFu6K04McZ4qETgYXymOH5d2HDjKS+
M0llHy2KBTy4poN1w7JJeZ1sjfuYq4Z4sdN52sY+aUfYmFSZC22BfOZa76Y/LpPO94IDmbfNUrLv
qLhuxXsMUjfRQfqQk5I5gCpJhl2Sj8FLg8/pNE9D/JKVCSdp/K7ZXdEWb43hRNs6DYL8mLGJbCNl
Ywxs5RBt1BhVHwx0jO86baanjIJkY5PUWMFXpGbkdCrYCoEriqKEFgUK+ICJAC0bYsEXh7nu08xE
+TwDWwRFTJgJ45yRXBkWw6a1rJe/kYyUs3J8H6daQhOoZdBmh2rh7EYEhROSjks9q6fuenOyF/Nm
7dB7F+j54PDgPshWNw/RzAQ6ubSQJkshadcu3aQS99FTTiBuPCUt5aXzpcd01kunaQmgClmm6ek6
jdyl91RcOlCTSx9qRDtndoPYQE/qPFt0pjYE+vxDP1IpdYWaST1MmlOxKqfkMWkhA6IkTh8mPayO
QSFrYwIPh6xESysDGYzjZLDfOJONQOHzLPEf6aJGtLj0vKadHz919GY8cRYlN2FeOmFNRlEGx7a2
ffUDs/4JbU7OTF7QAdaiN8vfdp/RMovjpNhU/ojYj2uBIs2lkHaB/RWcKDt6av/bfPV/UlTmYG9i
Yvof15Q9fZRp8S83H9/qr7PZP3/sz9ms+Yfj0e0k7NAToXCXWqQ/Z7P+HzYDW6asjonqz+zw7wYs
5w8qOELmtg5FYlSVkd38czgrmM16Nj/lYjzhsTP/KQPWP6ZTA6iGS0WL7fGn2ab9D80lHUKL8kca
SNO4ubMi3M+50b6XLkHFbpbckvMrtx/ng+qZ2f3lnfrfBFR9Z/nN/+r9AroX+F5o8544TI39ZWz8
l7Ewuzfg/4DGP6sw0KcWvcxY/DTd2HPBx0wJQySzCSgOyV6Bn0FdsMwvpipEFRquh9sEqYddivnm
zeAJmAnz6J04zTIt8FLnqu0AtKZdH147aS82qiP8T9MDrkZaQ5sN45TgniO4l183JWje1vefYMYh
gNCwdYPSi1w2j0yXXFiuJm71/jpOS6BCaS4B6sh5t5R4Azug0fgmoKD+yTJbTgUNwvc98Sf7bIve
eAoIgqzBXoa32uEovESRr+PcrPYpN/fnLCUNhzubMxZX11VS+GrPmcE7hayk+6VkFSKU60Ll7wyD
GwBqV35wAw4Rgdf6/aYzUqWPXPZq59RiJ6EKMnCifZxiMemoGSYFRRr/XRAX4RbHTPwBuyAZGbi1
C0nM4F3rnekwDVl/lnFnQIcDzH/P5XegZngyf8HW7Mn4ekY1rZk38aPYlvQbCnQCSIg7z2Pl9K8M
cD2ETXvJVciTqNxTSL3pgVwqNVOdSPdZa7z7ygyx0bijT6sn471CoZCs8jyj/tHPnBHQSzmON6pp
Zz6sPD8NYmTWiwlvb2PWUuusFfW5og/vmBRQSh3gz0/gtjOqWzRT2U7N7JDC2M6Kj7u3cvMDzz35
4arpaQ4JynGfG+Et3Wf6HEL92+VN11w7Ro6+H9AG5umEm5/Ri4PFQZw4jAiJ7EhlnScGes2aA1iw
ZgISNbvGKPj4ISHvQsU8Iw4E8V3DDncDFe8bX6r+FaO6eAW0ZV43EBm7MfZOwmq5FC7PuYxTGCOE
16+dqQufBr9OV0mp5Ebjtt06iBlIhmFDkK6lxZVPsH8KbKjsK8/r8kcR96G1GTyclYjwQBeTDQQO
SDJ9n+r3TCjH2jXMNcgcMOkFtN9Tz7tNLO3lO3eeySc62sbmVqbpfCOqwPms3EiS7qlI/gSZBI4A
z+VRO1HwmyF69xjoPnyWsgfyOyXKeOfYMZ5TAN9PTk6SdTPWYxvcuFDMyy2B4LrbRIMXMUszjHaP
vzQD72qmyHlj3jKGk3msP5tpBA06ZLZ9zjowRO9C9NN+DrwJ0A0+a77XfvbZj11xpzFLbehIL576
1PaQjttjX6XegYLOn1ly02JKpumbdpizk9b9phYtO0yxl163OZ1JFDuTXo0aDuhx6ww3fpg0J9NL
4RKr0ZLPvrbDryxyoqNR+/NmKeBZV71G7oz70jvkJjiyDZH4/nqmOBrKdAVTNSpa9AJt3Zj17H1E
81DtmDClPzbxMLRPXXGXGsQj9VbWB+2G/p2lmBVGScRbOIr+GX5GvS8GAthyjMu3JPPaF6QT55n2
AfeY9MhkTTORkKYoCFuDUrneN31fAGKpCoLpWLGt7gslo4pPidPFPY6yQrjPdp3WZE35ybduZgIO
DvknihzEMhcr17y1Eq+eD7Y2Zo7DkNCYqSIvTAlDT/B9DJ8yhX1yHZsYBVekdKghQbTvNmM2pB88
aSPIIaJ/LEiMhkEUc7Xf0qGNXzEB7Yjw3QCr3mDJLLcKbTg8ywaA9OxwXNy1LuCbhecqmMQK690z
vPCOrNBwbM0geu0dDK2bzBg0F9dKp8Y2iqgR+R/sncmO5EiWZX+lUXsGKJy5qI3Ok82zbwhzNwvO
g1AonL6+DzWiC5HR1dEooDcNFJCLTCDd1ExVScq7795zz3AQo0/O3ssOsQuHM3uAgXRm1flHklZp
tKFCCCg4gVB24jZTYxSTZK6ysbnt2kRZJ1qFQ5oCpo8JOq8F24Y3BniO8VTR7fcNO6w/qrlOtoNv
kXQztWadP/VTJzfeVFbvfPnJ95Qzfsc1Iz5iI5sx5i3tSqY7OZBDWUNqX8a7DrQj9tdGfIxNTxim
o1tjVyZmReJby+7DqAblQAtpnDe0SfNdpphPTDlbv1INec925nATdnO7MzFh3NEaEH4pnM+3pqSE
fG9jL63YiM4R48oc1fspHsnu8n9Lz5KwYA0gxrefwR6AehwcLvpV7UBOm7KWX6DM5zxmuT8PCNIC
JQEzIOaYVa5yMOCzdrhfsH6i2aPO4Uyi1rsakjTO63EXXEP8pVdjISTJofA8k/Ln0RPFG2zO5GDr
hQOQL0SAfGED8JExGS+8ACcvcG8sDIEUKStcmQtZAPQicnyB0tSBXCgrkPhKI/5zOTQLmUAsjAKm
AdodwxJLVtajz4uFZhBLi17IqR24m87JmTaegQy4xprpB4R31vQRUOgTLowEqiHAJQxIbQbC4GAu
FzoWnrlrrW1M698XPgO+t3rC4MCZO1S/t5MZ3M1XOAOaM/PWFdkQLvSG0qG/h8VcR7tSvbc7b7xP
BhE+zvkQvwosBqt6MfVGrYlK0STQ4cj8u+tkQUeoJE7ulL/wJKwFLVEskIl+wU0kV/IEgC3iSWKx
S2E6xrFmY8a4CebkQhUywP2eB7KWau+YNVQL30qe+wV0gT7UIhg6EOGsKwiDtuRb50rHGHwjfRwx
poBz6sxzAh4PhiotF3XxSFsrqPR6Fog7OMAW+AYH2F94jN0NK9q7fAF0lAuqw8kaXo9/6O2gCPmn
rh6AemC7wRHcYMBZAF6MpxW7tISk28pTggb4/EoIqT1aS5l0sHOHzkCsjy8V5yAOQr+XC2IERii0
kWABj3hWBoOEYQweydDzCx2tpCRlbUFTRYzT7TcmVxIlTpB2v6g1JWdSXjMnPaaQg78EUfJrJkVi
BCGfcs2qFPgnoDUTjB2OVeo1/Ghw9x15y8XJ7UyI/VM36zVZO6zefrzYvpvFAd4tXvABRWHrXw3i
y1HFW3VX4zgZCyfdZoufHG3Of3DaaHiFlISKJfs0P8WB3ZDJtzh9bdvFmy7jUo1bcbWsl1PIglM1
822O/+PQLt52CmhDnBZWhpMX5zsdP5jgx6shnmYNwngRNCssJXRq8OFxA2+ocCjYgUg3b7/Dq7m+
vxrt6UmankAMLPZ7NVowdK+2fBM7wEUbYaK2U1zXl2Rx8HdXM398NfbzuWDyxxyM+CGu5v+0H1xa
qq6hgOoaEGhjg7AA2ch+3joxK7C7GDt9taHtjU+9uQYNsmvoIOdA7O7cJYvQX2MJGnyHuc16y+pP
kEr7YEeejEMHdUMn3ftFwLHHHDkBU3hCFNTBvR9lSINET4JnrFPWG0tM742LOutPguJILB8EKuZr
tqJfYhYT4MLqjL86kYS9sIeRGlwYrUEathxZG2zOc1UYn5ie03EDT9inZ8LkGLUdLBBNa4vJod+R
KUeW5DMhCZIQNngrsCW8tqxH0wuDP6kRtxviY1G3dJq00vg2BUUk+TVlYvJUOU7jwK24XmIo9rAk
UtIlnMKn3dyQKQbpOi/hFZA8jCCqsM6zQyo7dKPuAgsaycm9Zl/407cTvwRkOM8ZbxvQo8nGT0ha
kzsAmrFpQuk+A1WUyEX/PI+Jv0dxmDJprMbyS3QwEI7DOPrXcayydKeL1EEGYgF2BCdMj1X1JEXz
boflk+VWPFj9JNxwyPxBodz88M+v/3dc0fLynmkGDqc7E5vA35JAeaSsMh+MbttGSq6wyFQX3vzi
/M+vcp1o/2Xo5GUWTJQtTF7HvXqV/zJ0TmruLXq+UAvjjpmw1w2mSMM2goOTzOSvMXCUmIfDKvmC
3WdYUExIBa9EXwzvYpxcVp+0m3lN2T3muONulrds7TmmdWsMzfRuWQwK4IfjCs9b5nf3tunV0X/7
5f9Afj1PDcivz68yrTap6tr0V/dXYYXoWUgU7f+sx9x9pSr5/E/+yZ9ajP+bw1eMjYpnLrZ2h+/Y
H1pMIH5z+NKBBKMEi05FD6HkzzCcZYEDc13c8L5JxwCl8f+hxQj/Nzz15KWdUISObbvhv12ThvF3
/acAov72v/8HEeR7HFSd+vd/872/CyLgGAIR2AR2AlZx3t+JXXTGy8CpERYaTghUJJQux31M6uZN
4jN4tL4Kd7oREWciF/nDKsroIjzKUqNilGfoBJB0R7OEqmTDsCYKDSfastgJwVgf/HZvVRwrRpEm
/oozzbiNsXGBf2UzeWL9Id8pEys2GhD6MbWL5FDmGR1NZQ+YROnFNhJXdyn1FN1Kxl0fcmpwuGeW
7CQSgDsOWzjLadvqaAWFc07HFHYsw7FCVraNm4HODG7QkKo5g4aj8c2Br6VwhTPUT+7U+JDNgeW6
m6WnWoeLVy6f60vg2t4b+XQqz3GucGRc2F20oaRtD1/K1vEGc0v2ysj6McxmepO26XPUzvPajcse
9q7XfsIPSs6ORdAmarsFouEUN2aaWfuxN0iw+QuXibKaYz8ZyzHRPHb4aXdAqudtyFu3FXGWsCIA
do1penhsK5wWtHVRzDoWZwv8I1Ni/mWBkYKdUqeP7PazYyWQtSDoTj8o+fUuCQFADlImwfl16uUQ
ALLAtk95nULkUaaN809paB608LnB2UAdaDgPGU66KgohcNeNAxuVMvGDFxHP5r0HwPkx7IsiPOIb
sBS+h1je5bi2MJaR/f6s/WSQRwjn+kyJNztzkz7AO7xE7OJLCRSSkTnzmzOTSoEuxADHHsZ3dAF8
Pg7vVQ+pa+11vhPsKs6gJ46u2TpqyGaRegpkSloN8WDnOawmYfhneGeUBdjZyH4YvbZ2kYJAXrH6
X/6knvgFQLaXplPu1u2C8ZKrsr/rhF/wUZLDmlbOGCxI3qHtnwKBtWhVprb1RtDae60b0Q7rBmLn
Q+iG3p2HclFu3DaqD6Q1ikPJ8bJZDxpjEs/F+CcpuexBpclSo5fEkhXJNLGB50/qd7oQNbNxsbg/
PC99TMicHYhNmQePVeEOgadk4ZojE8rGr28wvna7uH9iyGQ4GajEw4NUD3Jcc5jtb3XHeyzwkH6w
5dL3LmRgRhiOIUFb3QEzuQWTIkiFjzMRRBiiaGC8ZUZbr6HzSyhceFn3BSxiruppxIrUtgDl2XyB
wGpaq523mpQjCJRmxK1OavLbz6IP1rTtBTtAdTPIcDzGDWkMcLS+RKQtHdKYNEJVs0LYYwUS3WUK
Mh6u26g6w0GhPI/yyBQZy0z9hyot1KvI26TDbVP4N6hK7TtnR3Cjom2YZH12nWe3Af0JMsFSGmth
7NFi09vB9MMx+ZCeiGoMG+VW9VcRDjXSlkBHbS4B3/2QvT7rCfFGb+k4HpNs2cVSGBhItkFObv6y
vSgC4lvjjtq4E8uYzmcMIxPgB+UpNfjxa1P00wvZSrFxdVe+CWt0ylNSp7QtmyiH65m4GztzzW2a
gg0bAK/v6uIN3XTY65D9Ivxs71XLcLgIu1M8pM3qpWhdF9er5eEYCYrR/PL9zN+rMSpu2qXnt4fk
tuu7DOoEmUL7rubB/7NSkfgo4NOv/bZzDyNXEXdYWODs55rnIbWwhhTmDGhiXTiy/or7rn6YHS/6
zgw1HXJ201/tMOL5sUx+sEC/ibeFjTq8H2PbVc+pQbaSuKkK0AeTOhgfqfvw+62v1OjtfMn/9Rhj
wd10bIwoPQZ56h0ia8yjTamHsripSr+xjiUb7HK7dBPolcjj+RnT+JLeSRzsR47jOclGBQ7LS050
cc9WKcxvRszAPF5ie9dAWYP+BxYVt8miMLCuZTdV81EW8V2hyuLSBgzNhjOOI2WSKNo2D55VOajm
pL0MW4sG9L+fxrFE5m6HF3IBMcp9iCQxO1bzQ7f8OWvkXTbRahgbd+NraZ9jAk7zTvrlkjctGj87
5HE1lOsoLadfpkNBKOaAKfyZSAOvapNBe1k1fjJTiSDNKtxjMLCtrVlOE65WQEA0GCYMu8r3ASmC
BPeTc+TZSbrxtI7xnXGDT+/82mzZtydDfcxmdNyhsZzhpnDq4WC7ID+EMspzPRUpngiSdJgksIJl
NbdJc0i6R3/U3U4Vrfkpu/nR6f1gCTxH+smkxASx0VBkNcCSLSDsqocfaDE8f1LlBVArb0bvrdWu
DtcO02l8wAXRJ1stvRnJjcKEmXt21q3NaYCsDcn0xRXd8NThx8g3NeLUE2ul8Cy5hlejYTmPQknn
zVBheeaG7ZzgjsKvydqY5pfpZg4LthDaS9hcuzle+vlkdVywiHvF/FUWNaO3th2wTmDRvcVtXCpc
FXyU8Qq7KBO3aply9lDx7d85OE0aCTwopwebkukXN7H75aebwTkXpRfvU7y5L9mYcb/zceuRVqjD
rt3iIu7uIJZhHTN6K3xrirA8CMzaNQYxU9oHjFwLe92IIGF5Cee1VUna390ouPELP40w150a6WXa
Br0q8NHl5l2bEXAlpaExfrX9VHGGCHHcEsfRHxLs3J225oVjHc02RndXPSnw9p+gEVzw71r5hMJj
TJimWZIVSQpLyrUFn+qOv1qeosQw1cFrTHIieaLVtyoSEzcOpEwStSi1/qGelo6sVts+nQzMmKyz
zYQbtjcLA/dUVw43/mg2M/VuHTGE2BXNlwgsN1/7VV+fVCLtZu0M8hfrsuLA7sP/paGHkWgZ6RtF
TDDcBYRUztumRuJcZeBSP9wobi+umfVv9BCha1NGk930on4JBkm7YIFdX2x9FohnADDZNiv7TG8S
GhNNxwJXAlnvfa7q+tjKnM+8156md6dhZ5TglCKFgJWs1BkaZ+Fhed5VuZb3WcqibQWy1hBgnbIE
I57EFZLqvNWYWUIhgCxYw/uUlJjSgTpk8dYI8IIaThC/QJFNvnXR2VzS/dKyUOtFgkrniq8eCrjc
oMs1krsyHj9IaizXfWF74SaysnLdU7j82uORWVGM1+5b6gFWDWZH6jAIfc9TsudAilKfe2rVZvid
ncmDDGfOHorP2NUnO8BHjEHP2ZIy5BbIIk/RnU53mxN345rnPveTnG/louFEhy4umkvdx8MzXs1h
TclwubGFM36E0iuKtWpN+TMmzUfiKUnsX2NJ81vEfJzX80cSed89hckYW8yY/L7VA0Wb0IjwvcJj
Wyz8OJOjEu04T5N5P6GWTFuja813FM7RfEsk+EJWj7Z7b/coDzM8BPJfbYE3K+4aMGoDvn9QfWGV
/2xid8QAwA1iMzg12qMXJAaW/jpsDi2PizXLlvk4pkXzWIfp8Bp1bN7cAbz6XmWcMqF9nwFdJgat
RHjlDoYqA/anVUXOprLC4Rk3Mj5ilo2onn5e/vThgL5baU7LMGxE47t1DLKTgQVhEoBZ+8AdyLTW
2rQbUiB5re7NZggv1DuS3LJwCt3n5L2eECLcfM9+EsMqCwP5w4NJCJi1ySqx4YA2fQTY+34Bbufq
8DtMr2cuPA6GaZXUn6Gn1bMrKAAE4WXdl6NQL4EdYCGyG02uDDFt4jnLooA+XSPc4/4eD3x7BhoK
E1N/Od0Em34heZ8BDpVQglgbLUV6Q4AjkQVPv8kUJaVszJNDUZQOvY3Kj99ZPXpAWgcq/gpd8AF2
tQ2cliOb+AwDpU/CG+KbAbRcsQLoxRGs7zAGFuUMEa4w7QjHy7R0Y4STumAnwwYuSf8ZMGAjM9wn
lVN+c5OAuTUM/k0RmJm9mUZZbXnP8MrT0kAfBaEUAvtpFUUstepX0Or9mYuV8iOMn+u+scVJgHLF
okQVWuLqYctdFX6sb1iCTlGYb6wQlpxWPE/xC80I4VcMnZkPnU3rz1G72aVtWNtDhWb/uupVK35C
2KDw2UxItBi5RcyGuXEg4ratrfHcRgANJQXrW7AIBaU/c3Vf+15mrXuD5ghgDNxYgOsdh1a1a5eb
JK1iJiT1QLs/oJzMP8dCliQl6eRdKA3Zz8ain55i9vgJJ2H+bkWl+UQYj/nP5xly24MkHvbkphQO
Ud/q8jUXlmkh4kHK69K2PdPR4m7HcqC10mSnHXAoqKonwkFwbSHITg+hL4idomD3G002/jzFFbWZ
tCsWxPTs5DDOHC42rVfMCaqgSr5Y9XNYJNy6lRRO7AklzjFtNFVyjrH03nsiSo4FH8AzYZbiifuF
vMQ2fwYnI/q9+5zVMqgyjvcYsZ5Zv50oSWKiEsWHn3G3HUMnfpL1/PIX+eM/MVn8b8n7EJYqGFoP
L0noe4us8VdND5eaLJFk533eiuyhGeaOLa0nNkBr/RPcQn8vqjHZ/POL4mj5F1+HF/qmvVheQggD
lrCRbP76ohZIrDny83E/JHFx4ZTR3RPdrje2mSVouiiojGTekQ2r/P7nV15AAn8V95ZXRjYhs+07
kIWcReL8i7jXuO7gF6Wa9+BMbI46vgMovPaMczvZ+bwqwqj6ur7if6Mr/m9SHN+of5Ti7nWVff78
Fynuj3/yJ5fK+40vJgOZZYOpRx/lo/zTFmX/FiDrhNCq0JI8tkP/IcXZSHFC+FyPgStcb6FZqFp3
yb//mxX+5jp87vxDvuyeZ1r/FSUOxe9vXyQ8Vp5r2fCPHZf/OMtX/C9fpCUQ6ZFRqvZa9+rQilx/
LkskuMZ2dA9dQJ0HaVKki+uPRFaQrLgTxMd2DLIztCixhqZMR2Q1uV9haxIsdHxj56M9IpZk49nI
q2TLKdTDp+RGJ6dEE4vH+dPTDvGJdGNra1p5Y3k2DEiQAA6BKNekAtowRVPgHsrx8NWqnS8sjFDk
3fKUq0buqYESCxeaGLpstL/G8J0yJvripXBTIwBjkxQnpsjqhtKN+Y5bQPmLPkbwu4EHvyHlWcfr
DXdAXwzKUQyAGw1ZnlfLZLNBYzHHVHBCmzaM8h8UjoIsmnlV2tcBsuYcML560+6PzL7xm1MqXElV
TceaJ6AyV+VDk+Y1UcikO2ViKnkWBOOdNoKAmkIX96JSTNlkp0d9j7lnPBi5V53reND0ACiXzWGF
uSjpMutlYv6L23F8SmlnvFUJfEfqjuu9Ufr3aBf9Sxea8bcs0vY99QbnoURZXNVmEN6ngVyMVNSG
ll6UPvVZaR1Da3rN/F7eJy40c6CB7lHzXp+7MkovfRJUrwOaKmqDaQPtpfCZr8a6BQH1OcgmvU2S
gJlKpkIAiR38/olFVXlLpyOFCyTF5jTXdAh48t0jisbUPDW/WN//PmVTMG/8cHxLrOaQJ+5Jayvf
po0QDz1NXdsUfu595g/hu8Ma8AIk1TnbZUt8hsLiL8QTWvtyWNlLwMG9nSrbuK3mhhMHWrX7q3G1
JIMSl0c18uABbD2cStOJbgeCtgfolKRjREAIHs/SjZz876g9C+vdznjlBf72xNxbnwpXqc0cVb67
sjKNRSCe4hgLbVPNKz4Eum+8Or8Nk1ntQ6qqXzAoCcISaMKxU8s38EnTbTGF0SY26VeeLNlvYqaq
te331F8JPiAOIlZ4U8KLpeirbtTBTCK8+xX4yMLwftdkn24XI+BWAn3aYY8e1wknjmPHUwEbj/8S
OzTYh8Q4dmnqBzs1tf5zyDEeBb0sPr3EkCylgdeuXcjRzOZMRVnLjCApeN3NlWGsx0nT8zmZeD10
bW6dGVNSnE7yBrPDBHmSHpkC7ANpLv+uGtt9aVeEFQLWehGmuo2bBWu38xYwZ7OfAWdSN84EArac
UXQ9WPVPN5n2nOup1HSJuDTazB8Y/VPmZ5IYObOOI3I6dsSiyERpdca2FXzk6Tj1DFVV/yBSOTxi
YftwvPJnhRHFndUFMNqvDFru/RzlwaExWmeHphhx81l+YtkG9noQAwi3+XFQzmNAbwUc/LbbSNwu
T3EIQg40ZbVCXcGjnxIgdetb6KzjlsmqWgvtQbX1Gv2WUEG7MlnZ7tvcMxFMkCTqqRJnFOfuVCvb
2equ8b+7II92IJbtGyZhLiaK57YRh80n27d4V0cHlsUUjmvVL0BtLEg7vsdLA+jE3IX2Mr7FZRQc
qSxLtkVOha5l+vVpxMaweMrVvqdf8JjXLoZvjFgcHii33Ec6mu+DeHZ3jAlA7e2YdBPuFxC6fNpT
DpTEheQAzz/p9nkoi60R+TULa+3sLe0SWXI8+2eTCTTbKa+nCzOYWJdYP4i71tEb5/p5jV27uWA7
6k+YcKoTYaDgkJRh9ZPsQHceEstcw3k2H7nIG1YJCXFPWF5euh6twX6h79uHNzMVzTavRo1kCPbs
lipGQKxJGti7rGemH0mWfI1h+WIPUm6bKd0bwL9Io6gDYpS/4YHhvveV8aAXnGfKXx5l6wSOx6J4
QDmfsb68wymaUbqCjCRl1+3qOgPk2RYhECLLpbkWK9RKhZrrv2Muorsh3XeVa94rv9jmJppWEodr
A1gsnGn/ojMaDugugJxhO+dsBgLK5uypwgV1dmue3SuXUuMncn7pIj9+5Ywbh6GOxQbTFh3V6UNm
ezBRM2OkDgmAc6pMZ4eDZN7bdAbgZeIO7gr2HyNxIxJDc/+NtvWQ9P5LRq0vvYP8AIxALFWbjNvG
Ko7KzD30HgR4JJxobXY0Q9HiTAhPLcuVaPqRUlb8aHokoPnp6yLoDxjIPrqcu36RPnNkvYVzvK0N
Um5AHMstM56Jf5d282RUyaU1zOw0Yog4+pknWQTYzhs2TPtD2dmwSWWQH3lKHKouap6oGW73k6T/
mLqFfliMVVXzDmiVAnVv6u78cmrOteF33ywosPRDU+ExOLHRyctqp1yUDX9W4aPywAaQUNl6pn7X
FvD7rDzrIZtvRRnf1G1i8ZgtKgDuVYfXWaa1SQSFmyrIvRMctwX5qi5sftblSFOFlXTknTJ7T1hm
3wrBiCozm86InGy/oByexDqh+qChGyaIWc5k30QkQ3fnVWhsCEdW+2THg7w0wTfwClja/hTdypEQ
7xC51tkl4lTt+yHtvA2wzu5z5jH0nc0m9XeEQ4hlJg1cHKoteLxhEngm60QawwxtY0OcqKTZs0jl
w9Sb3WZqWEfSRQoDoluCfynG51duPdkGu9i4VxIDz2BNw960EAXmABSJXjq1gfV6TwYwy2MZTHMJ
9JG2j42dqGcaanlIy+AuMFyNLTQwXukeppSi5ogSm8130Yzjc1P6xZp53ttpp+Dpbdtl+MDi9XWk
8rKuoOBS8nrLHLnzNNzhztbvMIJf2rkkhV7l9oNww3pXhdW047EX3lR0CKRbRF3/PXOh+NQcK2I3
/5Ulzh42wGFWkGZS/zB0g0aNdap4MztlXHJl1YA/em4YaHR15oLIMuWhJvQyGeZjbia/eKC9shT7
Uq6zX3Kyt+R+5S4WDl22xG5XLqwgnrucwqJk61aev8noH7xplLOUs5U0KU+OvI3cZFcgGSabYfTV
hrJxfRubDlayRg4CaSNrNhlJwGduv8FlmhVJpq43HOb5ECyT4NTpJBhd8/RMvsnY4BCyD3JW5gOn
uOkJ/8q8w2Dn3otgKWDLvpyYA2w5Ovqs+aDXstA3HsCIk5HUxkq5brHCZEWxc0OsJrLSbiNsMR5s
g0Jd6CWf9PA0AAqK4sLkziN6qWZmNQRXTHnjpp4T96KGiOYnw5EnNk3WoQGJcpIRzfDGKD802blX
IHDBxupZBK7yyYC2zrL7sWUwvAsjIWCY1Z9BUfH7hm2zHXj60JTgHVnRkcmU3btkdSz72t2kFsGx
qcTH3BGvj6hIeXPhjb9X5WBsUyhwL5XTbkpvWba7E4tCeMjGNyk0ljCp8B6AqsfrEf0G6Q8x9kSI
vjh0knWd7r2DPXQeb2oZXyBHNfd+wEMqrouN3VX6rUk6eSHNSVNjWrNJdOWiNHvS4MazcHaGHEpB
JFu+O9TPE/2N1lT3GKSr83A9u467b3odvVRTIh/M2Ao2MpHRo9029i00MEjvohgea6uo3tqY7ly7
HNgCu+70aAGKX/VpV3zVpYDsnXrV7yGiy36knGgdSE7QbGicCwVqEK5moyo/CaJBJuvnjAAvu8Iz
LRfpUxxzykMHlekrED4eGUXD2l5H8S2JCnMf26V5K8jj4sOJbfKHSh2jmYJIaLXxj8qZAaoguW3I
M5dfjtThLTFx93USwlixfKVmx9bqI1QyfsyRxjFbj9ZpCAKYKZlIe9565Dpk4nTLFUNjrloerlXy
oDJnN7duwoFNqVedRA6y5zjc+pD21t4gq1tHEakuTdffzlH0jZ0bLvjcJN6uKiaObqMd7fLZCz7E
iCMtrkr7cZg9tR07Ic+xyjzOn557mDrX/cHIKjFfxuF300XWJmQAPGLor++8OE1ve5GkB9fpOJA7
lTzVBH54ajjhDtIcGpuV3ufGULGi4GSOo02wFhWIXNBnbq25vaNUx6KrxFWr3u/KUzDn1IM3Vnjs
EM8v7tDmv/OHym1EpfkZVAquyqIDGjIU0+9uNP/qaA1bBQAZWbAHMVtfupN4lRQjBAWgZVFF5yiJ
b/sc/70U4Y0F7nWDjaVfk1tN39IFSzvMxUcdUNUBEM+/aTTLQHfOdhW7uHVtqeG8DPlkTapvMnt7
YFrhue7CaRu1mMkaOCSvSWIZlNCNcC0SrrlN0SPbe5LSK61bcXE4gq2lZVUvMQd4apfN/jU2XW9l
SPOJRo5oR+9nMER7kcv8RIjpIRu8jR8P3FwmjuSmuTNiMd0S0ZU7ilxHRNjxLnPUT76eIziBktIc
gETsoFuypB1Ek4H81b6dhc1SwKyolLH5ohYRfXQt7H0Cyh9zYt7G3D+3Bbmq5WyQ7vDsGNu+Mawt
c150CAjRbnInbR/6pkgJfSp56LGSbw03K6lXV9lJ9KjOsi+DOz1Pzp6OHLmu3Pim922osZxG41M6
ajGsYB2AWckJS2zgzSuoL6H1RjvBelxWxrJYuLl1ERO1NBBDc/eQ1Be8t1Cv4n64lNwKES+NsX9S
blZ9UFDCxWMnIvrVRtVsrKLEB2ZlJhLnv9lnD2UrjMfRccuuPLZOD8CjS0ziWHzw8LHy6jbrMvGD
J2B7SxKGMRdL5LrKckmbWSqwyRMZeNf2HL1aQpNv6plbSBsQY1mV1Ug3b5uLPdShbk/s1cNTM+an
CYvt0aXfg4I/x9nr3mp/eVjJaeZKdPpRs0Fkz1KCjWoaLkYM4QfemvAcSUGihF/yEFoDuywPcH5a
q27DD3DemaWH116n5ROJUec29616n4iqnlee2d7ZfKYPVmnxy2Awfo2t4bshcrZlEkpPidmLu0nw
3wjDsqW17R7dwF3W1uj9dzxtxRZXeM7IkdDWMBkXmGB4dQFa7nwOFpiPJV2uxeKRtQAPckyHpXBr
NqH/5BejgYvLGjhw1+UNoOktfg9MULHLHauP04M39TkILLglYVc/Y2/9bJvhBnu+QQ1t+pXnTnb0
ZXtT9i3LS5YEzcoe3xTDT8A17NtiugE29qOWlXEilJ384db8f617/n9E2udB4vyjovn4mX2qLvms
/kXU/ONf/SlqQsf3PbD5Vy/gNdD5h6bphb85AZOu55oCh8XVePinvdA2fxOEH3EPYFxCDV08if9L
1LR/w6uI8xD7PTh+03X/K6Jm4BEa/Rd1XFgQ+02Qw2Ho26Qh/qaO13ihDcxFameWXlnsjWjJqluF
y2lPhbV3rK5pdvbrytuH15S79Ky52pRL+F21ocGQY8XB2epzezfYo33xYNGkayYdzOP+0LLknpmK
5TrTpaUvITl7fU3c59Ifuv3U2ihxfd8AToTZQqhpCeyD9m5b9rGVd0xC1bRbrcuy2Xu08HzM6UhD
iYDbEW8hcHICBK4I/c2sovhCW5L302YFvY39cMDOFwb3cy7mG0nt5LZs5nwdIm9uG6nzx94CRtJb
pvE5XVkEZhF5P8u8q94t1v8tWqleHHZulCTQ/0EZ9KafvRVBSVJdXjEHzQDJaO/35fikFgRCeqUh
mAsYYcKDvmnmafywA2cEOVCZDZQztsRwO8RCVrhSFmDKJuamuNIXvCuJoS9TfIV9SyB9FVd2c8eN
V3JDETr8aK40B8iibOHTK+WBaKbGjoHH8haai/sRQGCEOTEkhKqckOtcKbugG+DKjzBobrfPQQ/2
b69Y9YtjLap2DRlHv2ndITpYS6DvYnK/gps00q0tsVL+tDuNPyRzmnv0OecrEWJ8CTWgz4V/gdNg
YB15aqhBqld2M9B2WgzNa6kqkCpXMkbpUhWAbUqyAjVpX3pNrhgN6G/xRs4h3clydupH4cWZ3PIb
jK/90BX3VSOTB0CNWbuLoKsc4KWqPTnI+D37g+EBqscP4IZp4B7BwvlAdurbkycGYaxZd4ICYZc9
WQfDgRDiXmEh4RUcIljtssBGh+czg6KwQhA2n5XsWapTdDI1Kw6HoE4aHhoRMKaFTxLyqHrVV2qJ
LobxI/O64AKuBvQSZlUIJ/2VdpKEE3YKlXuk9QAVVvZ++AOJMjBzb7srKsWkAwd0bqgvzGPWouAE
L3mmmAZILPTc/1VZrsO+nO+jK4IF+lHNah84fboQWgTAuvPYg8nZF9ANcKJTHvyBWT8/+1fEi6hb
71fTmf5GXBEw6G/dKY0mD7DnuNR2udWwhSHkfYQkPgKguqlAgtMGPEPGgxAUUGNBZJJWewzssct2
iA56Z9YwOqgVMGDUMOfHj85sUeQpkyx8N4dUvmVmEfz0+sA5+0NPY6xp8MOzBYHj1MGb7lNQx7Ql
MTt1wvn03fR/kndmu3Ej25p+lfMCLAQZDA63OWdKmRosy5JvCEm2OU/BmU9/Psq1d9mu6qp9Go0G
Gn1TgMuSmQMZsWKt//9+2ochTEKHHtXC0/EXtE5dzMOERLKzT7qHFYTjm3PbjiNK96TKqHmNkpAz
ZfbO7NHv/B4rnTt5SCcLrk/oCK4coEfsVmgJ0Hjhi4ADBNMCNXKE1bnHSOGTrzh+5wa9M4TqmJ10
mkfb3GCIhjLke0xvV8x2oZlQ50zQGoQPlQgxjv9S2kb8kr4Ti6wFXkTPxySpGKBRwRPOGVo00Zt2
nPLiLuijUYj5MfI7B7P2gkfSCyjJe2cmje/8pHBBKRlzIeHe2gvEt/SvPbQyH7mjkgXFyF35TmRi
M5me027KLrDRITahOcGpA3/a2iMFK/xFX/yWaPSDbtjUwDhBPxXvFKguMTuOL60JHYqQ5fkDi43K
H1AtBy9eYngX6x0q5VA/nJqwSp8gwDFeIg7TdQGk5caneqFS4UAX9ODp72PyqsBWURrjweT5vhbC
Kr+0sgZylb4DrwDRpt6j/Q7C6t6hWAzOJndvv8OyBluR5gYgXVpnvfC03IWs5b1DtswB3lbOAWeD
0xwIV/PO4wLMFbYQuuTC6mqtqnvJFn5XN0DyshamlxqVgY9rAX0Ndo3CDgwPcs7FHbXFLta/oAKT
ziFeWGFMBJBA90zemXi0sMQWqlhLskS1NcvB25qVLIuDDlo7/iDsfFT8bBA/0m0AUtZFXkYAgy+P
6WgBMUvtmfqTwAnzC31M9wY1oPxsGH1+a01muZP12D1moNTi2zxiiMSLp6aDvDoUn5OFooZqc5Tr
bmGrQW+K1lGsS29rzIh51z0uE/cBt1X/DYyPhcw5B8GuvkPbGoj56yAJiSRhOtOC1A4UM4LSzcH0
LuA31U9Ia9Uc3HbvYDg3DoDEea3LqmUv7LjGgSI3yDQ4wLcVOyv3s7W90ObShTtH7IZ1CIkkfQCB
G60q0+u31UKqC9K2e24mWi6rMF+osTYYaBRePIcG+lm34Nyv5Q1En/sO9OdGOvWnMkRGCu/RgM+C
CKOMVXAVS93BqWnsL2OUiGMIXgf3VUVybF9NG3uK4fJxfA1q9ys02dc2tI29GZMN0wYg+NcdLWsy
LcLR/tSmHLi2ZcVKjMKlgenMNHSQRxtRkVzT8kqq42ADkCfHrIRwLA1HMXzKJonADGHgvCMEFpDS
GHlfyKgrIcKarfkYVZ4xrypYxAoOQuaNF0RYxZcACwH6rp5Sx46AZS1HufLabolRm32xCFUTY2v1
NVz1iNYzIhJvQ0YDnbZMxglOqkxsI8xA96kCfaf6IMMe78MQ9WLrmxcH7XPmyWYzzlPzasBWXtNa
sGOMqyhNV7YKnIvLZGVV+EReM0XIyIcksTh1rqekNIyPNhDcehXgnCzXHkK9YmPVcT9f6sUasM25
YcJNXqHt2oZBK81tr8PxWMWGvNQgbmIYNgTNbklHleibOGMe/Vk2X706YJDkZAP3jldlxzxvfLlm
RehdeHfvNlnwZYCytX8e5sq/FmQhTIwVu+g1rxp5UlobKUHDUftaWS1Y89Yvp88CFmGywZSKzJfp
L4yRDmWmC8nMhEvfCsRxRyJu530+KUSgKZ/y2dTw3lddKl1nZY3OKc3R7yMR4nhbOlbzSBGFgSIl
suqtqSf91OHXPWW58shUtTzMkmxK4yXUPuPSjHm8gbJQBSbgCzO56VwTupZ0VAsf1ojmjZm22rnm
CJYflTY9dLEsduDx9LL7cUAHyzgKrof7Zj7DU46t9YiYYZOrjGafP5ePEk2Zi84pLo8eTOWnZKi7
5EAQVH3XA0wsNx6OjGmLZ5migPnQFN9oMwjPY9JAW5Ugfl4YD9R3VpU790GjXaw8ltMyASEqkq5M
Z3Gf9ApRVSqzTkCtSzaa/sdiN8dAYFCY3qlQDVddwMezJmV0XsJ5ZvWIixvkbQgSpGKiDQ9860Xk
S38KVVJ+tQgOAB6FNI4fGZbqKImwLzJla7MXCoXgnnArrBQelEbSDWti3nhsfMYoaR5jqqSTQ2uF
BXoCrp1E7WMa2CYDL/bom45A7qui6/stj4D+mnfKvB/SPmo2ZuVnd9E8Gh8teBiPVj+qvdX7/teO
ENOPE4SRK08p43kibYeRTJ3Md0OZdM+sv5QLdt1idc3JFwXttsiXh1x4RwEq+FMZT2ioO/YY3KMC
4DdJkODnw0wkAD/ox+PQ9snjXYek/2RUyoK5j2Du5pHYUAQaugQuBMft8d+UfSSPcWM52a4WNL5o
SbC7AfiL6mkfMCSLT3PrpFeqw1h87OwFjRUnWW1sOj/zv/XMFN4aTWNynZH2Y20bzlKPNmgGiJzR
MGpzL/A0LHFBOrJPmK9wkkjgmslOzcPQE59clL7xUurGxcxvZV65IVoAn1FUJDPy1bnnuLNBZFN6
T4wJTO9eAUJkLM+dVtkoYE3lrpKgeyH2kbiK0El2w8LNIJbL3YZQyI39WNjOUfI8cWPOSLuvwcuR
wogovJcXTEEUrHCokdN56kGw38yYX6fgjtT6OrvNOhM0DDuCD/WG+BKiFyKm+tk298Jua2Fpd+Ra
4h/mpJJhQmMMVkR1XZ+juaQ8gh3fIY0xq9y+tOQfBidlAv258Qa3w/ATB8FwSBrGBNAOijv8OrWB
M4ya5GGi+zbv/XpScgenKIqPjBRj0JlhpfMDJiHG/HCnp+ZzPk/ixY+TlOD1qVPB58WjCRFvDE2X
IqmVAUEe8YDVB8UjGEYL6FwMDXUinXITTpb4LJ0evaFuNYlRdVARcxCryb9m+66HQ+qZ3cmechMy
qGrMQ0nQ9L5FWox2InDGD1EBb/U4xeRf4B8GK7Yq7C5MzqXtDi7eYLMEqp5aMDJw5xubNhyc/YQX
IjhJjSZmV2EYq9eEA7vBqai7qbZWMFoFMqHSgRRMsHPWPI8p5XZVj1N+zqRludjWcJ4hCUYHWZ0K
ATrpEHj+IkUEZRM9skk5zRF0dEGZI4bhmrkO5shVDHIp/whxw05eTZ7h8i7s2gngWIVZjhEClgPR
OP1tUvv+c0JxBwFzQgWwaXg7EDl1PM0HM2QycxUZTAi2XqBcmzmB2+5cS2Onnz1tXKHBfvZxwOcr
TMbhbZQSCZfbQfXZkCMNY8w0t0kT3id9LToYoCnxlogJUXDOsgcvOToVOu4AlKWFyB4mLq6dbwhu
DOtoYpQyNrQYlmDKLJreplBLieLQZMyAdqY51XXffejwKq07J5Ts/wpNUi9rwwacASMhbFibyNNN
r8KRJ5aqJUBpEngT/bnQCPvXxvW6JcvFE7ANHJ0vygPONYe40Whem34KH5tQhnwf3jITyRDk30yO
zKwzArE+3PDbgjZ70QtjUyclpKoyj0ZCbbRYDEGF+wUkho63Y201HxsEJDxeSaVfcsMpjlDsjHXm
uME1+CzAGW0+mw75NYownzlX8kZlobxnVmzvyS3MjwmT1ZmQGT4OB8QDktWx/c4esP2QjLu2dDHG
DXNzrEQxvoSNCB+nKW4/TTg9kz3kT+vUS9M9dvhEUbd5yFbDtHerdYoIXqxdwFz5BgM8SJ0CsHh2
8bsOsc4s6fbvDN7YYx2m/pXHcDIHArTEPBZ4Umv6/y2Och049aYlm0XTP05EvxlI0mHFrn1n+39X
r7k0SN/+FSuKu/f3hukSy/nTH7bvfLm77que7r82XfY9ghRj8PKT/+lf/tfX/4RSZzp4hi16hD9o
ZZer/P7bl5ccT/XD1+ylCF+Kn8zRP/zm7wZp8zfWBQdhpsO/x7qMQ/l3Vab7m4W00gZj9+6B/iFJ
zPR/g6NCU5GBouV5wvvBIK1+w0fjo8QlfFQykvmfwep8BJ4/dTAdpaTpWPAy0ZpI2/pFzhynXtwg
xQh3jWjvHVb6Q06O97oMybzzjXz4mnhTwbzR94lFZvzEVKPZ9URVHeBnyJ1PtoHYMiEQGFugYd2R
C9LuTCRux3bR0kUk+FzcIHTOkvygI2yOcteydn3RVlDuSKROyLmBfvnakN3bnJPFL44/O3aeHGVG
j21VNOe61OCvAGnGAaYg4V254wzbfhhajhuh8rMDBh6cEeFA2GhnG0QtF8NbEM8a8IN3BWinf3Ks
HCdpWVmoOU0nnlcw/+2Ddpgx1YAR0nWubX0EFZZ8xPNnkzRUOwPFWDZiucRtYxTrgrrsJmWQUpIN
DWcW0Levzl3gxQUtCld9LLTon30iyCbm3nF7rPwkeODkwxzIwlkJ3LZ2osuEg49ulDHiA2sJKrhp
4WI86oIMti1WbqLHYcKteqJ6TFprByBZw1sp8pwlnGAucmea5qZNRwPlQQEedMpM9RiIQV63UhoP
UeqKJ6MsYAtSMvfHqe6Huz4Ii62WIWnRE7a9deiMywvP8CamvPYuAtRWevpQYlS/BtYKxo6vuXh1
ukodMc4x4oQhY/EiPZ9uhgSzlYrEvOG0C5IodYlBCEpcD8zDZEtcuhPvLag01K+mPtpR4G36ZjiV
bsNIprPICwiH6L4bmbsMeFfNFcoWAETM8EjH7ObhJYzq5DSQRXnmhuqSYOV4lcFwq7e3YeYytdP+
ph+bcpMKlLD+rJ2Di7X1sWrKFo+DUV+ZBkZFw3BzCtmxvnGp2sgmKCdoiIO8iRCXbVF1hQeny8UV
32hwtIym3uVzKj7X8zyfIjsMbktZQMVPuFE1QtTXFrnZTsixQTWHsBcZzkNNdNbgYz8Oki66TdOR
vGzEDx/pfgS7sPPsl9jspqtYaJuimMA2h3BY6ermkxDVMxqXaQm0Qd1T94+N39OLLroWR5Xrq/hD
Pg4HkhVuK4v9AT2rUyHKm4GxIJhbdSNNPFis3UEVbVWtId6k5HUhp33gOcB4jGvw3k+VUxxEOyan
jK38qSGj+IHzX4nfUZrS2/NDMdPtUWLYiXU2feDEUB9ga6uL4OOD/9jSwIXaFx8RbeGqyUvHfiwS
z76onFAyUy/tqyln/h24Q/xN9Fm105jCWpBsQfNK54tJQNd5Pjn0JiChNmahoMdIui/3yXQb2XF0
B26J4XKCEASvpBfeVsCJYYrh2b8fPW/Cio4BbgvXs3+u4oQ5QGwPp4lMsQsUaySvgyTaI7KzmjF3
Z977Vu0eyF2T/hJd3z94PmFbXe4OB4c4j1c/i/OHqbVKfSDVzX7l/o6/RU4vJUZOk3lrMVnRixlk
NjxBJiI0XSLXZbiNaWgSuUXVnuSy3qVlUu+HsKZdugw59lWXFjcc9uVDz0znFGhlfUjzRqKBoxHM
MQptaYStOt9YTm1uhaYbs+9EF97MQ4JGmSJnzxyyvW6jKn9LuIX5VgNpPcIvbK8RLkowMnN9gHZB
hDxkOhLHco6hOLvQ3ICoFFcO7pcD+K7wCidXcm16KalrnPUQPmrDNB8IVIEb7DqZseX5dS9u2uZ3
eI/FvQ1Xmyg0Ez/vCUYQMuAsF/TUiB58G+bFsJzTbnQFusE16oc1Mq5TwhmBZz7h3ErruafJapTp
Ps6HutmmsRedJAzpw+AXF5ForF+moYxNJYnbivzWPIyemd85STusFQ/uFhRvvNf8B7HLXHxoeloh
bYP304z9mz6Jw3M65t5bKv34PIRBujOtcgZI2vZXoZNbSDCVeE3nOj33PeL2pAiIkcyVewXzjO/Q
Ckm19OsUTmYCWo1AoqtimtBKog0btm6ev5oNFsrMNPRB2oXzyYjqneN1nwgzrvY8+tHRTJ1tVFvR
xkjS/guRkF+TpnK3TmNMuFzNGF0rPNFM1ihKyPZTnbKhVsQ3lmFDkA8c4840Ck6bc1gcQyM4iVDT
xiydUWzbzJiepmqBRQZmqO9Ii5YSXbxRbbVt4S3KHubcHcEpgHsqo+opE5N1zKqWRAUdvy6Av4zo
K8uVq4oJ3WYIbeYnwAnHXRvY/b3Z28l57I0K7FzVXrRlXWEI+dyN1QE0QbUqGpoYECk6Jo9QFrzS
ujbtdqbLCCiAwb72QZMOfslJxO2SK0sWHmd65nPRalRBto8j8nSIGbfzfS2Tk8axDdxCTfVEfoLA
pGF6LWUqHMXq0OvsJZ8yGgGQWZ8l+iWfhsoUn9HY9vsiMmtijaVR39dtpvdzPXjkMdkedQIJKOTp
hGlOnxUXNnEMEl+9Ib/mbdjHW7Z4hfm0aiOKGSNEqj10MeOgqmEfAOkBOWOyCGtbw8B13oqy6W5c
px2IBUbGWxVoId2BTcz3CbvjsHcuS+LNJxx8LFVT8iAb/NTrwG+Hcm0Gw/iIQPCLz+3+PCtnQ9lz
VpHX7dIGIwMLYn0fOzTKSs6FElZpM/KmCN9C5G3dAX6cnzGDCOas2XhKpMbGhj+9XouhndbS1zic
vVS9NlYafObsUK8I4Ry3ni8d/NuGu9Oy0h9Lty8OtPaIG3JRwWlCVaskCB9TxbQ3Z278TeLZfqJ/
VO0sl/RpWstFHh8ysLSHofBVBRleV0joOTOtFBD0W/YAKA9Z2l/oBuBopyB7jJkCnBApjqcaaOyG
+bA4Vrlq2ZBcdQ2ms7TW9AS9Y6T5rBSwxTerVuLghW2zkTTPd01O1uwmN9UeX8Z+btOPk4N5jOPJ
xlUDIQxSb6wGbIEYAkzanMZhrpB5MOiv0h6o50puRU6n9D2Aw7MQb/J2yDd0RTZ0V+4MWcsTByD7
iLRZHeI8KF8U6xlJEJQUqsk59BEyvavauGSHgcie0Dm6c2bDvA4DIOl0V4NzAcERbk2AFzMrqg2Z
YmuQx9Yl7Lsry5q+mWZDiEbPNkXAIdX+ly5rMDconJoWpdbFT0t7VyD0vSIIKNobMxj7ZmBX8bXZ
P7Sgcj5C9MnwBozEoZvjRYQczsghRLVJiCcN7JHsgoGcsTTAxzTZlb/DiTRGaynHZ36pv45zd37V
Hp6CIBHJzo7CgvCgVH7i80ZWazsdoT9VFbu7KkrtrQpxahaxHZ3cwHXvKiasqwDsMxD3IL2xQL0s
Aq7gTjAAvc5pXuLOwYu6iqpU3fKEwnCs4JBecw7J74rQUl+hzxMD3wbFjRwt86I6yzl1OlNf/Sjw
z07neyu4vqSBYee5UsLBSJTURfwMYKI9s2xmR0ytwwYIxxtjEf/gFlDXQzvpLq1tes8Mn9ptQUYq
SE42euoimVRnBG0MfTSek2OZIy9kPlFNrB4MNsJ5LHYZ4o+Dr5GaGsqd7kkTaMhi0N2JmWWwKQy/
OMkxnR5RdRc3Yx49lRzzb0VQpbQ8vfog3SreTKncSzoiMP2SeufGixJJj6A4IxMbh5uw01WkYVXU
TdsCryZtSCdGl5eqT4KjDB+zB+CgY8GjfiyfUOurz36RpSczLLiBdWMzkqShs5rDDh01NIHoLrTo
OeSdQz8Ps/BbMGXp2iGrGQyCxZUnIHoNUWPXo4sEvnSJbWr78JO3pDFYOenl8BmetQ6Pc5juUX5V
RxOHDqzg/pYddYR5Scm7ERAZaNAYGyEmwiOZjay8anjD2dwxvqzyU6IXjVfS90epTPPkjjQZrSYV
mzFnrDVE3toXiCkQfSKPyr4MvcDdjBn0mJT8U5SwJCYOmX6b0ApcoTOEm2vHWbqzBnqgQT6gsiS/
cMdYmo/PHuwbQ3lQiaNU39K5Ldaks1Wvghvm0qVmT2MFUT6Zk+6Kow/lBDGQQGym9pyDsFqPYTx9
CIK4oV5IspfU9GfeCmSovJijNw5j1rFnxrChWWWvejqpHw1jHu7TfqblXxfSfC7c0vicwwPc1bGo
DvB43xUIWYW+d8w59ADwutWoVIAqNHBdkMcwo/HTnVdN0EgXIg/pO7Ap11XD96UYBT4hgBm4s2gw
luBoofl2Z0hJRNCxpZTAI5hKYjWPSQil4O9b/5qcaf79CkgQOr6Nz8CD8lScUkeLbe7myDrHA7rj
Bw825xq7X3yLEgKubFZMh8Zzw91k65rmWtkeGSkTfyVKIsp6WqW+GziPhrJ8sEVl8IYOmu1z6gqw
nFr5e74eNOh5754xblfXTmvnz64XdNRGSh1LQUnLCNJgF5yQ05lwMcWBDL8R3pFpjNd1UbDE13Hu
7y0ZMdofSmZ08JG8XaAT7034iCRAXypytbPA/ew7huOuDOGljxUl0rYiEubSIm+lp05q2xQFyPIs
Ob44RZSzd6SFSed7QhpjF/MdAJv+lKp5vDOaBi6qYr6xRollQYVw5+NMp+LeZ7r/glsh3jt6qJ4q
9rcFuCKP7mTnWycd9Nmjq8ugqa0cjFWm2FhBXd61WMyQPJe9/iowmT0YhTO4q6a3m7OjUFQwQieS
FU2E9wyMvt7DvPkWp4V/YkJBX5tWnsQnZQrMFzImWhiAvRYw3TYVPonz6M7WSQeWtTOmKX/qVErl
ShL7LelkDp7LrLwEuleXTOtF7Y2tb1NGsHlInLCa29RtqxuKa2ASzBEngjgtlpqaTfQ+LGvtY4lS
2bFycm+POEt/SCpqWDJs0/yQW769QSXpXVuhCUI1K5qPjoBbUy4DNALTliEJ8PhABzTM/bkHIVA4
1ko1w3zKKc9o487DE1Ox/sGnCr3rrIHdZE7kY26N8cnvCd4J3Y69KBjmC0l1Fe3fSoTX2k7Mc9EQ
ro4YlLzvJFNHsqxBY8zAmEkqThz10pPWUSHTkeIld9AW0zyYx082fU96LZA6aTy0tqi35AZ2V8bc
mFtJphNuUCCjuwnI85l9vHqOxqB67N1abefK5mDgtQ1wCKu8QSzmkZeVuidPK/i/XQ+A17Dyi6on
SqykbSDmuUncP5kudhtwL9FNYI/WXjfm7CJBSJ3n2cS8pBCkrUiGynAWK6pOPL8EOnV2vXXxRNBE
d0K+Wu+lGuiARImxn2la7cTEGZz3gcqcjny/AN8Cj9UVCGfarIul92DmfEtmC2xeGwT4yEwgUU+b
DogV865Xg5B6xtYJ5RJ5WCheXKMGHyPNKhCowYs175ry1mD+EQdJdo5txYu1RmIeRxtp0v/3rd0l
GASkw/8aePkhTgl++lGQ+vuv/N7P9X7z6XdYtnIEVZ7n0lD93s/1vN+EKRyLagnSxfL//4W79H4z
abCiZ/HQECoOYX/oUV2yR3zsp9AVFqUqUSa/4C3/Dndp/pw9AvXflrwqJsSYBcG+qoWG+YPHnrGp
AJOP5sSmkDvNekjXYRmf7cCq2NdZ36KaAGkbrcV2qMLxYzyk4akw8XPWoo02JhI59Ki9h8+qwXVI
uXLPgjUeS6Ni/3XHfwos+Rlr8efXywfz4+tVxuS0sTfRs4iz4TDZ2NArWuiIO4ONqNgF8CiTo5mL
4Hv8DpOEP0ChP4JBpf1PHxUa4R8vjQs/5+hDTkccNjFkoDa5wE/zdnM9ltukM8oNgC82CBOiZmqp
m3FJCUOcm2981w/XLLmak3yhViVOmhWxRAAFdHQD/qA7WhWfniPHm4wR6DloOU/GbsluogtxaOb4
vuqTrc5iRIsC+SERVRXKOLyVT2lsTPNmqof6toxydPVt3n3oJctrynSM/X+Mt1ll5SeKofIM6Sw+
awqr56gbcHwZVXkds2dvpxxbhq7arSjepj4Sx6wI9zAQDRQvEaqdwRQf7aEcjxwgh30mYUYHVFa7
hFDWRPsN/ZzS6p6qWAkIOkaym8uCaXdYx1tN2AHhHslH5QQ33TTcIQzSjAE3Q2Y82U3hX7Ukfp6m
xP/UzJaxJ7LwSk+2oJB2iKWYw3Oes0VX2Is3HhT9FVrpvRyI7eo996XN8Yxge6Nf4ycnvEMAg/rp
BkyO2jVEpW47OmJrI0KPydYy7rArMzTO4ksJiwwFkgDQVD4AZjsF84RLXnOOw9NnEXlGtw5pa4DC
UYp6l6T2uKlAie/i2er3GHvtrTXAV8JLQRbfJMotbyyiTq9ATGtHfB5CHW6dcKA5jlZwwrAc3w2d
L088NavY6K6CySem1LNwykfjA82W/m7MRybsOcz1yukQQdP9EBGhNpSL21iH/kr7fCdRWUY3fsfB
jx5kdo2XcKtSwLON5wTASB2xb4nwPtp25XHOJlShxke+TmJHocbm6NKPcn7ApHdCyLg1yr5f91F+
nKWWmwwhE8mj3M2jIlVzqKgEaMZi0EQFeTWEEWj0uCVWvM9fbbd4aJcyhoSsfU0f1I+8ByGYJTr0
pa2Mz1IxmF4BWz04krZdWkt3XbjscpnlATPsqs3gByvOdepAn8pdMXneO+qxKBr4DhINKAc3fHh0
4DYkKRL6myUbDvuYEF0v2RNpf28WQlwZISGHtGqHzYi2Y1VWLTChsko/QGo0NpPr7sfB/rA41zep
N3KCmiK4X11ycbzRIk0Fe1tborRtyZPfkMy7Nwa9VxZOItsJ7zsLZgAWZOAB6ZFo+PvYQ61fT+ND
O8ZXqorXbRtdeubn2EYJEQYXOTaPc8YUoYZH6YruPkLVhrYmjXem63Ma7F7SGNGyE+qzTmlc58VD
Y6BaGP0dyT9vwiy2LVP0TeYinmX4HK0x+V8olaO9OffIWmrymf2Toc2b0Q1PSVBYsBJqw1ohtnB3
YeAUSwFXNq/4ERSfeyE+jKRbNlZm3RtMlndBPAie7X5EkB+OYHW1kyPskv5LlMGtEryt4zg3RBFn
vj2Bdu3AKtYVGmW67GuS/mhLwD896CoGNpyS6VB1TbjRHG/vvIDkhYwwWKZzdXfIQI+eJOsiSjLx
EWQtw0JazleT4ECpfY/FosWdLUNDQCsysdsj6EJFVLjimlmHOPp1p+/rgGbV0MnqEJcWsPwh4QeR
qcJhwYZJ40/ghAhuOHKdtCWnrXLSh6lIWiQyMDed1H5EkQq/uXJTYgZDc6WtoiHtsNIXqybXSHho
TFpSOleWHoC5pvO8otMSkyvEOC4xtNgTqR1vXYFX2C8b9ZSj9neDmfUO7lc+e8jLBi+Br+bMBz1Q
nxpm+c0Nl3FK3O6VI621gYnv0Pjxs4QWsbXj4M6NJaiHKDB2NPyY1PREpwxGYh5RCxYXfIP3P5Qm
t985TD/uYz9Pb983UMg+ljJxH7kUEb/4T0zDjkxKS8QxfnlXxoSQ5wkKLc4H/wB5/wVl/+cr/VJa
pO1YRLCA5aEPO3WwA/+rOTdEdqNaJvbZeXUsjLSjsmHGLitv5UKn+vv3Kn8223x/CY5JjaNMCxCn
+wtBiIHikNCoxsvag2VdC9vCptAxE0UwC9BBu9ioazP9QPZpe0iJyrwEy0oSobCErRHUV/6A4q9s
Ssgxib5LB8yScFxY5UOzKC7KnYNDaop4k/RZeKBRUhyscWy2Gkf6pinESdfCO2Cv+4Yr3CDJrSkZ
G+d3vA4D8HeGUODfZed/+N3++HZ/mcwndpZBzlXmAVplcN9oJM4THooNFvx5/feX+hny9fsn6y6z
df4Dyn35+x/qRnNAMcRM2TzEnfutRcu9mpT9WXpDsdGqevr7iy2Khx8kB3++2i8hdUaMn3QsE+ug
4v4WP4v8JPOoOyZD+MWMcT3WTtreovuNTpzc50Nr4E+xUmDgnhO2Zz/pDgnfJK2sdp859bhLmq49
QY0ARjp2+SaO+QpTNYgNbCO1saayuOWcB9s21RAsRpN/DXc3WlXjelyKknopT2zqlL9/nz+D4t7f
JhU/0EVyNTw+1+V2/uFDTWkHCYN95ODUxLmnpHGsc2mllG6OcQvXG6JnV9NB+vur/tWD+tNlf6mp
rbZkcSuhCRi2WrjZ6oubmuzMOsBog1L3VEzjJYCUcwttsdy6A/Db/42XwKLkgyEDWIeu5Od3nglz
bKo8Ng8yJl6oYUuMVXPGrgeItlUYOCvnRnmCelM6n1n1693fv4C/uJ39H6//y5PTDT7kqyK0D23W
fZZNPF7aIpCnvHa4sY3w+u+vtpwU/iDkff+eHU8ovmOT0Ef1y7uNBhjgbemJg5INM9chpX3ZBO32
76/yFys9n+cfV/nlPTVSyD5Tpb3Ic6CV8gbxzNrbFkrCP3x9f3Wl5a0Ii8mwsv60GDBALObZEYc5
GDDeeeanzPGP7DP/8I7+8k798UK/rAOcP7o2yLTNbgLuKB7am8Ry7b2PUI05TCc/pGFLB4SMneiG
KHGOAlVbnf/+Y/2LI7MthGstKisso5zdf75Xg2gcalwd8oCtsjrMkEEeKss2j+DO5YFh9cey8tNN
2If0o/uJ8g1xyhrJuli5ufFiQFhlJkDE91JdFFdpmH9ytATaEluPiWZY9fcvV/75ZgPrijWGkcvy
itUvtwHY0TTIZ81LCzsG2GQ7m5GI9+WcwZwz5vPoO+MWIhbk+ohQ9IHUAw6hxi4eU8p3VWTbPmc5
1T3xOnkRbBMgGDkT01VjIBLgEPGtqgjlEXVOCQelyHRp6DF24ng2efiojbjdVgS7bdqK2L0++0qD
2FxNQ52vhdPb103TfC9x/k/bos/xm2br/ta+6wf/rSd876b88af/h8zT0sbV/MPd8Sf94ce2fdH/
datfvnxtop/6Vd9/8/d+lf0bKH9LoCGEVerTG/pXv8ql9+RLDgy+TXiPRezKvztWOKjpVKEKRGWA
qBl05B8dK1iSNo8MnBrfNtG//4+wkD/vka5tcpY0bRzUDi4VuKa/7JFt0fqO7lS/r5LW/wC0brop
aBRXjMBj/Wr4c3o1CL+u/mmTdN6jl/5YtZcr27bDXFOhyEaMtsQB/7g7dw3H2FH1/d6xu2AXa6mq
F+ABDLPi3rTzVVfBXVrHKNOfMtJG5+1ocwRde24mOzBWg3D2IqtMa93wuD8HKLiRPHGwX9nmFLZr
T6MtF00VROs0D5ruMMDW1eu6M40WgUtLq7YqvekVOtlKthNJ9RYsreccq9zLVFr+Yy5IFt9ik+7v
Jlx/1SZlLbyK0VPGzO+CKln3Ji2awnbjHWRPTGn5f7N3ZrtxK2mXfSL+IINkBHmb8yQplRos64aQ
LZvzHCSDfPpeeQponO4fjUbfd10clAvHJTuTjGF/e69dnr20TrEk7WbQKRC9ql/0Y6wTDZF3qZ16
00f177HonAvk+ewZn4j6ES6y3bNAACguGwcpG80TeF8sozdrLNIMQqFVH9HWsS9E8x+mWfmeLOIu
GjNx1MJk0JeSa5AMajcaSBJM1/K15VTvaYrhcmoYHDmTeBlJ7RDzFZAnW6TqDPpWUdaDWYWu91Q1
E4QFMmWc+mPEqYHf2LX+rmokUKl7P6NsYFR1RnyBxqAEIPToGmU2lxQFak63r6JiR1R+ZExAigjf
115K4Du9vxT8SzXTUspTnqZuaC/2gJ6zRF23inB5A0/jwFh3MD9xndAvFffYxadUbXPKZDbUV+i9
9mMUPbt3dl7q+kfPJjJljaLdOt0wAC/q7/JVItYLZcNASitxyDED7mgKolWjzMn9Q0PbcIdI9+wu
0EzIhpCLcOLiWFWW9904Y3wYPAa0ypLWI9I/fCimard5Kfp8U3nwSmPwUdkKen2CdSGz3YwoVFLG
G1wxHneYgOzMdnK9/otQbF6DKMR1vwaErn7Ggxc8EIdyflWjKL8ZpOL/xAPku3DNIIHGdX6xDW5J
Doh2+piJsKWKHeKO7VknOMfNKVnK+keJ4MxnnXVYAO1FJ8u286eUop0QWt3KtmspmU7I+lpSTXMv
tPHvAfo6JziHYQ72T77cS/hQt4q+dPbGASZJc3ASvJS+1bUbC41s08pqEVsKC7RNLb0MHuzOTZhr
tfP4LGgk2HlxMsenOG6YmeFTVD97HeC+iMgvP7bKRT1oyW/f5imwj3ffbcUENi5ptqvFMXcoGSaK
HMQH2iy917rrcEMEGIBnPsw7qQCu10QsSDbwtst6fA9J+CYrHK+EOaUR9z4Nr5u2gY/n7zRP2vlT
t8BapVs677mbtMNel47H3ZBiix0M9blbuX0Lrne1zL51C7Aa7cig0ebZQyIlHiE6F5sxtICVW4Bx
HgRRfCbLoJUbm7Zh/uNSupSq24B1B8kOauuuWCwGVvO3jPNffZlcsPntG9vydsNMoK8cRXEYk9B9
kh7Q29YjDKdzODXYbS6hTvMVDQrMR22YUeVi6UPWtI+VXPprm9nfSU7iAas1dQKaC7CdqeahUopJ
fszfSM0l/tNSpVfkDb03Vh+c8ZeJrZ5M/WuR3bibSVI82nMG0pWyy+kS9bn5W5bcwnGFiPSMoAhx
NssCxLKlojqcjIvv/FK4Hk+FGIpziM/SUCqNH7l3tLtx4JHLP20935lXikKsdVBZJe+l9aGhDtIJ
xlSNO/QbLHC166txeA5dB7dUkmI6xl40npZh+dO4LesHSRrvHhSKNiG1og+j62HjybGQhcaKt1MZ
Yy/RSXm1bABg4IkGIDBUPN1gu+Z4Oq2l0ysGfEzcY7pGtVUOj/1Ei/s2Ie66Qkadn4JuTNazrgWl
PK5RPFlRh1Awxr+CMes3VuUHBzfg/EV4zF7DNufTMEK8BUWdID3a+GsNHcmz4QGOp/xxjIizY3Y8
DIUo15SXnYjeAIQSMqEZxv/L7pQ+kmNr9kXXxrSF8qT0x8zNzZrjGWowvV0EmtIegWNjzW33zXwB
zAQtMvZFSfp3iFIxFN0mHT0sOEXH+MEk4y2d4/wHtL58Wyg3+GMnzrBn4E0rAneUdO+3IxzIpsE9
ux3HMXikord8V3xP69E4zEUKoOCg2Lxrb9ro1wywx3vp25JlVi9Voje1hkPBbRQYEUrR3dNl4Xrc
Uh6+UAhPq0g22L8aJg07/44eL4QznlUabkxXfViE1ss7XFIg//a5C1lqlK6D7/QuBaGRB7iI21S/
TrSm3u2UmfeoegVXY5YdPR4js5U5qJ4jF5s9GKRuw13VuhYalq+xyM/kNJungbezyQoBgLgjDdqY
pG98BNyWbafA684ZmVXL70Z09DTmr5A8hKP93SrDuEV45AiQJTm+z8d0Cak6My0QDarjV2lMiEqI
AhZkYSgI7vx9MDLVjWIR4ZQEYFgnBjaoH7/HLjXQrZ54AKKJ5ZlM5WrSXk/xjbUkt9I0FE1n6c6a
oi3Cn7PT8yAuCS0GMLS1s7K5m3ybmGq1aBj1Q9EH1L1YjljVxgC06om7xT2oz0ZhC+IbmracBd11
jwTPRGF5iwqc+dQu3MnOfLBFW0UPMMno2eibt8lnjBHWVXfQIVBTjhqMh2Sn9zWawJ4VKEBebyDM
5J3c2nCYNz5hyIPMXPoTMtrQrJnXtxTek+F7xz5EDFB0o/H2QKrTbY4Mvu+oSeEO0tF/2zPmPnNc
6H+mwf1LTTCr7Aiv91eZNuE2c3RPdr2Kpp+hsoub0guKX1jkf3vj4wpjyzk6Yzj9yGDIbRgA1Bjw
fLuG3UISbRMrO/prJ8twkP4c4FEvBPDGjKGjNQY+Fs7USa6xFbJz5vFon7DQkCcTmfsV4n+/jLYw
T9ivuPfDcQ5TPm9ccXFY0sIyjszCYjHA7Qsd/2wHo/NKqDf6U/T0m+O7DMo9/us0Z2FyomOmbf8U
81HbeJGycBu7VoqL2jChpM94JMOAk2Zf2sJ5dz3Kk4gJwnXGshuuE1HE3zjQ7ZEUW6hqvoSqvAIs
s16RsLNDmvTzmf6gZV/Z8/jhwQc941arKMrg+ADuugIQ3NN/ctK2nUPCSBgq5dk8/xkyWfKa4iW/
dRBwbiFYaYwbqUw2HG0HauiF2mVR3r8Hc20/RklVnRIKT/czAX7MLeQ4CNp1Mv5IvdbblKVdwJK1
zOs4ld5hrNLx2QpdzWlSAoLv6+CBwLBzpgJIfViE5blyt/WH60VHRA/GTzp+7IJMXvCiWsu2tfxR
8px54BVxIWPuXbiQAllKKUhxF5I4XYcri7AXtFW6PlTLzWI1YI8rCCxR3bXK/ah8jEKV7ENQ3swb
q7u9btY3qa3lqBr+BFVQOW+EVSGT1Z2mDjyaZLxdLJE5V7YI9jdaVcaZBYx27LKnw6YgpkMypQKx
7VbLDvbd3d4GMVEV4VcGlJxZhQNVDaD9XozQDVtQx98cWgAqy+begEivRkzKY672pT91x6Yd+5+8
tMvNohcQFKWpaKDghwSWLbYZbuGtX9YxtBM3vtamE49Tb4/mq3aFAQ5r0rZ4sahSUdzcF1yx7cAF
b43ZPJvgCHYmWntiJD6pBg3XXgYjo1sKRm6lN8WvpnHSvwvW0D1DK8gGy+TF+6Gz++dmFs7PoQ69
18FMKJpzJ8DULTFMviyl6zYureTbTDI7WdJzv1pP6Hil2jTl62ikudkcUP90Lk7+eKpxJJWpaW9z
57BWLNSSc2DrHVY1X7cxtNacJbvr3YH4eWl/5ZHyGEPbsnsNKFXWj1Hdeu52yWgh3jo9BfVxSeSe
IEHmrAM/pus3LGNFjnxw5vTYODyEmwEnfsa5ve/Q0mZJD1PO2+vNWeBsavbDc+1koQQL0DbwDlRC
7MrCG87IXoF5bRRU1nps4mNbD+7PYpmSfeWEzXuDD+CL5H1JUUHT3jrfe04tJu+k5zZNHwRnPccY
/HkOCeBK+yujXfIzrsLsKOHavWfLaH04Te0HWxnO3k9Q9+Y06mnegeSqn8TiyueYhCDo7thEBy8r
tu3c5EdO1MnF0Lh2aPthOQx8hF+jikfa4ix59ZKm2+Ee3zukU59Slc0nLWmwGcYhu1We5T2E2h3+
sXAD7YbFT5AtaLFhqALWQN0tHSuOih7iJPgc4uQbQot5xk8cgSBpu5LVWoBKJ8Yc/oXyq9bJUKY7
T0gqRSeRvHdBOPyYMt6cwqr0j6yI401kpPtQwRQ7pSD0n7FQ/409ptJIfeGt5Th7pSO75XSVNn88
F75uGk/iwEBZvi4YH09LbNtbIMzTe+64GSpWnjz2kZ9da0Sy7dy1fbUtnUZfTORNWK5AtMq4TJ5H
BICN26R1A1p+aq5U9BS/2ll4zwnhpd28gKbog7p7GjEdHmvV/hhskzJGDwSlA2npDltTA1vBOyt2
+aCXr0QWhLnMYK/zwuUMRK/Cx5jUgjgKKkYh8/AjxTv2GWEU3sOS6I9sq+ONCnEg25zFHisd07uF
cvwwqJwpFqc8MhcFiO8FVNIJzB2A/J5HfuxZ71VTD59p2lXbaNHp1ywDgkkgsTC9Vbg7A8VlDc2O
tytlV9lANgckGbKnBBOoUaIW2IMJ0SxNkj1UGC3ei8DvTxRTZu9WzXPVJ7LkJkjLEb5XHBGJ61xV
aItTdK8aoJG0eDVzIx4Sq6z+epOB9w7+QkAgyvSjXbLnUbsZud9BnHPDGrqyO9txD7dxgbdzsHjQ
8PYVI8VnWufw0zB3xJva8pof2jRtyL3LOC+5PzevqqN9NaNUy6zUPywWE7bVRw+n/GvS9l15jVlf
zj3QruvC6ve+/ENyocsRqgtYPq/D7QGmKdYT9yvsJu6vUVa0oIpywX+o6i/wDg2uUFv9qCUijV/q
+hJzUgNzwtrBHygrN3kFsygdlXcLLVZvR3YAbfyxhzPSjw9LPuqvoRzGs3OH1vQiiLZ9nRYHZGyQ
Nne4DbZdZ1XHafPRKUYfpFism1/k/jrD3kQKcK1Z4pml1nX1XZM+NY8QLRL/YEkifz4h8Xk1TLHz
TrcncJ0mN+nf0aZMFvrKvKX8wshVtODoWNXkmn7k3CE3MTiFA3V88IX4y8ecCf4B+Iik90q8imN3
me0x+SnC1HlVWcUDlOJHQP7p69tcB0RWrDiu3r2y/dv/gwdq1Vx9LSAg/tacQY+Jb7EMYc2kB6+t
N/5okdIEM5THCFtOncO1moFM+fMGAwtOWa3pULhzijiMvZMTqU/QYV/saBL7mCbVc5zBNQpjCEcw
PvyNJSGuDk3EKT246bT3niI3Ki92zMB15Xp3YJKJ8qOvq+o8Edk60vDA4wA0zT8tZTdAvU3c+zZV
ktXTlFqgYrNV9bxp1nI2wxw8pPGcbBA9ur0TRvavhMfnV0NX+0LIsi75/UV7lontP4zcoHaycPUt
m9UV64GzZ2/GWB5ZhBW0A1R0sHy8VFYIHARR6skX9tNdE/ppg9cHMdNMDB5zq8qeONnd+9FYryih
DuhYnHo/gd5G5pSGcy6epG8XD/1t0RuXFtl3MOiFXIVTJ585GhQevYl59CSyFIvqpPqDpoBqneFD
3rh322oQzbyXBV3RuqDBYqcJ3FRsenV39jq0xLU3iOhHG4+CCsqm/5nNrv0AGImsoEwwnfTe6D+7
6dA+tPy0dU3BxTWhIOrBbiywf0S41XnAhn1wa/DdAirjGVhec069NCBCTgK0YvQZb0TFe0qIQT8h
rvV6y3yMI02ggGu0ozVPlJc22Tb25t8hFuENVC93vcTC/rYINBxHkikvkpVpJdUAkaZtFoz0S5Dv
4myId51vL093R8c+EYpclZOVwYPJdfO8WAZm7NAyFkksPC2SggRSEYU6NX6TvYGbZRU0NXw34Up8
d4hXmBZIiT1xJxDvMpk9UhP2yJmLiLjbs5npGioYfSRc92DZdMJ6C/TYr7KZJDfNOzHfJp6vbWYK
86wiQW50DqyjLmRzsmpKySi4bz9tZlobCz/mpi8ZPy9hf+C6joO7bJ9Gu9a7Loc15hBCmFf80ofA
CzOmMGraYdADBVIlWTPTy8Zs0XMT3nGsXqQDgjnaD3nbOWw8lB04Rdi/g9dy3hnfx8Qd5yxZoVwt
8XqUGY6XAkjRymMy9EpndGnvmM0aYnoETaqdBUO8Po/Qo5Fkm5pIaIn4AREsj60fGGP6U2DD3SIQ
gTiwTpJsvJEB7FLSKTJ9SdQCjbQISQ6vyMT50yZr0+FvpsplvwyT/MzFIm+BCWtnp6rCokk6IxC9
80H6o4S0SQhLu5ACMBkDsFuPnTYnXp1SwpAHYfNj8Nzs12jZ8wJfcLK9o7ljLk4LUv9r6i3VR+tS
YmdlVftkBvfeAOW3/TPcEMKNAif/tZkQ4tzxXkWa65++QwNfFPQ5AMgw/LRqN9k1tEavUle5pz4Q
5XvW00QMV8O0u0EmGCsrp0BI0Uc+hYUISmPAvt+dmT4GnBetR7OhNGN5Rb70T0Er1NWdJRJDNlEP
EUMB6nF7usE3qgHuvZg2yHxld4wOLGMsb2OpiXp4cK/LGh+j+UgDyQaBhDo/6NJT2yF5Ths1DJu4
kuFrTg7rEkM79XLZ5RsBKO6Bas/ZHEiBN6QtF0BhQUJLwDqZDSkgA+l1XKE6Y+pqCJWtmmkuwk2q
ZjhQ2kWp3Yx1UOUb162hjc+zuBZeqJ/dWSw/EM6nZ4uE2QyFmcQnpMW97hv3zSX2/kQjnkfDEl3Q
u5rSiU0PSukJiMfMvXwK5Kdu8oQMmyzOdJ2O184SeYsE6STeuQ0MUxfHuZc/JgHJ8znllLXWyho/
ZjzxyP8crneJbzKYTql5AskAkUB5eQh8gA/iuabS21rHjYi/IydRwzr1HOcljhB6mV3a5UuWkhmh
P4ALdCgXn+2099cyTLhImdL1H7va6W/0F9s3MbnV02z5VQZ8Jm1/LlAHH+WStdzl20A+2PQPI+NU
fVYdUt06bzIJxZmQEjXdJYEiBqkD+iep6FKdstmKfqd5uXw1VDB6W5Jx3D1Hu72DxRZY7HJ2ucYt
3Vj84GnDuFkVKTsBqqd56um2/D1ZmDMTwUtEoLv4oZQrjq6jlwf6O9SJJArE/7bsz6ztbEB9aH/3
3tAlm7Bm58Ptab1JK22ejezUyRBsu3iTHrGGJsPffvDIzPDYtsz47/blVhvzR2bUsnbFsOEOUWRr
LTFB0RqgTtgfys2o6uLFAxl1sgS0zSWfh+8qu7ftLpCN9k1hV4fMU6ba3Otnv5zG7pNtPKj6xhUJ
9Ruax1s+usFzwOns99Io9UKNJ//oWIf6eGw/Yn3PqhPZZtyRqt46aWjj24HP8KWaev2bHagMVvcW
r1drcVxK58tOpNu6T64k/PtbjWOK6QFrS7XyBs+jvknra+mq4tw4/CbqPe+pQamu0lSoCfZcDp8Y
FgEh2c4oHoKBoqRIcSuBHjwVN4CyVKInYSYaYmf18gxph2+Eww3AzlQ+M9yqjhheklsPd3EtckM/
6kh/e+fVtDN3DhXdyRQ9leMsT/y2GMh5a/0yINvW/PIjicZ866Q1hKBwCR4HtSzX2ZTfrUMXbD6Q
4ElqkI5ZOD9IEtQv6eRO+65WMEiS8GUGoLbNZXGPmCFdHnVv+9nKnXCJZ0RlX92Jv1coFS/PfMe1
FbzXkAD6aTdyfWVCM6BwWORlj5pj+6dKanmNbBsbvuea7uZxoOcmUPggVQKYziss180pHX2KbOcw
7gEWme7CdPV3je81XzW695+SWKiHSdbes0HO+KwUOYVVDoxPc91lfJMMPE0TNb6sqiA20oraeBtN
Ie8G8behK4k6E3ym2CjrnqoqZHfifNi55pJWMBGfB0tVP9yYLYvKKI4sCQpn7ogJ8hPTFuzNTvPO
PFUfSz5f8vq6PpikCzZY39xtMNtBvbdd32M3jSlNT7UuP6UbQZmJlmFbyDn4O5IRP5PYgSfBdv/T
VondEaErqI4GdBXerWYcZFXG3MpdBm4wwkmmcy96pJyyxdbONAe5t/G/Gt+r7g3Y2jriuOKJRCNJ
4azipdXGZ5ELVdsYMAfJi18x84GuO72mynjf9TSbXynH1lfgp0OH49Xc1/+oGi4yzIIaYJcxn21+
rydmVYCMxZrHDa/kjkeYk8V4HALFHCbXLhtNrpOHybLtX4VLWwThD8yNDF/YuOYqlMcItB09RC7G
QvZgGuEaWgdnn5j4JqtiOq17v/GwywuK2rKomH+0QS6Y2yThToiGPb9qKRCPpF1H6zoSVrTRKl0e
hhTnMkdUTG8qlP0pNn3pEvKb1W8gnylans3Ej2B3zW4l0ga3vxPONPKUadKtENpwo2cJuxgVB/LO
/JaD215CY/gx0PrjQ9TTYbAuQXe/FWPHHEVUOWRnZeqVjizriMhegl7o+vv/MPHSEX9OxRszW7cA
qyhKRYu873+T5qweGyaoeGhxIy8F2+UqgmPTH7VNXe5GicV8oDfTY0D91iu5AjjkgaZyLQ6NXnvM
B7dTat9LhAsbp9sovnOPWDxeSmBdUQ5m1iOMFu18XATrEHH4vJS2c8L9bh5nm4m369xF8jKpYcF0
YkuVp8ObNVJ8kU3PnoUymvQTt+v+Y+AQfpqjqjhCJbJA3Dn9Zprb8Y/T+NnDwHHikWIP1q+FFhil
7OpCz6Qgzcp/g5uG1weUsf1hU6xOa1qSPwAkEtta2yR9SWX26dr19UcyNMtzN47VpSYWwxgd/xdF
5+WxcJT9u2hGKIdN0F3KAXcWLSBZt27SKd3A9l5+g2lLDjHo/GO31IAGBwi7Uz3E/n+Mfv/fG/Q6
NxDGvr5LpjVpr7v0t/63wwfKGEESIl7/V3/QV067wvf/4ff+T0IZ5tSAZCReP2nj+/mXQ8jHWC7+
W6LNdf7Lk5jmMHeCCUK85g9CyP6f2tjgv+5uOkmDqmv/Jx/3/5Bok+p/NQvj06GowbmPQyWktNCz
727Ff7lok4gmBN+VKASZT8MCF+EJGI1PtDyMlP/Vw2t4djCyrsDh2yx0S2XWdj5LscMPoRnzqOlC
rC1d5yPrFM6MltXtbaCDoUKYWzPe9jeJbIujAn7/Cz4PZ/ssBbOR6ZjtBwkfWZExEPvkXAZ3A1Bq
36LCcXeVbpcn4RKNL1qPUXo18KeQBLaZhA1ma+fTwaqa7k/cjUB8ka4IGpQMMYvQCR5tPaSXOBDO
duYez8F/gD5FpHrr6TLd9joLzqRdwjVVoLiGHAKmSeaG3xmDPvq12tneOX3k7et5sF/UkqZPeYOR
h29GbUpgB2rlkbI+WdgQNza35J1YVCXWbsH1kx2z+yqw7kKwjam0K4MWv1M8zvm0TrxRrBx/CJ45
/cUb2Tb1FR5988sui/bRy+2Lt3CYJ5S31DhSwL8elrm4jKM6A8J4TiywL743XFWVU0PXdBt2LQ17
Hu8L6ZgjgQpDjSJkzQLkYwnaITA4uVEz5Kv2lTS0542RvXG89BmP9rnL7/2eiPubqGIEQFk4gJWk
nENCc+he3GUgln1ZrjU/zF0XfYaZ8Y/ZEjRXosOUkBJAk6TBSH512dwfjLRs5tuIOmtbuxAWAk6X
K/B8+VGWRh1GuBSHIh7Gt9H1EQVoPM9hKy5c9V1QIbbiUl+L1vrduzpaD7lP7IknrV8N1aR+TNxc
z7QITKsyTlAyuGjQyEQT8TeduQw5eSoPzM7A+tZ+Uu3t2q8+R/y3NIBSm1k4dvara+qfWFrUzzBc
1F6VVX4rc2+8ItqgV6YTDAqEtEuVtuqSFUCoW4cpHNvbJapNzCQSGkbXutYhtKd8z1xKPCuu9Cn6
OYNc7ok80T63/pUTDY9BxdpfGDJ795mHWdNd7NBU19XzCuKretdKJNjbwik5YkeaX0wam2M59c5V
kPUCxeY34xfHiQmaOc0I7tJne1JC+nMq794PSJ8HprHua28HCJDBVE9PAHi7z0JGbbfOswUFZjSW
3z5SsUppVDSVVrfxHNWj8+bWNncn9JCIm/PBIpywp1WJH1OBsLqOUpbvHkZ33EEWX0XLwDjZ9pw8
vVUFFeG8cP1YuyBXTyoT0dZKoWuzXDhoc7SqPVLwi8K8eMV1Qhy7jNRsX40zBmaFGXJ+gTjtnLxc
k4P0qEKCaiDiJ0oMEkB+TiZ2I2OFbWoUx0JiOda5jKgRubfD1g4/FIWP+Uz1EKH7X3HaDVsdmQrE
E9KBQ5nJQcGnbffamhqu4dwNMHE1l6SE9DA22kQr9AR3F/hUIXB2L9KLyGDS4H6RFyfpzRlwWMIR
VugLUfjpISmL8pNcHbRCHdWjuxbzWxN5nIv8xo1ena4UxMYW5vZTG65zThecNRuzST20/RRs1V6l
Du/WPJU5gZlieg4GxzzPFL+D92DcuW6w5WxYUrdk5g8UhHUHBb35wtwUNkTujyeu6u3VkWF5TX3l
v7fMGd+huNZ/JreJ6RE1tThES2C9KCwKTyM3pXcsNhY1n82UnTXZL8i7KgMYE/JIV677t8rx79TO
1Lz7te1sLHyE7ylmDR4Khi2UVxTLlj4mucu80NmLLE+wayQT6bG4Z+LWcVi0EBtfPIX+SaE09DHS
LPMRR5p7iUvqXudS4r0INVUFqAebGCDrMeuG8KMiSLRrezHcWmpJrvwyOiJ9qI90cso9OLtkp1E2
H4Xsh8dRgkmclR53niPKTwb94WeIE/M6SPAWwlgpYf5c8LRLvb33Ssk1Tkhx7PIRqa8tSzxIRZ6c
8rkYSLR67R3T2h2p6SuvDUnkdZanv0VnAsq6+xMsnjuIQu8AHH02LlHl9TyoWwxVOS7pAAsSFb/S
2jf+qXp7ggzmmr3uwEQy1RUg5+S8ANUFykbkqfOmaWfNLrqFBiZ1aZSl18sd44lwTiQwIO4coTIc
/IzJUclh3XM/urk7MUCxHpx6PJRxUK0UXDZjdd2BpXqLFFqty6xsD3BlmKd2Trd2AEkCMeuoKls5
tu8Wp9zlmorSo6GDZgPXP5EMZpfTn3NMBgTDNeAKcJXgVFZJ133ad6V5HBjBrYPJNQ21tP700t2R
GYMnlq1oJ6yiIE1upPD8cjvEdXjAYDhDyiYwBJwkBDN5U9jdVgUeoavds581g5sfolA0v9pgLk+M
nMD68My/IhchbJjGe0gQtzYwVJqN01fzmZv+XrvLcpC4Y/YVw+4Px0TfWAP5v42+EoMQP5VUTWJR
O+gaoQ85v/VBS4YOyFDjWSiafg7SOqvtF28ee5RkXFdPiapmvSKMQSbTT2Clyco4u5KLCgxl2/pr
ok6egN1177wf7UUFzXBwkfTZZob6uyQyfQhEo04aiNAX8WwUxaS6RrlzF1NniqHGMnrhCyj5TMUd
Gpl3wRdjTFTkvk0eGSBn+H9mptG9cTATLvW1cCv70mPhhR1mj9sxiRta7KxxbHaTIKkppAYvxNw6
/FtaLlA0ywp3E1cyirrd7m5zCqZ0S6sOlX8SqN2x8irrpugaTLf4m8ZDZe6DUq7EktIsmnRunC/S
6qGA+AJeryySZMUysE6OjP8XOkcph5+euPh1J2ibxTMZ0PRPyYozrxJPToS6WnB0rkzf3LLMthnH
XUyuAA/BJxU7I0Br8GvlHsooSXcuMZOVVaf21g3tdN3CLjvAHaTkRE3NrZ+mJwtybQXYhB/YH7va
1JvB4P0IbJOvNEeLNVn0eN31k/meUmP+To347lO/+1TF+CUbuPcrn16eJyZ4EpF/0IdFpSmzPXe6
KLfDvdrY43nxRLepIwYyqk/oXMElh/QxuCe3DV7FMpVoClMOMtW6t05X/SbpGSHCy4s3fuFXuwRX
8BlY1vSkQZbso3qyXjDi6f3kOxI7RyWpiJ2jbzDn7o53NAaut7h8DUP5msK4eUhh8l5tUNLUJI56
Z2WlAzy/kC+xirsL8FN8mplYso3vacpQ6BCIT7Ol7lQqHR87o9pfVHGBpbOa6EplxICTq1brjiWK
mGXmUwGZ4gYvIncbtxbDfrzz6XoK4E2ghBroLcASybqPVk0t56S26JnJLtPwgjldTRbM0do7K1yV
mK0N0ScjnZdIh/fcLzO5wRLRwZ+9fJ/Pk/OukczBR9DylMtxOqZFVF/VVMzOapCojJQVW+mHn3b6
0E55c7Ndl2y+SOMnL8W9FqjFe2ejw20t6WPeVND7tt4U5KfUKUl9QnFgaWmqv+jjwYPs/eJtzKty
j0Bqb1sSRocl93zCzbO3u6NMj9XYOBQkRCFbDe4q+m9yd8OI3Fx6Wz/7dr/jnGpfAOBk26DoflhR
vWknSoHH2fpZjVhDYf/4by7lNisZ3Pvcai4tjVQ9RR22YZiF5ELXJDXexkvRSIHfguUsSfjzYICZ
LTWBeqoV5Cu9xP6GVELE38CoVUfb5elfN8vrf3IT/84hC++/JTn+t3vaPZP3r3sa5ev4buw0ORhK
ClaW6+eYBEJU5xDEsqAMAyVpst7aUJjXgHnLxxyMzZNIlvgczKL9SYI921JLGgz05Yp4nwyM/gmw
LzvbtxDiVI6YRWHetULowehN0Qs1KnwD9jr0OEpYlB5/eJLZE4eaalxHQld7VApv66EJBUFq/caf
Dr3QMvWTlRX9oezk+9D2ztHSjb+N2tD5EMOgztrxkZ3asN6ADealzX0M7EWe0/fsdqiybbAcu0Sp
T07qMVyBMWP4OH3Vo38d9PDicUJZzTlTFNI488Zfkhm3SXWJ0ny5pGNOjUkeUGVpOx0ckZxZ2/+g
7kyW5MTWLf0qZTVHBhvYwKDuwHuPvm80wSKkEH2zNz1PXx+ReW4pQlmSHbOya3UHx85AUuIOOPzN
Wt+Su3zUrKgWHuh30SoWV4YTkUExFRSFWzQS1eMsilxs6sRnd6dj2Z8B9JuOsaLaXZG/Kq+rqukv
GyQPWM95HJxPcSbe3M5MvtcoDTe1Y3hb2BXipmJqH6ygm6LEkLa5raZenjptZxxcYJObhlx6NqMw
EeYtcr7xrW+YfMXwRMrORc2jC/Z1o8p3fUTvJBcjgU1WzHk4uD5x7IVuibNycduD1gKPSNbn5ZyV
vKHjEu0I/esVMOSQTSr8rxt+6MFxDMbhSNgQewmTCttin/yDmGZKwWIYxru4YGkH/9iHOOGrssO+
ABr3DJBnetm/l9z5e/ktlkqctzBFeVpDueVEip1JL0+ywhDHl/ZSyTNR5NnkL/W99V7pmymQw26p
/wfDb8+CpSeAURmQLkCf0OWoeVc6MvzLJh3Q5KMeuCuWBkO/9xqSyoyH0dKC2O/dSLc0JsXSoiCv
p1sJl8Zl0MBTCzlAyYxhhGztTuEXj9kFBu8tj//e/lieLusDSbkj5iHJaBBc23ZiQ84Fz7hxgwzP
TwQJ4KUu8RQAWgCSUvbtlTPqdD8RyDHzEKPfYpd+W2tHIgOubwyRJAf2QNWZDR3mpugshyg3KmVj
QkW/qiiFIQOVip3vkkJFYJdcAcit1zFwM5b1XId1HJnWo1Cuu+5wxVyxevUeFNeANfXSMmZL88h4
mj4yS3V2HmctkwKaTKdkUzy8d57yvQsNloa0tuxsr5YmFUVVueuILTxTdLBIJ8meWJraYmlv+ZBL
o0vLy5haPuRLGyyXhthfWmPXiPzn0lHPY5Nmr3JpoLullZ6Xprpc2mv/vdOel6Y7XtrvYGnEp/ee
PF/ac9I0Cc5cWvZ2ad7HpY1v3zt6vTT35dLmz0vDn/KQLkIAYy1qVnxh75OBbBkSoDf3Du4yOBBt
F/zBhWstPu0PBrX3Byq1IcY44Xnu4gT96YEa6CaanHHy9wz4b+cn+0m9GE/qZrhorhEYlZckQvz+
Gf4JifQ+arNMJyAJwAn45XufjrjoWAt4TOG+l374mlcY7NdQ3aYLtEazWFMYLigf1cq1FWXxq+XO
eEGdkDxsyx3tBYkX7sp0YHWH4hha7RzCJ1yLCoX/fnZD47EBwXcn4WFlEJ6qAcGCs+hW22zSh1FV
6swudHaCC2g88mLm58Z0YCU9/6YD+L/vqabonYt0lzuW2k0NpFUfRMtXOaRog4cwP/bK9fftlBtw
SQZ9Bko9Q8+HiFMscTqnPfXdbcwG+AX5QwqPZWHMpGOiHxyU1vwcC5E//uGkLj7CD5fREWbgWHLh
gjlS+p8Mu00Q2PR6S7586zsnZZYcWxH6W3cygq0QtFsisN0r02EtzvIDmIqbdO6+F5713PhxXK5Z
9kXfp74bTorcmU4N32qufIayT9R3BGOhK+hYR287M5jBitrDjS7apFsVRp3x00xtIKrelB3MltnB
KiRk2tvIyPDQN0RltSWZ0TmxA9FTIJNF+qLnDglV0UrW0PPyPmLDx6spfX9Nze+vLOf99RUvb7Jg
eae9n7D/spH+cqD/9Pv+f5ImYlrUfwEV03/iP34x897ppO40hJC/8kmO3//X/yQU5O9/9tecPhBf
cGBIy4IWtwze/w95LrC+WPR+gnE7f+5ZPuP4f7HnnC+uKyUsBv6JD5Tmp0m9gGQXIBF0cf8yjmGb
8G9M6jHPfrzTSeWxkXDzH+Red3ljfnLS12VmGBNbLuz8IIa6rBUrY/APRV/wUg/GJ3YGywY5zoEr
ZgBgq/YN79Nj6vtP+MsZqqslalEN39sp8VYZ5LNtO0okU4ZlkEOgytsMPcGp12N0wjpbbuCdNsAl
02tZGyDPRR8jDEa8jkHwwqszhGzJFFPEuE84pIC5d9NN5ZhvRZ1fWRP1WR652MeClBilzPjOI+CC
lDBQmJWhvuLpilYurf6hnSaJM8oOOWrUf02a/ADa+Uzn/CZYKjJQKWSEPSRESCNcwPpqQsFhpyUe
H88+bVNnPqmNWp7FJE0hufEcBhtmPj2EQXRnJtnLEOunzCQFBDLsNJ8bnuOiJBvZoVbE5lIHd6tU
ON1NMZHQpDPnrJbWeBRgKXdzOFWbCEIuTFYraQPmPBPYodS1uh8EHl8suWS0TrZ3jWWcQrmOWYgD
1Z0at1gDyCnPPXKS8Cc14autIuMgHYQiyGLqjSa9lpRaVniZtuoTM4/kayunr5ocqbUNXw66OrHR
ImCYXpOz/EoRZZyHsgfwhLKfgd6QbghUc9DG6g4fV/WGTQd1VqC8S03ZtcPRRBJgiiOJwFZ/UeI6
2yxGojsEhKiqYhQ3fjN/r+swWVcZKR5D3mVPdjU9OT7xs0NG5BmCYnNVNKwlVNYBYnDizTwZGWV1
/gNlQcakkoFcm2cb2fPX5zafYtjbXgsGwSSRRHID+Fl+MGsdnyZefpdIeee1TYrOjUVpEY3JHSap
hv5DZNul6z9PVZTfUEn7a6vos/WcBTar35gs1tq59+w03HqRQXOaqkfu1+BtNEs4fMhWLqCgasDl
RFn0dXMXGuEdsqytrMYCT22D5t/JNoxbAsKlsUmhB3vOy9E8pG1zY7n1uM1aGMZYqBqGQ1X7YC55
oK70b/opuMMudAUhmHuW3/u6ZyqyYvpNAga+tGAPxSgKz1NbKA0XviWWIEx4R0STrq/YXZPZ6tI3
xTrLkVSKfFs50XAE4FLvJPfgZdQ2/QnVQXLgvT+tmM7wOAua/QyOo4OsFK9pYO1TF+v+TZM6/l7U
2CLAFj1YzJRuC+SuJwNwE7ineN1aR96z7BD7LOmLh5wJ55pLhYHZnTAzZSmpPkFnhM+6qntAv0Lh
YW2ik3kawLeEdHSYdF0tNl2o38grxb9VlaTdjHNwgdh7vKbFDTb16GRbWlF73TbyhBrCvqTtwC0T
usQZBAPsPosmbKr97tJM54KuU87f2ilA1TUr6HNedfDNlClbPVvXxLXiFDFozKZ4JMDIDMBPNaGH
ojLCBdUOfr+WtZ8cRLwgNpjIk32DUGwTDEb3ODWBvGcF7h2YNYaPuemFa8P0SCLszXSfOF58TD01
nSrPTe6DpFZnUaUQIMXuLG5yHLsXQaGJ7wzy9FGW4pHgapZocsK/B46sbsaruu3FG/MGnJuDRJ2f
NDQDdg96ORmx1vixsXDm69cETvBbbzfFpVfbwwlmnuHQtqRKQ2ChhfagdlszhHEnry8M7Z+GRiE2
+N3byGQVufTaBVRkRtgKlUUo+OUmdropRvrGuo+9U9Ig06thDuuz0GrTy9iEhEvo9Vknk35fOK16
LM2uI1m20Betmjp0iQS6d4kltsUiTO7TOb3vMe7t8mGab8IYvZVbEpiC/2pTTQOmnbS75j1kHDsS
FnbQeKJXXRVE4+WoMkYCFdi8sEUUZXtZZb67YSyBKrr0O3JLE/Lt4wydn1Ndu/DzmWo73UrTN0Lx
9gQtqR9uptmamA66AXMB1+g2raFcYgnxbJg602ej0WJWLZDLhUWOUdKzeQon7ptlIedjW2OtnSC4
ZrTwLRH+RCwQlnInoDUazRqwf5+SDd41M+oc4rHZGxGoUYYPplPxVlw+g2DIsI2gAa6rNhCPPpvn
NfIuSdDsHJxnWSzStehdB6S7HQ2vBrM86HbloO9E7f9wm/SckEievtbBB763Bftxid4uWDG+tI1N
6scDEkeyyHs/M0jyZS7OqPyc7XuKZcmXWyVcos3n+AHFDV0WxlMCjjVGeiN4Bgo071RQf69GbijZ
5He9oghM0cFvyty8mPsZSLsiZKmW6T2qBnHsGAyv9XKlMXOGO7uPBMkOPHraoPxeivkVbeDX3gOg
vzJQJW5z4nK3XoNKDRR4cjKG0VUSKxDeZkRgkC2uE4vYyyns/XUF0GCDXI/+fGa85qSMd5s+03eR
jdRsbiKs+Yi7DvZYvZgGTyFCHTegDLeydV8nMA2D434vutKlSQd8AdsBGQUF3H9ZJftzIfsf/43A
NTAv5W+FKWcvWRO/fB/e3uoP9e5f/+6vYtdzYCaTYRp4eLeXwDua0b8wy574ggLRlEvh+l4I8yd/
F7uW9cUzl2w8m5cAOLGfZCn+l6Vyppeiu/QolM3g3yl2f0HY4Y30LLRTS18HXif4BFlzMX3G2i6Z
FQ/FSVAQC0tKDYtF/bVtkmEF8WaTyaFcsVHchwS28uM2H2IEcmeM6Z7sIX3uIFVKPU97/PYdY5/2
KiWhcs23SDYVr5qNqhtnrd38qfUbRlikDAwuGbX9RLsmBcoHKDkofNdiSC9/6jz+YZj7GZ/Gl2OO
Q0dhQ5RkI/3py6UsCFuYGQ7k2nSDGGSXhT9KKgUkOn/g8Hw+ksOVpEKxAga+y9RhGSr/NOOIIJ56
PUvQTWNVLI1KUpuMM/gJG6uONr//Uguy6EMjLlEsObTgjrRd/k98EhIhw2fYNpAfXMr+m0ci+hp9
xWM74WjRPOzDftl6yj7bmAqkmodBEKKV06+8SMX70BrY4XT13km8Z/7WHdFb58ypZ5ha+ikyhlMy
RV5AtztuDVZeVq/sL6d1bcc4kEt1NjkRCQpuMuxC24Sr0jVHmzjUdduzNnXMZNggdHqR/fysVPLV
Vh6x2pnp/uF0/zJT4sv7AS9FhF7YL4DFfjzfRMbG/WQbwabyfQRFpKwUMB0YtjLZDPdB9VQX8sWg
mBEMYsckRFPbF99zI377/cV4P9DPUxHpeBa0J9sz36Vn1qcPQhWFQDxyeeCjg1pZipdGb3hPftQg
GbLyb1T6p0yeVkmen+puvqsQF/Vh6u1tCECrIhDXdqdvGd1sRlftnch7mdPoazFZREq6N3/4sAtE
9ecP6zG24SGEUdVkDscj5ONZI+3ONygAoTGZM/ImbGvkFN05vXmL0uEcR9Zd01VHXMKHeZT7RJkP
Rgz3CLfKKh6R57BA66155eESI3oqJvBE3g1MaFe//5y/XF0+Z4BoGBQPPyWXJ93Hz+lGChNOAgW1
T/Lb2ifGZijoNdUw4mzqyEFrrFWRAgp2ZIsQRs9fyZy+ndjUd8jEf/9hlnPy6Zz9/Fn8T2BaU9YW
3F/ARyG1+QiCmyx5sEAUQ77YN3883Psz6fPxpMndhCDR95i1ffzupN9l/pxT+NvtzJA2qquV3xIa
WgzcFc4ttCWxY9FfYXAhmEUtGBuMXtCc4q/eREZTmobNNmJ/D0W5fAo7NNNNsCvS5m5O8uxU4O5d
d2EAcdxNroOC9OQ2ZYtiz2d+2ziHVLLSgJ9FOB4CuklU1nYA0OcHQbqG+lJsHUedEV4OqXnK8Zwh
yTu0PsbNylXziuaYOaAGAI7A4Or3F+LjI9ZzlpuC2aNE2MloyOG99+ERi7WPeKSWCzHPznZ2oh35
iWPqg274A0lR/PozoUwkRYTgAQ5ku59eGy4kMVGG/Kbt1Dtl0fVWuhYrOr+GyRDYeO+b+DEdh1tH
zUeQ+De4ip5Dv2gIBw+/6tBH2tV8J+ByVZrZQefirm31+Vjl+9+fkF82lZ78+DmpH35+6ZigHiJR
qwzjtDybrGHXZF66Brf2FPKCXnlm32/iukcnaZALl4/luYa1svZr3CkzAhfshMaFdBpjO47KPtik
iZzrRhf4SIfs4BLCvI+UdE5mTFkP3YD2o1btRV+RY+ZA1cYl0Y8rSNVI1QIOLM0eKwMqSoDczjIy
QwyCNLvYVmwV9qVTPZJN8BLGNYnZ+LW+Tm73IGB2EHQa9z+KugfdHUYaFL6KThkJz7sMy+jvz9mv
NxHVjstwL+A1bfMG+XjKMqr1Do5FsInc8KKF8Oa2PRWztw9rsfv9oax/OtYy3bRdYTuWa316T48p
5o/Grkh4RUV30nXz45zU9mmtif+OByQSuaI/L6fzJvoRecmwruwGbULAC3ZoGbDME/AIO3X1FV6C
P3y45dgfnzKejaKR08CPijr30y3OyM8qXJ9uNy3ykynaea5xOqv7P5yBz5UKN6hvkmIESY5hLorD
j2dbi2W7JPNom+Ie8kdvPEyEA29wneznJK42U9PdDFFdv+TKvWffcu0SDZqaAPQ8p+y2aibQUemk
pJEarwAAx2cAgTLW/p7zh4Linz6p9B1eitwWApPkx0/apnaIvTsJN76seKokxa5PkScv+rLIBLAi
Y48VbHjqE7n3+5NEQ/HxShBPKSRMSw/Ah+d+ftj0ftHOVVSFwEu9h3DweMToNXIRen3BQAwLYKH+
cEjrn44pLSGkg6GUB9yn6xKQCuEgFw82gQr3hViMP0mNEMMhygIM6llVdN/irL9XsQPiRb6QNBgj
jXpF3h+tY6OqLog2xA1rw/fz1kl69/tT4vzyAAbxQH1HgetBx6Ny/3g1RoMNtylaY9Mw7oBwvg/d
cBem/FzAkkB2y+b8FO7PfhjFj9SFIIaUG2oCEaGSaRvJMAjXHcYD/Y80jnfFaO6iHnegkSVXg8z2
dYzE1EU/HtTVN8n7duvhw+4jIzhW/PFcE8qbwklZFWOzwUBDQq7bvE2FeddBMLFQLTVTiXY2g+MX
DmBZdPaHK/SLWcBj/0Hb4lHk8tsBdvrxDJRJ0tJtxN6m6b07UbjXs1+RMYilrK7HnOyDVm/x2p/X
I+mgJPyuc/bFLJgJcmyj5gat5A3aUV4GBgKyJHPWo9C84D089YX55ClIJkXQDIz39VnUtMSkTDy8
ydvd6UFaEIGzMy+CM5KE4YvvEoAtI/+2t4NnSyTnFsAXHNpHnfI2SNlfDJBryC+dv2OjrsFSqQvd
LWkefDSzuMzz8WxM07MMRgR4FbKz2naD2C5axj37tpXnlcEinR5kOwYI/gndmndOaWN0RVRVQbFD
98AKvy0IwbCycRfDkrORwBPHZp1gVvw26Oiyyp+8OSAi5O33N+Mv9Z/Pqoom3aO1M21mXh+vREeC
T+kpm3pMrNV8cJFwVgfF5Bb25fuR/l+PWf4bDVBsJhU8W/7vy8LHt6b9H6u3MnrJfx6g/P3v/t4W
ml9oT33ToWfBLLQkS/09QPHdLz6DEOnz1LZJw1pGK//aFnpfGLp4ZsAjlTmJt+Cn/+Xrsb64DiBh
JCQekROe829xfz+/5NlGslSWrLaR5VCifnpUeQ7htznwzb2Ou2ynWAet+kgmG95zPjiq6fjT6bn6
6w39szztl9Zo2X4y/nE83qz0Ru+Pzp8GDakYQzaXAeSjrIn2kcjSN2hC6rq3ECePE0SbIsSPgLoj
MNkpTj0jU0wC3QOwk3yNU9DGtxwicPrD51oeSD8XFMvnYoDk42vCTeV64uPPZOFX0OaS44ec+GuL
6m9DFoO/8mb3IFrnBBsIYUvghAh4ycdNPJ27ujP/oN3jmv7yGZj2gIhmuGSDHf34GYBO0Lyknb+v
YW/t4biFJz6O5Lvff9V/uOIOXxWbuB1QOAXLn/90BTxOMlbO1N/bFelA2cCSwUsOQ4KuVA3ER/3+
aP/wnVx8YzZX3BXsvT/dX1poy6TLCfZB6cnd6C+ZL10t/nCU5YX/6eoF/CKWcpAGiyX6x+8k0Fgj
Pg+RI8VLyYUKdVXm3U1fJN9+/3X+4eRRYS0VJ9+HoufTgVyDBur99g0T+C6Fkf4YEjawmV1e2Wn2
Bx3QPx5MUufCXmZWZH462Ng5FfHojrevbHbGGMVANvaYU4uZHnhM5eH3321RIPxyFgUzXt4SlFb2
Il74+c5ImLzM2ou8vTIcqtS+Cs4GLzRvciuWx6qIs00NDmkXt4C/5iqtdrwdw1dYPCWhQtDigDvp
vV0W/cYmZMMi7AheuLT9nNkcbnpk8UW98eMSsnGXlrhbUVW2K13Pcb+qBjWs63aGgeamsl+ZqbzW
RaGvf/8d3+dZn+8UNBikvzG2/vV+HMpEsN5MvH1UxuKYuoZ/nHrXXHu9e29QFRHb3RxLHf3w7LjG
Z5uJOyLc/T+c6n+6XwOe3HhimJNDiPx4pvHAOSVp7cE+x791RDV8UTKBZ/0OPuj3X/jXIwWkKkCj
8G3f5Vx/OhINQDMAG/P3XpgU67EjLZ413dcmhlX4+yOx3/n1hoU7xkqAfpG+8a8//+nRogrLxlPT
eHsH3zU7NiNZElPHK6Yi4400uBGEau9gFRQE+7XAzJi8qDXW9JqEpmocDqxG8z25YgHMt86Vt6TG
uy9ur/wDYLE2X9uqwxTWtM4ZhJfqNCP6bV/qmED72urScZdTjwJUtLAVFl53JATXP9Ss4GFzgXc0
VKM2WiuxtV0mzfxFM7dWLuLucD+0QuHdQa/bxal7ycRkBFQcN+z7+lGwXvSTy9As0hegocXRgWG6
NfNgPkwBMSpVr1BnqBZrkj07l4Pgi88NVZ4R0nu5AbYRn2zqcyudUI+29jYP6wJoV0ImS8HAnfyN
+g4PQo3uuaxf/MhEO4OkmADwSSGBrFDRUjxPuGvK/JCYbXprmLW69E0so6sRMiYp2yNQwHGw1VPN
Rvgc/nH4EAdzsu/RSX+Tw+K8D037OTPSxzKnS19lRiVP01ZfknJvX3hFvIHUdLAdoziUvWXD42NJ
eAO5HwuNHUv/1HTs5nLuocNErZL7Rulsz9ep134P6yDMFUClueryk75KcKXwlJrOAvhUsLQzkGwU
1iGi4Y6Zyj5XQ/9GycQ5gfNyhryuxnHaWQCMw5BTZhPeqCqnecTx0z8gpUiB1Lh1A1pNm8EDZRvD
GVhsLcTmwjl2HbTVAXHfWkvXOVO9ZGqjzBA7GwHZ2BJnXv3QwIBwrdLcqbpN1i8igSjQu9Lneoum
5/T1RuO+hEQVbyKuLQ+h3kq2Tu26zwx9plM2Ws4zfHHsriiF48s+UiZZSASBNFA5zAZibdhgTNHO
hPWG2KHgAaBYmz8QJojtAAn0N+USWLvyQpc7PoBEfYuCMgMBHg/1FoNxeFI0eo39xPsxRxDvViaS
wmhjtoie9niLiBRLs246E1mhGGu1skKoO7DdlhFGLhCOe4EpS6x4HhSvrF/6gNAWQMeBQ0i1DpBI
2VHWHXD2judyJndtlTpRsK+AyGnM2kWx8cvwIuvGiAwdrIWsTCw+bzwABl2MYjJBritj5q1GMp+J
Qe+63lInceDq06gti1u7HICAJNNuBMV8hyBz3AKMbHcNn+0wGFW0C1QbHHzXLLi+Y7GJ5Mj9kYPt
w4qSdxJ7ZWQ9sCn3Tu1JvcGZVdukw7asY6W+BiHTIApUWx0NSwPjMFIsfaJfVhcz0DeDkfyGKCfO
PnxeGDIloulxApBXamA1jhtBgk+KF1NH6UVaWsPBtzXWMRtVLIKXYbjuUxMIM5f4NsRWf0gTI98O
JHfucSugBUpj/a0HS3gtggYT8WAUe910Ptv6yNr5Jsng5D7vxp4CcZwt5zRkKbgdPRTOukPe1tcn
kZv4IBJ91ZJtN7BpbSLyF9PwHqwwCCZtRZcGYdenWrfBC9gp+17MbrsF0Wm7TI40G/tShweB857k
yzbZMvbhp+Ab0UmSWf0G9Uu/ASAVn0Z1/+T7GlJYZULvcuEWDl3XHTTy0vM2h7W/ZlIwo3tInFUE
ARx3ogFqyOnwiJBWHqxsd75obIXzIfXmW6G85ryes+R1THji0pozMw2xrSpcv1cNc1Ui443wqYYi
s+qyObiXyqEn1hOrvskDKB6kT4jTyGZvihEVS9isIzA3eXGDJTsHE1PI44AdcBVm6SaaiQTJO9/Y
VbYc3kjTRcaY1fCH+K0Z1hPsSfvcyZtzFsCoieo0Wo+DOa2FM1lneWs7EWadON/p3APnkVfDriJZ
jLgHxHmpJXEvat3fgNAuk512sDrnLQQU1p4/RtmsisFz7yiS5n2nMGgAFXtgrmDuLUu62wF78blT
ttd1gjkrhcPlkfiKZ1Mw6QnLF6sCaE0yw7gMVpIIM5Ry0FI1HsaxhOH/yGQH8clgX6ihC29KMyy2
GDCgQvvOuVPhBg5IlluNthx3w9Cpr2HAUN6brGqNcfQKbp6/SwkLH9BaDfKp9CDeWXk07aCaZja4
c3CTa3x+zLmrqazvqcvGa1Em9iEHsLPXaPnXFg+bC5BcNTs/I7iN+b7POhh6wiTHXHM2ZCFHHucK
Gj0m88rbQJUPTeTSOGaRynFG0PzN3hX+NyxOEQ+vxz7WzavAC2aulRfo7hiBQPN3smRW3zbzj4lc
hVWULDBVr3uBGlkd+c/hlvbHBv+wdtZE5CiGU/kNz/4NpgTrgh+h2s8pJHhhB9mzMG11QgoCws4O
a4tF3hGjnCjeJQmMcgu5PBHf+lTP4XiJg+yhZxy4iQLj3s4Hsmx4yV9JqKq7Bvgp4kQC0tEPyYE7
N2vy9ew56pZpyq2XNOpQ1SRdBRDMD20DXnGcWC8VquuOXZjiI9FdibDF5abolYCKUeVyzyPF2KJS
NGEqw5af2kJcdXWebEqcoM+V7zRbhag0hP1/WmqeFmMTVD94IYGJAnJ1IOyrv4/QIyODGd3hTeez
66wqE+VVitF2Nc+BSc3oTjvDYKBGWkFxHJLmRyVEdTIOoXULqoLAYXO6SnSfnUwzXpEqsIHoWJbR
PxCTGf1w0YFuY67NJSo48+i5KtwZZaBvZjePdk0Rftckg15YJUuyPIFDLv2UwIos7bLDCNlgP6Tk
C3ShSrdtYV6r2fGJUY0FNrp+RAnrOoC9nKg8SfGlr/1RgMiw8YoDap931ZiwUJ4SgHDoilkaQIoc
oD4TiCNGkZ+SuJq1ED04I4FM831YIglwQG+t6lieZk73NOmxYhs1XowYI767Rd2dqdquMY7n45re
8KIjn3UbhE3zYjdYywtT9cfCnfZZZTwQnUMKRzdDxAejX55UIS7VmCkkSCxZ3I/N2F4E3gCZipfg
YawJ5WYte+/Usb8qY19sVNDr76ocZt7cyyZIEPSzBqgzbGrBszmrZITkuYyurb4s13AJkSwzoc5W
rP+qDYOM/goI1mM9lTgzje4sFqyNimnYVjHPbczE9Tbvxg1WVz9Z9dW8h60MSF70qwZK27nAj84x
k+Sawt7FSpkuQjkibnDp+oKBb/nQpEayq71y22fmt1Imh26w2iP0SUh9CIphhXrEAQB+5d2HlbNN
XHIdjBLSK8EdlevtJomBhDmt4Z8EFZZkYScQRtGYjSR+qC4jhmFwN6WK6j2lfLb1I/IRZJyGewI+
yeDh+CtduN9a5YZPHkaWVY2X2hzgFswpKZK1up9aPNcNCprW6B78VPRXMXHTnNrnoEU6a8fGNz+p
HoSdnWP/vI163lBJYV3C4HyLsjc9+P0edHm3MpPorpUdCj5VY8T0zhLXOjfE3K1zr2vOcm2cae4g
CPQBGI7BBpA2oveMCPHgLYXkuO73tlTF42x/ZxSX73zs+WtrSIt1TiovXqbJ4AI2yR0OWlQiTXmv
Z/9BqpT/qZesDr+OlXsWW/mzI9z2tAFyvO5yDbSxiO9jEWBLKu6grTzjY4Je4Cya+/LCllgTTUHu
Ch5lHKOQMVdtWg0rAbcF6Qrzi1gJYokGpAMyv0n5VR2Bmb0ydjjKYdoYvnJZXcJsVixJVRqHBxYm
/WUZRO7lVHvNGzL2gKGZewSMizIqceWuDwfEq0P4mtkejTnt/l2r4O4vTT4/WcOV3+IZqXGB3ikK
C3enA5PtWkainQjJaKWUkmrr2OhD45zNRjOW6QZNEXSMsjwXDryyphypVeowoLkfyJCIaBGagZ1Z
hyA/Z4uBgp7InVHA4PEdB+tAxfWmb61Wg+Hdggm4dOwhWUuhv/bFvGta6vxSUn0WGSBrN+SZX0cU
9HZwg4X6HJX3ohy6KED7khjOdY8MNA6pl+tjHM81L/3y3mydETkAQUtjWj+lVo+siYzBVVK9eobz
KHMT4ILmnT3VDReNZXEt7O5qylFFjwxDyWB184OG+XxwkI5vyRKbVrVq0pek79p97MQIHRiInHil
CZ/OQ9qkioHa1tNfS2Bje4wafFMTwH+R9peupXDLFzb0fjvvfnhTbF8m1Uh1J+18N8F93RmwzDZT
Zp6X9Cy7lP7nZChDiiMiwVyhr3RLg+HWvnqKa8PFTR52e0YstwrmAoFXhOb00QXBVO1lowwA6Tw7
tk4QsqnA8kXRP9I3J5ZWKOEJ9dJkEu5MSXPsl/rRBgizxV9o7kSiTeSuGA+9QY53wihpXUqy1wYN
XTSCffht5EudeNpDnTpySYXV1UivjW7P+9a8qFVMfA6ojxNIFOWEvxq3mTg3JwWdATzneWb7zgOS
M/ngj+5bOFqCTJay38e5bT4SYNUeSohLt3Xd69eBe/uq1b48JwCH1HXbNvZ1G/f7sRgxIQDbvXC7
BoEHY5wN8QDwNRTR7oDbCRSj7mu8e3OJROui1t6ZFrYzKjLXX+d2Q2JFF9fdsUFJjD44f54Q166g
02ffwigut4mypnWsKYXaBWYcgIZmVp1SK6UmWSWqdPFUS3lS63Z67uBh0DDJbc7Pdwc2oTuGToo1
IQXDqzEy4Lt1U6rFrD7xkIFtSFa6jhlErfuCK07EcXBAWGztRmYpGL6Gbl+JJjnHXaqPSAK3ZTCM
u4AfOr0UMHeiZ3oiHsi9Hl27OA+GjgK3RN3kZtYA3TSMj/XcayjZQu6LvHVPOc607ZIsxgwo+gMZ
ev5J6BMYj3oKkmJCNU8Ddjs0wv6alUQ2yLH9Pgb28GRlERzJOT9XY4x+Ppm/047rm2BQSPgjbbDt
NbpmZ2W6PzXM5l4I95HDNielJrhUwipqYsrhxpmmtQ4ZuQkSVRoulI4vIGwwGyo1K/SiM5kFFYbF
1DGRa0Ae3D5VVe/cuAoj8AjCeewiaJTcgvVjn/KaDiE0rvyyI3oOx1C7nlJZXjOrKO9rAw23DuL6
BTiNfZP0iXkFxsLexojfJkDWib7KRPCKpzS4YR63ZGvagA6duiLwB51ZG3hgNuvOO8uaUp+Bfc+2
MhizYz/iXapViFj7f1N3ZjtuY+mWfpVG3zPBYXO66IsjalYoFLMjfEPE4OA8bw6bT98fnXWQtrOQ
RgGNBs5NAYmstCxK2sP61/oWnIodxIwyqDtYLJg5k6OKYeaubFKDK8+g+i4t569jJ/R9NEfqOWbc
u8rTtEXhcN7gJKYcDnwV4KqKNsAZ6wttoRXxGZVcAR9MA8+30gNfv1vGzjUt62XU7KfIiq8In1AO
WFXJyRzwmzElRlE95VOfwx7rreFWpbr4wO/emEeNyPluGKmSCixndp8NYi0ZcAUXBETbx8knfSWt
G1i1SgEhRVI9zAUohiDXge9Al5ikgKTQ5s+jY/cbyOHc9GY5P+hmJHYYYNgdFU56pib3oNdYM/02
ey/CBpaEZ0xrD7PhRi/J+mRdbT+GGT2tcrj2CqM95qStVlXG3sFvNZ/PZVvQJ0RchHfhzh3ka9CW
KzCO1RMv1D4WeVk9Z8vaaVTFdVXKbJuWtXtlx76xpUQpZpnzZPlSV7V1lHZh4rkC3bQWVRPuDTsc
HsdGzfdZODQPSWaJs174OhXxQl/ppaZIjaSo7F1e53uj9nERAtLs182MV2klFUA4t9DZfynsg+Qy
Q70JInfUNolL9clKxFoa4KgMtw1j6AySJFaVLGMzIBjWa4SHmi4HRznWr9RRmMRMRzd7cFl/rvvC
67+1pa0Vq5DL5K7nUXtX7N9xtk3M9i60O1av7A7/QbHzh3gKbPRLjGx6dMZceCMigLUoOUPQhYOz
or7kGsGd/Ek4Bt0QLlgcQ2wh5OO2zWooRgO1WUlaBz0peaANlKNNmV2vBr/Jzjak4lXWdE9uk6Qx
eDhL44JQO68OV6m9P3hm0JJU34w+cG53lv0dV8qQ338BzY5Cws3U1PytZPxMGJnTjQ2OTzMynezT
+DF3FHSV0zCvqnl86lUMDoRcGkotFHgv1G86kzgtCUwdjzVRsjxxxb6UZR6AVGiOlpfcwfzoN8DX
j6GgOzHg22KsHVThDapOf3a71HybKkqF17CQCoMzuHLhMOmDjRRay5NwcYW7eIcoYmt17wO0qb/r
lVl/Qf6ob0uvk3fR6MlnyrXTC0+eezHS3dYYWvfCWW4MqDX0tgW/vrVO8EfGUbv3Z2O62HM0h3jF
8/ANDZYTPnp5fSoJRAAJZ83T8dq5rrulJ0rLcCg2IAWyypfyMxO6AbPQCGcdT/vE2LGwS2CknVX7
j+ylvb2KSUcCOlc91+CsCltcfL7CZwm7mZGqJ6l6qtziLO0sfYTAEm6M2GuuuohAUqgvE5cw0b6q
ug4mINebPK740/uxu7PHWuyK2tAvyCIEP6vOR77oUPRIxEyI6JxlfcikjZlf6oxlOjaxkzKzDErC
X4Bph0uY52tCex19HemGG1AY1G392c/tYykn/7GcxpJtN1KpC9W5K9auMT8X5fRl7hKgBzIzt/Sj
rLUuw29VyyioVJIcowpNiIHOIcoT7akb8eT7CdolsjvFTfGcHOtwos4qFtSIcutqIjslM+ZzmR2E
hvBCQuDACZaUXtIWmDN0ya4IGAdHJNLOCL289WS6Et3YQ1rQACOvmKpo11VnqWqra4ThVyga8f1i
lsNRicnYTB0y20lc35NnLCo8xQ4Z2LromFIjeDghfhJT3nREEwwWMMt50KO6Ac4VcYlsua1gkApF
e6TCSKevVleAt7yuXTURsqY+us4z72veQpoGctT0NgFzyEDUVHqEZkMwzQg3c2N9QGzh0EstDUk7
v6QFF2WxfiSUy2IJ4BsJObNC61M4GQDpEf/0LmWGwPaGXvIF/rH7DE3PvWIiVZ1p93PvGHy6B8e0
rEciXVG9dmwtBnehiRHwQt75L9RPV0uBT1Ee4P9LkmjY5pHTHES73i74baUDtSlrzRDGN6jL1iMd
AvpTqKf1Z+aWdIVIn9wbfZuUGrTUXc6rxhfZBxg6/RBOQPN1JiP3SWGH0ToDzsG+UzlfFQ7bC7UR
+VvuztTXp1F06adKQOG1YOl3fVS8prZPxLcQ/HM5+sgQucaFCbJ8OxC5rex7nx6nmvpGYbx2QJT3
YyuHYkW837nJdMA3cE266EabxQKI1LZmHCZPeufLz6o0qyeGSOGXIiqqF43f/kbrePIpjxNoJSfJ
vSqT+Qs54Pi5pESQhGISyhez1ZxXVGDxNe9UFwz1jIVgaUQQHUf42YLeW/IVIZgscA1iP94U1Ft8
4iuFDIJuE5Q4rVcdDQxFoCDyPWl2ER+sSVfndhz9lxRacaAT1FrpykuODjKzwxxD1gQJ2vB1RmTh
B1DlzYtXyvA4c9bmUD3nLaFPfmSyK7oYd5n9wOZVfhvKvrqheUffMWzQoKDZLR1RCYcgI9O+Jsg9
1Gxgo0C70SHnY+beQZ9Jr/FxgLFm2YepUtXFDeMyfI5ThN5lJzmHktIs6nvVja2/grDn8XBsREhh
EpMz5ZgfxKi8w9Kqe0xEVX+kHNKaoKJ5tAngJNACY3pJ/gACU9fXkLWqMwuGV69Fwidn1qqtdlyT
JzMYzIZbNP2cabEp8YtzznZc8x2y4HiLYD3eYIJs7m3w+d/sps/PpV5mNJOGzqcvbO8cypp2COFq
pHmMwfq0e1l9A6g+CrpDqx4aVOg9p23buZS5u62z9pIFkK5GIUIA3paz56vqr2MGpA+dDS0WbqNN
E7IIO/1Oa6V4ityi+Cij9snwUUXLjhPJoOiBo9krMoDx2E12M/ejei1o9IXghXbac56imNNFep/3
HUGVo+0PXbHlGsBD7uuBA4bm1LN+TGMAsutYGjrzhilMrtUkiSrZTF1ZI6LS21pRLE+43Fo4kugV
23Fu+OoUJWgAUENsNiaFXv6qpsvuPDSC/le+Eua13rsIdq6UFKk6bvTaU96araO2exaGqgmeuk18
GIq2uov5oLyt8Drx2DEgVBudiCZm8pEAj58U6p1w1Yi4ktduuq9dgtEBE2Oltnyb0454D3vmSgJS
dQLXL52v1AQ58armyH+KQmt8dOSys/nOuItmDdVeo+TtGLnqrcVVuWJyPE4rrtb8Tjgj8Q4YJhim
Q3UOWy469sQcx32J8jn/aKMxRLKUNjEQhVXEMK5siYTJXiBaZ2cRYIrXNLNN5gqgHAMPi3/xYMhh
6Fc1eIVyU0cW9UG94VYQ/GKIm9vOSN/DTsAwFoltBnkkYWa69BOQRA6b9xYACLuuMNj+Gd2oE3TV
PNBH6TzPDVMHhhhc3oo2LBbffWZ9pLnUT6oVJRdc7NQ7NRTlDoyJE+QpNcxOzhCIr2R5IOPAoMxl
mHbj+MiZzCB7dhOSJu9zWhsc8Uyt/UK3XUFJK6eJKq4/rcHwT7Ym/GOK24q0sEWih7fdLWVQ7Vmp
Xlszq+WOr3CKOnTiakz7dtxtqnjNrbn+bLzBilekoZOb2LMvOXPfnRk1EaioAtCz2WnTHpRdPGyZ
28fbshOvUETVneak4l1zkHYM8IbKNKqP3rbSR8uNc30/j5WP+CuaZ3pNYaZHlXGd15V2F2EG/Y0R
Y7E//GwHAZOBC4qN2xS2EIt94gfHQpzpbl3Hjbfc6RmecmO+cR046rmsE/ZtjqqgrbT0kSgCW+k/
GybEv7NLYEFhCrqQhYxfozkLE9lL/MnbKSeSF9+p2/3QdkwRdMb21jjpFJjGbK2Vng4fhLn5VPu+
2NZDBkmPTzarKU/xvAKxswafmJcMmMrJsbYjx3jmzaZxU0ajhSxTOC6ds4U971tHVMdRpPQedFDn
zYFRhY02aOHUIlgzZlRk0qRXs9fnGsI2TZOkyrVVgjto7Syt7n3bC04o9sMEWWFlj8q4aRLnPS2x
vWvuIPeNxoKfVhTQY0DH6RdOnvWbR2cu/v5fPjcfzVZYC4iFYfDyaH/43Aq+Sjw+wWkdDyX3Bv1G
gGiqgj5Vh9LAskRqfa8sekSZEfXqlHS92vr5hlPA4jEYTZLkkU/pQDyU3qovnE3q07SgU18SVJN2
mvSe+26ecQC20nRfpsSr//nT/x6f+PUtEKrwSc8a+Bm8xTn3w1tI2EvqwW994uw17IzSH+Y88MiS
nGZN3hnT4KwHNudAqS4+Grref2Pi1R9afXHrIbjZRpnxEyNF5pX4Nv75b/d3256PORPvumnC1rN/
NQlGaHiO4RQ+pVgIVYwiI/+Kdsn2Ny9j/JpbcLDs+YCZlp8AS/v3DMoPD6FmYCy6sPZ3jD9Vxvbt
avtxbPv1NOXOm8kFnjUyq4PSCMs19cnOXcIhdFojjGcnPDv+hWKjDNsMP5YaQMFFWj0921k4U5KQ
6A+1zLqnf340xq/PhvVaN2zc7UuuGe3nF5tmkzczggTfPfjJLAqzSXLd1REHqd6loopryJOfXSo9
qaghXQpPC1MP4iGPj0ooWo/bRH3Y0O7+P/Oa/qem3E3cMD98gn8DOv0Xg77iR3f2n//Bv8zZzh+L
OZULCBsbwDOHLyieC/l//rfn/+EuaRqXECfR2O//5i9ztk/chdYMh/8YwySrT/ev0oUlLe/bABqI
aZH8xH/4H6CcGNH8tM55gmumzyuRoPDJTGMO/nmRqGJ31LkCWXsIHBxsETlgSfRGaNHAVfUcPb1q
zm+8JIzjgDS+VwZDpAA/ghdbutmlO3QrCvpc0liVNPA66ZRuWYXd08Wj9WFCb4HQ9p4P2NU0DPFN
ceSmPbt0k6Owc/ihUb9ASfwhOTglOSj6um6gtJq3fmc4HPuVgyFIK2m69ZMDaJvpTEPgPT0FXcAT
VDu9NiDrEqA7px3HI47sqcARg1PxyEE4cGsq1OaWIgmHgtOVKfFqza1XbQGlzSiN/WLV6xXHN/8c
RppxjUMr2ok5Zq6SJCdl5t461TgOzdzStpVtfdSoadjEu/eyyLxdBqeTOw6kmX4K1SGtK3k7+/54
zCgI+/AbKh/B0iJPG/LVnTRvjyWfktKejh3YR/7ZS5xvgG4MGCnTx9z39lan2RLEBblDNLUqnd98
Tr4agRJZhF9IIZ5kk18JN11TAn/knrlLYp3gLTOhd1F5pM4n64PD764TJE0zR+37nG2LsrOHyF9s
sAnDFztbFKsIWYYbxJecvrWNdN1nJ9Wv0pZuIc9dY9Rug6Sfmo0fUQqDI4bC05ETH+PLY1FUaqcS
sZs0hld9Lm+ytmYSMtP6sxFRwb23Fm9q1HJAro5+O9PqcVFgG4OcY+PXoqN0e1U5Q/RuhggZcTrx
J/SMWzBMife27TWMOY13KehwPhFkUZ8tQ2pi1gmZo6qb5lNWF+MVsM2LbtTJp2hHlGwFxtmImPYV
Hb2iXAvlR531DGQ87c5o/GPWywKeoZEhX2mtdUGwCffcFW+yijTx6Mx3kCRvMxCGWjS6NzNgwYM9
5Amdb/jgVnoWmjc+Mal1Yqt3Su+mraflX0n4D+fOpXvezGeO3dxv7ly3tzdu3aRs8x4DA4d7EaTS
TTlZc8DAUJ1k5l4MTdh3hJE648p1w9QPsHAYDU4mLQFaKbKi38oiB6NMNXqkbbggQUVKB97sOkcK
o5TS6X0Uwj6BRS7msNC5cqcOb5jLzF3reVx0UqvoBlLi1gJBc2ZdD/qBDMaq1icu3tQPqIi4cMwM
xDWq0IXbHNJiEKWGINWulfG04io5RFeaSAq57w2/lvTPL8jPNBNJ/UWDA5ok/J49OSMKezaXuAXx
ZQ5eOVzbMZeIPRjlVp3Q6PNxyxQORyxDmNa7L0yY6YfMzrXqs84SskkRYge/gC7O/SAy0cdp5gtL
KtdD34s2ir5YpuoDxrRdbDnKpF2jGZ2NNIERb8NC87qPCjRcwb2eXqa1USGVrMrGt78yPlBfypFf
jC/T8KaNWk+tU6xl5Eupgaz2CChM5swB0Slw0omqLbsCGrd2s5yH5XI+bQexQWeKHhnJ8QuRHj8F
ahdxreBK7NJIfhvDxVQEcXXEr58mRnbjVCkMy7kXpbcpqBGNruOs5NMXqo53i+1XbkgWcCzWHW+G
QM9oGVm7j13j4DStzN8bJl7J1nczdEizoBIKSoMxv5ImBmY+9fGdX85YpnKHF+xr7M6AynijNc2I
BxVOrb1qSCDngKEczTS/Zk4Sn0tfyNexrDhk5/HUnPuq62lfB+p8gLo9k2YDkhQD22Fg+5BK9yGW
EP3KFLNW2agXz8YyMBM8vrVSUAc99ZbbqCzlPbJetR2GznuJgI/BtJZi/mro88fo9OG61fvyKaT1
AxER+ZXWBjQzeXL4c3FZcou1LZbQcSiuJL4ia+drIU90UG0ROBG+zhWdbM1FtbmxAbnANDoaa2ky
n6PSamOWZT6eWLWfBibx7taJG3mfghq06O9p6OLKSQutp75zTkj+gsLHVuoTncwJButcNLSW63Qz
3OeuEX9QWWPYK2C2Xbz2WpE8tMx+hq9RNcsWeWty50VCxrTa0GRqoHLus3F6m7CneCuH77Kx8iLH
D8yonrdG2KVBO3XDDcpGchFaGQUDdW5nz+pvVYY1P4yd9NZz9H4L0bl81GbdvdL8fHrpJru+rTXd
x6XDxPaho6rsVoVAmW8Gv6reSlKre0yQIzyTwtVwXnrFqxMmxq3WYZhwTelfJhoDmpU0Uu8tgvPM
PDXD5szsJyEjavVhBhDJ8j69fG6uatWPn2E8jIxYqf1FC9MAp3SuplqccU4MrIlrIqw9z2mjgJJu
/TobOC5XleF8KUYNvNmQmO7W5wiaX8FHIPleAmVcjF8PFfOHKOiysfxmul71Obja+My8sK/X+EN8
NGCkHdjaEu9AMs0NWP7EOkd5pxXnPKvFg5ZaTXFFmQmgv8yoBK75RBvSja/H3jOOXuaNaedPu7QO
K/PoGBm9elo73KJKew96VeYAhmVinFoZuo95a9hfZ4ARV4n6LjsVKnp2Bk2/NScKKVa5yqdzpaxh
7YG33Ycj3D8jso0ThYfyMJDZoCMY/9kaxpqusUbQibj1WkT3YIaLSbLfn7vHiR61a240+EmnqGt6
EqL53J4LLal6gKtFObJKNjTJ4zcvg16HC7ChP7A6dnLq8bpZVmfftumQPxcdrIRthUF3oFlkCMkg
QzZIjz4Ov/nghb0MqXZEf9ljeGf/Y2TEbHqwTU1dbCeMzVuKdDtFKWxKfYkWAklj2oNStK5j3vp6
HPMIbLWWQTBLPCND+mp9O7pKSiSUYCjH4dYwuc4eRT3b+tWYQtHb6PQoe0yjqzs8XAxzwJGrHrJn
YtdPWHvQxG0gPzkuGBKK+qbM+Mn7MR6f0XCGc0ammUhE4z+EU+HcppxcaFUlsIIVoEn2mpitPdSR
CVkpMffsZ8XFmvNi77kdeGBBaQR53IqC3rSbr6jHYuhUdpZ2SvBagLnBWsU8vBva98nDPbHi5s7x
wdLBZFJcl7QhhuA8o9YhCTfSIULBGBYvs9E3Jwqbo8e0Y8KfMQhiVls70QO+7jjC5cLuMGvVdKBv
r6mv2qryMnQ8kfp7hDF49nMtbToy0ljIG9PM9YvXudYZqo71KEZJ5o750khxopOxLBfScRjvp8Q9
NC+0HpUxMJCplMI+56u+v5+sdKwPBvfPY2zO0QfbHItl2I72tKI1wIr2eaIzfOP+8VobhX9SQs9v
ZlHdNK5B00PS0yHhYzJry9m+qtraW0N2PzUz7pLSxAvhYOheJWV4GjV7fmXDSOmDMPOPGs1312QN
7OXR0rKDIWkfWHGVaT5oiecIxkCYWRkeChxMbFD1FNN1JZI2NTZ6Z4ltAw6IUIa1UCjH70RKKgyg
XVajSUXLNM2XjPFE0EhVvdedwsmn4SuWRsL4j2C7TQezlfvh2oAy+FtV7Dc3nl+UHUYepV5VcjpA
4mskgnjXHmmo/m1G/9+8DFlcrvCmA87P/iVbN8APqcJQGw/uRC/PimlSGjSqEe5vlKqfBcblArd8
vkAZLH0Bd/i/vI7ha6YklNQf5r7sX9Nlh3fkzI0gUnQPBBOZ/m85FcRA2jELe795dXN5Wn+JTH++
PKQMV9ACyO3217eZjFGm1a0lDwLs8TZeDgKmVzhbsRwOhrHLb73Ggg9QCfWSqWpaR5wmBh2MKacL
8f2YgXicLweP0uHcP083k1tVB8dqKKDV9Yi5fzovOFSNBOmla1uWqooBHVo2FheyT3+qHIgP0bfq
5s+/+o8B4r+/IW7COqILD3ZhDCzP+wfBaLZEjAWkrw8zaM2UqGcS4VWgkU3f9M7gs8dHuWf9JrX8
9xe1dDB3RJ04mS7Qmp9ftA1Brg6Z3/Gi0XyFlsxZWr4QIjnS2N28/qBO/Jt3+HNib/nIeDG0MN4g
fxJR3Z9fLPIts8RTIg/jnGgbuzU/0F+3hT7J37yrn3Ws7y/E19K2yZAjcli/cu1NJss1c5HykPSF
KS/CqEM2TrqY+9+pfP/m+aFzcotchE7ddn/50KKMbLWNu/wg4bOf4p4jRdhPcURz88IjykzLBNw3
JwsuNh67S0YKRMBWt2ERc+QjpsfpD6hqtJZtH8776fv5sP1+Vvznh/+3Z0I2na8WMWKDxwKP+5eH
v9R9tJWXHLI41t0DUFp5g9ecy9J//DpwEW0bRiI6iLUk/3/8GjtN3DVR1NPHFHIZWLcu8Yx1hHvi
z0j5/2smwzl5b6uu+pTfoZrvFRPThEngd+nqr3/6H0RuICIBZuuf6Zf/RULj9T1+zf/XTfv68a2L
fxQJ//oD/iUUun/AQOKrAU4D5c9eQJR/CoUw31nXAWsg03EsWiBB/60T+n8IpHP+3/QH4Jsw0Sn/
Wyd0/mAxRljnj1uCsvAG/gOdkCZYvi9/rfOwFBYOpo1UaZlE+xfZ8afvUxMVtaKmbDhw3Y9Smq66
7OJ2jK9xmfSSsyV2wHSPZ67GgQZiW3KSLPuGCxopaM0TOHMNsz3MMa2OZ0PPCIwMU8L/duTlXuA+
+c0q8ibVbjDDgIBmyr0tWZv0TTvqVnRd2XaxnAtV/YKdGgJvZSTwHOfSiMjiRUXnbUzeAeadSGwN
iaqJv2fY6Go0W/4q4q2eCWbQ/cP4EU9dKXMwwZE3B/Poj7c+4d5kP1UtPbEm40hz30xQdTi7Y+rW
hnLwbjjLDFir6hpVUdlGxGTfErdUTeMnzBpY1Us1EGjlhhBwsrKgyHzGiV7NG07jPoXsQhN32KhF
TpttET03Ijf7neeF6h3GsbzBd0Ijz8QwPvCQinqGwWJ4jdNuOrC+gk4raid5EZrTEa8THh1ila7f
ks5q1yOJyYNh4I/ACySIg6Sl6awsYwwfpGOqZ2PEsrWifjuke06vSKV6LuWt1twSYxQqLexNvRxT
zcIYzxjCtJNV5GT0Z5HM11ZCkcy92VYWllChmmhLyM3yvwyybA6KVcbY5L5OJ+aMJ6XZqYm2mHzF
XLpNDk3X2RyBl+eSwaqyUFDT3I29hy5WnLll2xLqdWpCyZ0Fcl0Ny8OKD73E5iqJbOPnl+LE2tbs
vcwr1MWYJi7QBZ5m4xK5XkT1o0u4Jx251TK/aVaCopk7meifqWoUdw76GDEZhweCMAMeptDED2SY
ANQ67jUqnIniuEQ7rMReqVnILedhRYLMJvJIYHEUa8vv3fvBnw7wV406cGH/H7W8R+VMQ1QfL6JI
YPhi1hbuOqe8avl+YKS1P4yiOFBfdRinqNzRiFPs7M43A/IMycaaZXmOTIvcE1+bO6y42sGZAMyn
luDRNQyLC4GZ0K/qY+802GQ1Qe6IKdkcemdm+93ZE8gMeCogDcajy6cq4g8UwXznibL4kki7vB6s
DH1gMfZGPv09mh+TbkCCumRe7W7IBVR3biuq67acukBk9ryZORelqynWiYrm0z25a6pCZRYdUAaw
ULlue6ydmCuiD4zLnQiXITG/VUZq3TeVkaECRUPg4kzaOmG+lHGNGXcGYJADaY3EkP25QYIE7B7r
zSZVdv9APeXNULe7YdLnkSiMwZUsjeUljPMusGclWzpSrLUN+LqyTWJwbUCI9Q4DI5hcV7svy/pb
3yc32WhghA6NDMiolEHJKOACEDp6jjy43jH/ZtVMWYmXxK9ZjKwHMfD9VwUqMWE06BM7gyAvtqxZ
/9ai3EEwqE+14xJqG0kXcdXF+5hNn24pT30Rkz4cNT752ioCrchmDQsI4ndOBC0KbSKaVk4JaSLd
LWzd7iqNNZfbKQaYwqymYHRdfGPKnp+5cJO9SMOZe79odhbXvTPYcoZ5njbeZ3Z178gwPeY25fUE
ZYatObbuxhMT7QnWVN5yfe02mJeiVe0U8zXZrl6sVTHZ+5gBDu48bejXTgoHKCAJQwkyWEoy56Gp
npIUuLmywvHap21q41C6tvFje8lUtZ91Y1lrvfea4+SE1jY2Rn8jKWoOuLYWN5jIHfL5nXmccit7
q+qy3JI3oHMzGu3yRkid8/yge3u+CayEEpv+xlaN92WkWxdFfhiT31xCnO8MuJ92J9glywmT6Ym5
uC1+Oe0Qh23iNNbjg0fOXq5h+BbOWiaVunRlYT2OlRSscVQUrkcLaN6qbIfyoWw0tWnj3PjoKdZI
rxQ9RQbVC5gYNNMJ9VW7fPr4HQ22qRHLJFVZbkhzCd2vBDpK8GMHGzf1eJlEjqmyQox76hwru1Ou
Xlo5IFRnsE91MntnBuvZTeyR9BVNjYyrky6RgTRl94ZBUyNrEztfso5JzVBmysJnpNk2sQX+9FXo
OuPZh9ZzGEdX7XrWd1qPNWAUcW4uDr9pb1OEAON/GFeeibfUyiEcR34on/xUw2GJOoezw0/4O+Js
555Ngt/Q7HTrTuxb0iP8WImZxNboz+j1Tru0YtK4NtDCjrkpWU2ePuwJfdrFFcYjbwNwIlrp/aB9
41aojt1itKZwvJlpkdK1uyxz6s1USftSqM7CoxpH982oiCMhlBHXt7HlzD1l66lRXeiMwGRC8+XF
lo79pdToYiUd0gQSFQcWTNlBGKTCtNaBF1tQ1mKbKWRnfy1TdSK8+MrccUe6Bq5qp4vrOn0bBhIj
muFdVUZsBCB12rWXpt1drGdEzCoeHOeNgBL3hnVlZDxJVUHyajQ23QS5oCTOpehYK+Hj9cl1HBaI
Tbrl3AxUHrqCnBzbCpZI6eRPrQtNedXZ4AJmtyemTMBrwLYVkust2vIZc1e31qmencbYDtpW+Ct7
9kvaMZLq0riNcZ9E9rtbiemuAn7/aZGfv+6k3ZFB8eJOw65BIu3g9YYgKDpEoPRzJernXNDWsaLn
1Bc7Xwz2dT3XMPJJWdjTF3+eDBisRK9flelkLzIsxHxPK5dJVUXtAmCmnqd5MbDqXeOBtq6TuHTe
aNbCkV0PPaUEtqW9DXHWAWNwhhFvhLQR5PWE1JMLMbpInXvCUfLdAvOxItpS3Jsl0wjqULJ5Z+dY
3HIcxWeXICrjhd6noxHKxFe78KI7XUhxzlPWm6YZ2ef7kfJ5MSUbB37LQ5MtbubEAqnosiixnUyE
4ka9yY/J2Gh0ZmlGrCPXadndWDYjhlqvtpINjQ34cLO8kOAFOHB0GxY7moCyaSK4y4pVr2i36hsy
Cyq6LmTk8zjNlG3fnecNSeTmTjGs+cLWIr71ldPvOXrBA6ADQ5BWadKKQY9JQ7zX08Oh/JnVDx/i
tBl7o3xy7DQ7ZyqzritBO3GU+v5z31nGQ1IIbdu0YXQ3axlHHktvy3v+GtmDMc98uk3C1kQRoU4E
ehxOuCtt8neIhldxlg+4xv3G3jghcWOzNV8UKIEjw6ERbIfK0pdcJu6zCsfPoe41PTCMYdgberk1
wQ+xYtmpvcsyNX1tLcU8JoTTGFMnx5ig0+Ph3qhz8RxOLnB5s8AqRMcI1spV4g7zHuim9XXOGn3N
pqS9UBWX3iVG6L/WXTM9GNg2r1K4Uvh2Suadyync3otUH5hD6jk+cIMYwRZUjfNO6AMbptZLjLvT
bE4bu8/oBTGqJBoDMUn1Vfda7XrU68JalWFKjw1o4eykibQ5C2p61/psDh86tSgJv7nO+4Kjr5Wr
1Dc161RhOuemYeoRDp1RhVTmTlCIaipwCdGwWbwssvy9TbnrYQxDKxCYBwOv6wXoTBEC77B9TmKr
cfC7I4te1691BZaRrt6GEbU9jeZXtCdK1SYxxm8qrejJRaYezpBS5KoxQzpZ88zt5pPHGZthdBad
1MTysrVGiS0Vqyx1oE5/jFOTpCqy0/wk29ikh0ca3d6OJu2xhFN5I53Se6smQ94PBleoaflKLtMt
EJGUh/IjxLlNHNkDFkFXQFQ6V/NQG4fEMnzuPzRok++VEVBrQq+kGPGpP0g90S4qnRZcix5jVp/m
XPuUTCPTVQdFBNW70+3r2U8crgu5NZybuexf5tiy3iINM/mWr3zzTckIBRhyXEadZBM9lxPGNsjD
bnTouW98mslCUS6ivGHGmdDe0iTuBIFgYErSplnzZBTpjNe8BMqUazpBXDZRmkcyT2EP1+DZYMKf
STa3qX9JvdC/4/mU16M0OHU6XftSNCP1JkwtSqaIoYm/NWnql0JWEgCpJ2nOCrXEZkIzTodWaOPO
KlgB1qltG2mQuhXfx7SmClaIOrnQtR3tG80iHj7SA7b/v9SdyW7kSJqtX6VXvWOCNNJoJBrohTt9
dkmuedgQkiKC8zzz6e9HZdbtzKis7E7gLvoCha5qZCpCcrkbfzv/Od+p84hqMPjlCPIA1lqxDiNi
XF4OHeUpzWkEZhOsHg3NmD64x5ATBkWPYb7KSbHzVojq63oaJ2Mdte54merhBS/aPf746oHdWxVt
ujEvbrqU0O2FBoBw389CvoPGUfyjKW2vo0CMh0rS/lyOonnpKrP5McJnyjxtKJx7elmz+9mKg6dp
SHkSJT0dQlmNrRCYhAODJcelt2UQ1q4Csrdy25VafgC+oK1p7Akf694WR4zj7C6TKKWEyMXJwVW7
dgZiW2F9o5yxZxFczXd2lI0rcJDNQdm984qdbryvGbdGzxg1us0R+YKtMZrpIWferLdtNWXe3PHu
XAsxFeqmMtKJDxDKyRqbM96cajDfSUjWh67Si2tCZSONXwqnMyiOweU+WTKBhQ39lyu30saLVg8Z
RQBy+FQEmb4FZUpOroudjErkrl8mVs6Jd66zLHO4wtOhIe3K63ONDqpRDoqxKJ6egiHGY8BLzOrU
dakRWpmL6OdlfcL4W/HBnnARsG/XlFMd4rlr2e+kMRXO/lgwmoGbI+UEnRukhVVdOZo17tLKZj/t
dONLWQCgv8k0Wl4Zg5Zzs4x0KtU5z81T1bJyvZRJzRSArRe38lgR9ch1VcysYpiK2PwT8DYjiFr1
wvci5t0Gn3M9m6fGcRJ941TjTC1WRoM65hmnPjUx+eKVOfjTdBzSXgsODuyTcONbxfRWUgW51rsY
skTlVt+hLToHnZr1ZymT8MnN+27CkqIPu0Ffwq6G1e5sgtSHCdYEq6y8+4EjeeJGbFrAcKMsB3FR
NYAiJlbX23aU2o5HUgVUjMxcr3MZy4Timh8slAvcOfLTUgStV3jC5cPsGoSHBZfIwLWPKuqt7ZSm
7JrguNz346RfY2SxPGAVxQp8xjjBIImLu8Z2/c9ihnWBDb66T3FA8cxumm7bFa3GfZEK+LsZUWrb
UCn4bLlaf01J7PhA3Wh+4OqITM9rrd9EanA8Ny/9qybV5bHnA/8wtYz+tZZO+0CN0XqK4DIXjspv
pKjlA297JuHYOhpRYx5Gw29fghZKUmbTIapY9u9DacJjIaPNus7MMXBXS6gbdpNd35JqrU4sdqxz
CBKELvLIftX5zX3gnqNhBKPKFq5E7fmzkZzLLo8ujYIfhF+V3m68TatBoDM0vgh+OFb46I9aurdk
ucnq1Nwx2wE85565mYDJnduyfcXAm7OWa4adG7oQVsgJe1QtMp7OzrPLgXWVhyWepSb6NHAULWpF
QlCRFWwL2mmQojsugaM9ZnA4KFAxvDYPozWxkPQtNof8araqdOUS/uObpDa7SKx238ax8rTWibf8
PM1WRZbpFdA2Cx6efy1ZG8uq6o+3OIvUv07ugeQWoKPFk/271YvG8YtHp1AHgZOAsXOZ0hyzCK7L
IbeGteQtNK1BqhursjPLbTJ16jBkJvHA/+YbWfyVP30nyjYsxHP4vBYi/U9LNXYA1ZgZajzAWdvF
fdN+hKTT59uyp+HrxnFyY8lzJQrQ3pwNd/1UcP+DYtMam6nn8x1a/RPsbYlONok6oF3CRT8zQ5lV
77aEAuRZjSafq1akF9f1eeUhM7w4lTYjSyyCXDb0xofKR8KGglvjM/LH0vbdmveiH7TPOvQZvDvc
SEo3OwXLI4he2gh+GEecdeXqEaKA0+vPDlanTcje+LYqbLogUGLdzURX8skKKc0gfWgySJjBzVDU
xRpTU4t5LZtO2jiaV10a8DjMgZaYY/oizEK/bUVwVIOBwWsRLdUiX5ZfSmY/tpyQmpaIcIPkKu/K
L9kz+JJAFUjaH+WXMCos0joKjOtllAlEoGA2nmkohlxeJUz5lDAwsBMq6oQXBBD0oi4dH93Q5H2a
fk33xtek735N/ePXDYACiulTkinbcEt1bsihc08w2gJPK+QG3Jk00e/Mr+sEapL9HpGXpXTMdQ40
yT8GxFwPJW44T8O2sEnmCe5JjANmpS13FkJZXF+c5SYDmkle2cvtxlnuOX44tuEGP312D65oYX4N
3IiWu5Gz3JLCEKdBXWZyxxIcjXJRRNecJtoHVgMuWeNy34qXmxeeOvNaLLexSUPervSQKxpaDte1
0mXxf2/TovoqRVq+SzXTR5JPrTk+4wbkRcKmJq/bmfvlbrBstHCE9PKl9ks7/6YBRIg2IIGCH7jW
i+ry1x8T/Lk/f0xYlLKVACTMfoJt6U/LrC4nz2yGPE4iZq2rUhuDczFEALZqMznQIegcKqfOBlIm
hQ+mrbiBJ+Wfw7GIKIGzh/FotxAOgSdqweIwBdGIqXa449ZT5J6FTvpSZ33JzhDf5701VP2qFDHo
mCkaNrYab8g8URU6NOYqG4z+bLDUbFkojP5nrsHgsKPSPuAFS25xVI9I+nZ8NG3jnq6mm1z4F2xW
xhnUFxXKJplyPbjnM25e69l8xcUMKwpZ/Z4TT4fAiV7X8ciuHHsfRpXsV63NgMqzQ9/3pUovNubZ
i1kYuAQL3CIPhrJzLH4xpsaxw5NTmEsrCNe25prDpbo4JNC2kPlQq0hFa8OKc9XtN3JMiQtWZNrW
nVHDB8jsMv8GaQgfbkKBZZfK9iJI5z3NpMu8woz7tSXnlKKCkaCpkSr/NWSr8DrKCbPKkBWkQVtA
HJQkwIhyfUuxs4jbbaymYJ87ko+cZQ8YLWVtj6sJfMy3zIf9sU473d9xE2ZtCENsgh4harouVQfX
yaZg89bv3fAjMyx/16og2mDU1O5GlBGUAjzRYyT7YxoTMsWdaVwjLc68Kxk6U4IJp4Tw6xsx4XLD
H9euDc3J7/CuApgqZFk96pPPJwBTFw6CFs2MTU5IqW/HI22W/RYATvvaCyN6oLZFPMFLzfe+Pusk
a/qKo2kc4tu5aQNi0BZdpZxSa8yJ7aZg10AUPlQXFRrxY643xG+S0BXRCjiJdYxM3aLSs7X9M+5w
fWerUOdz7cbmucyKe2zd5baHp7miLJgn0Yx74dbWarAI85hmyDtkenDc5q1zyRO/M1flskQyvvZJ
Bqauee1/7Zn0ZeVUo+rO66BcNlF+k7KVcqMpBvyRiw+oc2ytXPZX4muT1ZjS3HZiUE/p16YrFxp1
6XgSuH1GnN7gaOykfA1Q9xa+qm0E13NJzH6zPMe+Wd0w1ty+BSjXdtm2xQUuv1VZU5oK1as17ato
6OoDLLgY9KA0DhV5Tubqil011K4Zqal14yTex46NjWxCwJBeHRnFyexM5onqS9MdF3k3kcZL5ZQS
U3zwkLjRC4QfPiAiZjOE5b/y5/kw9oDASgNGKt91swVwZ5zGkBVRowEML5Op+VuGB3aXCxYf/jw5
CyoGzZ8NDzrKfIIkqg4gba4D96ai3bPsb79Ow7+1CP+fbbkfioz//LwIX/6i/7sJ/1/SZm7hFPnd
M+Gfki97SKb/cr/96xf/utxWLk2ODnEVsNhLU8F/pWCU/GVJqLG1Yl1q/JqP+W27bZq/CJ4btBTQ
kiMoY2FK+227beq/fDWfuBzXkggZ/+hvbLexq/7xQWbRvk4toS5ZAAl239ZP221BALwEw+Hsco4x
L1LNxJi/bH24oFafVmvWm1gPQXRW0tnZGrfUzPJbTyGaHoRdiW86zaT7pG9wJON06dC0dxZa5Fta
J2pbzDaXG7LU1WfVAsR0mwrJYUCI1LgF3TkLCaDo8i87cVt/g1u6dEU26g70Fk+6UC+tTx8SIwAy
yw63mNS3k9tdRbFFywuZN69jT3Go5uBg23DsJhSyLQv1G1Ttal+6Qfdis+D4lmg2Z1IYThA6Nb/b
mrmBbTaN0/FbEFn+G4zE7shliqHCHikgaopwjzGBpAcMr10zVp0XiPTKnSLnxiQnsJlEXOyLkAQy
ta/2aqhgD0VU3l4GECkbN8YBy5PVnnZ+mgMWnv2ofOxBmXyPyHNetbpmHiune5gb3X0Wc8OOXVWc
rkISBhJ2wQoLRl9TAk6FGbSBwjrNX0+onTNN47otRPJC6lI/ms7YHvNEfJJr7q/8JIrOxPabbaQc
+MfEbw/m1ChY2aCLV0Gioo+QLM4zCAXnVEWNdQ4cWtGhWkM5HBup/egnu73KJqd/KRB9r/iF83NK
Eih+la8DyZaBLoCGU5fml/VUpOkG7MmP0Upyz7ZDWMFp32fHKlmsl6n5OWQDl70Zoh2aKAIib3iL
F0rL761MxGwjKJQP4Tu/wHvGcWan1d6VMOTKLjGuzDBs9rhgK1ZXbr9zAsHYGLRy1feyR7SFg3KS
mv/k1PPgSfSqByTYFvoL6JEWLe+V23Sy74TDaslS2Q09izGxf+qBeYy1JH4FIDlFJd6QKOBoGAo2
mQy/C14SH29oKa/RlWMUHAeN0NfPZatn56GY3W+ytILHEUYDWrOZPZFjT48OzacPQw57A0eIW52d
HmTXUOritqlMPV9rrkaTamHViwbUld9gmN/AjkasosgP7SoW1zOLWeiz9ngdjingRVvwro1I7T9S
+icqb8TeuNUYUjw3NnRPq/PubYbbddJYBdx1WYkMFJXOFq2opug5/lZZzQp2Sr0rJ6WeEqRA0NlM
cLUWnMjdx96AVrKDZpA/Gs7kXof8dBBpNOwIuj9QzMVuMaALTQ8u5mxYXotASp+4MYM4p45Z3zUm
ox0oUpilE3FMhfP505mThiJtqVV7TdbWtib8xQi8sBeKz8YYj3SLURioDx54Fm1bF8NV1pvl3qlw
17u6jTShQRzNxaHMl0yPCG3N+91Z/Sc+wJ+qbdVy6uEM4Jw2MBxxCC/Z2d/dt30VAyJtOA6g2Ilw
1cuCAFPJPhcQk5OXZ/in+CcAW5lN/pKy7Q03RVXX19aMtMiqO+9O7dyTGshCLiVhnp5chpFsjRU9
OePJz1+KKq23jRoic2OboZVt2hYJF7zVnNy5X5/n5OuzbYa4hg8UeFj2oVnOhYFb2UTMzrTyDWJ9
8vbXP7qy/ujDW6KOAuAGnkEETcyQ+k8n/qS1FgDvAOCyDO7dNFsancx7zRnf8NCjJ7HAAEoUVGdV
dypYk5AkvNSP1J1VdQnTVwtkbWzkHOJ2gY9K8kAs9L047b8nZrcACsbpoKphb43poTLnalyLrn5z
Gvrcw7rakXM8ipTuqSSJPqtqLPDjGNmF/oT6gHez8gghkFYyiGaLit5cwhN9tUnqxFx8JaYNTF1v
ucnjcPEHwDi93Uc76Y7ZhZ2J+4YxPX+beq4vYEvyD0FK7VoGU3WdBnW4pVwv2xXtoF4ISfgHm+vP
Zcqi/o7/V23Zk0UvsWGGx7GH3u26rbOZM0C3Q1fOu8IezLNwhukQwGsnd2K1/jZAF7ifMFH3q2EO
mjXfNu3n4PC2CQaQHY51e5vwkN3gGMAlEXJGburGr59avHBeYLrlU2zGLmT13PphA1byojZJTh3E
DqoQZXwqZRrY664R8klrpbhB8dLuzWYQ+8B3A54tjl58Z0s3PkFftp+kKvJL6Ff1xUm4h+hzZuxN
wwrPfqXXwA8tJHTHa/vQ8VRRt+vKgcvL3cYAYz0MA76qLLnuBwxsMOMBkKPn5PxG4OZiLKrvO0FQ
QRfQTMLCEB9WafoPBXqsu/bTx7ClCX7dzpL1BVDq7I1F7HA1m6I9z3Ub7vSwGU85EY1z5iTm1rHT
6KzkRLSyBi+2relw8EFDOuFar/vyrMrBv2m0oby11YD0SkJlgvlqk8+3zHxT1+T1EAaTSzeExZU9
zq0XUmmAOGuW+DeUewuDWhzSCs/OoA4ad0oCTTeTIO4EGL9iq0DecboaGxt0k6OQKnhMrCeOqmY5
swKb08tfzjEzMMLbbNa0H85ywsGrMMhzYtgfarGyeiDxeZPK3fx1MHZfhyQnheV1y8lZL2eow2Yn
XKURRWZtGwJFFct5Oy0nL2pQuGPbMB7zgbU9F/1qesn93sH0MnGiG0V110MIP8260b3Jwda9glSX
l2i12GZfD4Z4eUao5WlhpEbLqmR5hlR4g7W9EjN1MO3XI0h3y5B9gza1lFoYlXqY9ELe0Ati+d64
PNeiOgTP6GBpkruG7eRR68ty2yzPya6OZy/+eoLmCFwfQxlLHhW8p02eUxGmoTQDeFG24EgLsJeI
RKCtPS7yPNKJEPOLnTRyZSSw+q0BuAYHY8OvSH1NDdMyQLAh+zEvI4XzNVwk9hBjVVASGxNzh874
6LthtbYznBFUYjgOq7ZuPGWpQa2Aq40HH0oBCP8s25WMPh6r3PgQdx29jJ0TWp7Ru9Y6HwuoTW6a
JFcSRNLBZJl2FQeZeA4L27om0OzcQcnzs1VNRQmYqtr9TmuguIzpID/7tOsvUTNFj8CE23toU7gc
AhA+hzYIQbr4tQYtTbeiG6yrgwPaIzSvbc2kGUCD+cdMN0WcG8JeYmpCXjKWIhDWyuy6RQ6ADD2o
+mOs+xedC/uCqp9CCpBQ0zPfMXbsq8IHFfCDoxfQsaeVATBjKn0eAtfhegqzxNyYiaVd5FyY7LJG
6z6LC/tCQkeuI8Wjy8govSqBaoN40+v0YGr4obwMHwRByN6hG8AoYZ64Y9xcob8An+4HF4xppH+M
7tx9mkVe8hrTVABnig/adhgIRq1sO1Cs1gxexklFLN+p2grXZBuiI1t2cBK1ox3dqh/2WTyOx1hp
9ldqBlM6fYO3UaDpr8boXGYyEg+o8NTpFFq6I6DD2n82GrZnlgPKdRIJer1N0a+uSxOnaNZ+BAB5
38qubTa6QsRwi8Tf8a986ISdNnxHctNmuX0SKIrB4ppMeZTr0a0GbAINANA5ygtT4GqYbOsS8WNQ
kZDDYoILWoAYJ4j+XUd1QE5dxDvORFPzSp2KJiditb+48l+KJrGO/dR0V9KMBl4H1W0gM+Oxodzh
oES4rP9y/FMOA/um5g6wrMSO8HN+0GTyMdF/seMBRk2Y6xf5QdXS4dM+LOjxuAruwsycdpw8DNZ+
oj+xhoXEWGRPhlWKF6syaB3p0vJ5kDJ+hoZVf0/4vHsuCbF9385vuas/mXaKRyeOpX2QVnEl7OEm
hr/B0A8HrRtHe5PAL4CLmYZNsdF7kLTrzi1s/VSXVnlw6ENZ634ij+xIzP3clvHGqOX0Gmm8T3Xq
GU7jgOEQkLz/KWry8QE7gWGtimWsn7HIrIZFBRpD61vXhdSwW5W2tY1JnMEGRqdyIqZ86nKtuLO1
XjyE3F/GdVSM7fceEDiWxaRxznmVc9pQURLf45FFN5pJ2aziLMm2KrbKHVZdyWhckoDWfEnTHttC
mz+1j95TVnLYycr6KKKciiQH5XTs04X77NAXgIC9dvhBp1UU00picR25Sewm3Oe1mjcDK6Fd6c8j
FyfTXCEnTofRRVpngU6FvJ6ql4xJECUQwvBV5ubTVrIv35pGp97CKjJ2rHUw/DoaaPIsnfjU1pMO
GCgnJb4qi+YQp82rC1ZzVvqPvI1aVqi+8d5SF39DDyuPx/KBAmd6N0TYNnciqKdsN0QwgmNz5mMQ
Ok9ZmzNUdzzbgaYYkKjqYUcDVLMC4zru9M6OvWhM9ac2oGZz5QO+8aq6rzmS0GEDS5S3pfIzseZR
wvs7JdX+gDwxP9gk4so1lS/dmhDWmW4eVOmCn/kCJFZcxVzZV5of2Fe0gojbbqCc1LNASec7V7na
veRRfTGNfPhhJR9+M0OXKUd7JYI5tG/IWFr7OkoYi7T8KnPAROqV7dVNyoIgT+OdHeFbgj3HHWNs
NC+T3yY7S+MtK7gWlMaUovO6yvDK3j+j7c7XDISnVhC/17sXJ3kr5rspDNbCarHB5iKmETa4TpIs
J7Na6rdK+tUr76/F8Tq1N8OsglMa5uWL3ve4Sqjt0+Ra4zm7c/lEv86yAZKWuearryfy2Y5tnHp6
Yx0aTY+PPAnCs536eJvCeIFIpWDytIahIg4OLd7aFdF1RdK7C2+juLTvJt2f3mRYzivNCbJDPVsA
OiinXascMsCeehnYGmWrxpeOI29d5oVhLhHBcB9YMjuk0QQw3ojx8YM0vxedX+6grc67CdzvliRZ
vLcWei2p/Bn/qz9t+oitLjOkTmF5QZsPQWjdv0iCCwer6sZtQGHaJhFG+IjCGe16Ab+tdjss6Fbt
7oM0hftdRGzDI5/QNt8DlQ1BNm/6so1fqn6iAagdA8j/UXYXkHqFDE750ZY90rhyWEbsDCN5xNdQ
HolAdrvELxnIMMBsOwXW0mM5+gAGstnMXVkcY84M0JMTQrmMCiXwRGoDRJQm4ROY0OvCp78e+oUB
EeNlFqzw3Iyv6NsMQrUPzRFmJC1h1qw+yyA392HCCeEDhfCaFv8KdAG6uAQOmTYnTWE4SYyCXXCa
DQN1eUEivalL/JMwfP8KpwkQqfBDIszEycJd5ytC/1RnfrISyWhuOtCUbeZY+GSJy6U4uI8ofLnH
+HDHvXzZKg+8tvC+Vjbbtiu8zpQUDb3y0AnmTTRKaMMCB9qqdpL0FLLz5yXwjcNQFwZ4lB6KoWjy
H6EPhM8eSFE55qQRufCNcmX6ZKdzQFrfRFokr3QO1SlLReHfWVrPapxB+8JdBShvRFpSn2yUJWk3
5lOsWT3bhghPkY2jW5RpcSLfHnP/K/GuDbqz180o3Vl9XZ1zM2/2TUSV4JivKZ5U6Yrl2LydVWzs
+ISZjy3XtUurxaAnelVvogztI3SBA+qBSQdDciqEPI7NfnJ4PbGdvzakJ+IqdO4A07u7eFDxE5Fk
61AlaXqmKMZBq9fkwR/iS2DaaPZ/fRcWf3YVhkznAF+FkqW7P23xBuIivm+Zzk6DBLaRVmx/1kGP
67ei4d5duTX3XzMdA/LCOXDdOnEHikbCUrtNh2T6sNVc1pvUkuFmAi4D3WPRK9F04Px0rt7RdhHO
lgZieVE4dRvULFXnCIRTYTvHSBYWpUncELVft/h/S5D/c6n990r7f/7/lDkjx4cn4l+3BR/fs6z7
t39/z8r/+LfTexNmUf2HyNmvX/+bJG//sqS6LOYbAyzhV+Lr17yZMn+hYpTKB3Ko/Je9VDr+Q5KX
vxgmG1+qXRV3qi9m1T8kefGLUAQwkfIt8qV4OP6OJG/Zf0yp0ixiKYv18s+h0Vx0gdEhIu8yv9Yx
FKDArULdmldoBv11aSVgkV0fzgCenyEEQNJYyUbXqgrfZU/SJwiqLcBheW3nY4ibc1ReGnbjPjWL
bKO1PvpUqQVGse0kZWYMipRF+Wazqop2OmBuMlcp8aTncZl2FJfUTcNCfl9kdXVjdCJ5DqhIAxtf
hDviUu166NLk5Aaue8hn8AnmMldleVgfkVOsFVuH6B34lX1SsDEiz/8ay5plQnOWWS1ZprZ+6tNV
8TXKDctUV3wNeIqo8HnuAjjvWNbb7+SdGAZRJcVDu0yI7VTB96yqHkpV7YhzKUZt6zuFv5sYL+Ev
grxysHpB4YA8jVE2YQ8v4G8Xy3SayoQyoGVirWIayccmn1+1BKAG+oG5N5YZN1Hh9NAlhIJOTdDg
nXV/nYq7TGfRbGcSgr4FNV+kHUVDg3+SsSo/rGRmN96UmucEmrGOv2bwZRov4jx5Rucon4PI7fb6
MrUrrgRqrcswP0bLdD+jSLSUtEb1Zwee5Gh2hi12jMGJDjuikYdB6wEEC0rzHjQtUyOOJcWyZO5S
9weCLDAXPMbLzKLVJxse9rtWRonkhO5dkjptu4n0VMePFfOnRGUIk6Qz63bToM7CLKZQPZxtw5tT
m4aN5d8kcTwl2A86cYcMnf2oBn4LnqjN8onIMY8xB7dF8Ig4iCskgw2MEmU3Cl1Ez9jNWokT3Cxo
zIObVeFFCkZLo6wXNHgJCoGXraboqurC6eKDNuMYjBm7+SPFpeZbfKdxtENk1Fodz0dFG5PS2pF5
aqCDZVaEP7jlU0NDIck2Cw3/x1TafE9N5sqU2Tl0kdV5q2AVHCpxp+zGf+c8pnabLAD/hzIUdL1I
stp3J5dBvDJyzMotiQVEsdsCgAXyhFsa0babwccLMUd3kZVS8FWVkAX8AjujiADOysLg5kwGpuVR
NczcKlwn7Tr2xZr+De1oep+5vz6a/LXSKzTD/KGjC/CRDiTeQlAJzUCjpAMA1owa8pQlxSw9enju
mB5OvxLeUipA4I+9tFiN4FbfCk051oW2uzLyeDAH+QanMyDfKuxA1aSMjfe0SiUD3k8t465OKZLY
xEbl8LweO/37MFXFQQMJs6Cm56BmiMthWGi6L48GBI4GEcmlrmMcP4WOXkg3Hl5HuNZ7yCHt3RhI
9PEuSLzZqKwLLwqqiuGU49OoxcE7T9PokNl1cignv0XX6ij4SG2QPIo2BnZSDdkzcwbjvIw//J5G
P21PjLE8WSXR6X412W6HWQEtdgGFI1GLsvNEX7rfa4EyhUVKI92jovADePbwEfhxv7Urf2LxHwyX
KG+0Y0tc5wJQS5LMItEzQJudrDetnkxu8crEzJHNenEGrKSTIS2CN/6QbE+MimKE2LDWg+XSzrL0
heH3xSXGPcPparmJeic9t7gS3xwrUDEPdnQUqhDYjbU+wm5JpAJqPkkvoN5GRNKSIfCQ4eQ7krQs
U89hYoi8Vgn/jLlw3E82kaKwRifdjKXjnyX9HKyotMUPVtWqKTe8Ovo7+yb30TYJX+pN497BJbyd
aMBZB1jGVr3l5Fs6bohvjrIrH2zZu6esxM4aWFb0WYjQOnYMpNzqO31nLqp8HxMcwSxJVclcJHsR
adJLZThsJMkUj496vaE3glTClCivai3taAej9ZoGDdCeKLTqnWQlB3cuja7ps56vMrALN24D5IrI
Ye/pRd3cSc75SxX0Po7ywhnXfZdQ6jeE1sXuLGIgjRZ+NxRj9WqK6D3sHOGe5myM9zomvn2Xy2GX
W4F2RLchYjGIvOAqyC7WK4csvgpkhnHcwLaEY99t9nGSRXcZsyvB0/YW54ZLI3LMZ3ZFRbN45bnt
noAVcV+XcrJvZ50lIZlQgGWVq2dHp22m/IbN9oi8UoQ/4jgJ7rh3+Q+iHMHmsa5yP4IBppXW1Na1
EYj6fcgy+5nrR+3hxHXWmFiyvWW1s6Kzy9C2uc0uBpPKoG6z0VQUps02bOd5OPe1ZgE5DBXicWz4
RwApxWrWg+GAISfaUvhoHlqtD4KVNNp2q7Q4vZMKwGAEjJLUTBnW35G/Iop9iKy8E+s02Hji2xGg
+gpJmnYcz2GEEzeYyGNNumOdZyfrX0UTxFu2PGSWeYrtejcrljPeCSns8kk5YAnNWd6a5fXs2IBH
ZrcS300qB65ZeIybJaWH+u/QDll1TvPpz0QajDkX2x7n4XF25u57hma5LYymv69pgaO5xJKAghAt
j+RPkncRsfPkLiWCmyAJddT2tI62lYQdFNS2SduwRQyNiozuhNnSOPUZe0ICWN2OoHG0m6yCk07j
aw6REbBqq/zxEjuhvaNLMj42NsnNgAblR3/I6zVVEGId5JO/T7C33w2yZn3q+Oqhid2lFm9Aycpo
UAXfH50czb5moZ8fml6j72luWGar2FZnEk/Bx9ds+v96QP+Xppr/hY4ZUNGLSfJfT+iX7lv3GX6v
6+n3g/lvX/brYO4wSLOahAmrS8ZNHhX/AEEsXhlmawUum4Tmr//kt8HcYJq3BIwGCCi264jF4/Tb
YG7ov+DMhAMNyVosKJC/NZgvO+HfebQt2zZ5sNoAcsBj8z9/8mjL0p30ruyqDY/yVyJl68aBbgRp
hA6npf8k+dJQXHUuc/Pzd6/Un+yrfzbp/PxX/xTyFfQ0JIm+OCEtFMQgJHgWUvdYJv7HUEEt/eu/
7Z8I4ErgGzMdjGM62AuoF3/cjsd+H9uthYrZg7rkc+u3a5cJ1xsdkWynBn0MXOWO33S1odSLTKzq
1TopdckutntZGkpW1hw8IcxeplZdwQtdm9g3V63uP1cVKIKkaonbFfHJQFPY/PV3b/zJt++6Bjsi
jlcJccb6abmPWbNRNhY+YK9tsQfhxCqVOAUFML01cRGaodiWE0IpUfKLC/7inmjrjRjJ/PWYP1Z6
V70ksx2sY0enjoQKddPaiSL5CFRPQ1AW0RXGxWIc+HdFRiQxX07EYMAfVYR5tXam6hBUQn/QKBiB
WpbWe5YZ3tQH9DjdToW+jtGKexneWTLeB9Pw0TCpJwNd0F3mjX7froMoueWKcFem071VfZuW6wYb
iDe4IfNOkb/yWjNTV0XtgrolencAwdYdcErgVmqWBanDDzMiglm1Ye7YtgcPdqLf5lqKQ8flbzar
Pj2LYJze46xVuwLLEsartj4JTFEktcnt4Bxxa88yugj4pGKGSodqr6sk2LIuGT2cN+6RzJl/Jrwz
ryw3bi5D71scqU1+bJvCeTN1oTh/Cfw6DKFIIiWGGcr83sbEdzdyCMVHKef+O8sb/dgbp0GEA3nI
eRFLnIbeYjMpttIW8zEH94iAMq/ZRhs06qryWxTF36KgsA+D68CcFNVAkYIBArIk6z2FtNalrzzZ
jhWjE5oOSUB+NbKZ6r3R8AVljH1zyPzYS7OmusLivRm74oFi4/y/wWoJDqA/HBwO68nl9IBGr/4P
dWfSHDeSnuG/MuE7OrAvBx9cQAFFskiREiVRuiBEScSSWBM7fr0fVLfbYlFDxvjgsCdiIqSmWEAB
mV9+y7ugiKZv9f4vYBO0W7W2wddsPxQFWgSYwtaY2bV9KvzKTRrAtpZxn2X6fFzTQfmaxpbW7jCg
BHSVtfXRdYyPtMD9dYyrq2kY3J9z5S4fDFi1UQcYC04zDiipUYvP9NOw5ppj9em0p/7Xzqv/r20n
x4OMY77aePqP6se38lv1j2/Vj3/ckE0/fpP/uOgK/tr9es79/Ul/nnSe8YeHcAMkG4OjBFQLEf0v
ySPOQLC65IYeawWENofqf510xh/8F0hSBGUaRJx3f590nIH0MTn+HEIe+mb2v3TSaYgn/bpiEV2l
IcqdadyZaiG4/nzFdqA07TqbZZRCMtrlVvlYNS6EKsfpdmkssX5di6cekoG/euhgaN0m2ULPowUB
sGT1xhesuiCeJwuITvZprJfRfyPKnzOmNhUxenWexYZCH4qj/dmmMsbYglWZSOaitA+wldL3Sdoa
jLu8I+xT6tD5xobU3CV6txM2Y8j/0Q1ATdB5VHBBtmf4y67Gz6RxJ9QvsFfgBox1Hv1GK7Y+WLxP
t8RzwGOQmNdfDikSqJhJdW/cwvM+IUwhHoENbQyeFu1K6G7P76Az8SwsyqKN5JAsO0ZU90Nq3WTt
WwHsdGD+kvn8dSGby5gOeZZx9lXtNcYreKnbqKrH+tAnvRc6fQPErfRC+idwCyHq+y0TBVgLOILi
eYy3zKzfWQxOjkAXlL2hGPG3LremvZx19b0hNARzWH0R9BRIslW9RFAWxF5pSP+FMB107Bs8zIax
R048WREu0m9bJS1YfzzIpbW/YMBzocrOxamqpYaqaOwo+FURE9f0eok/rhPox7Rc79HEtkJznrA1
78STZqzg7cfisVJKNyhkTK3j/UQ7+72xOp9fXyRbovT8wbElVBeMnU1SS/x//oactVKLJGsZzBmx
y5Bn+ZLHccA4rachqWe+mSbezmlHL3z9uvq2+p9fmL42pgucDUDECSPPL1w2ntN0GCtGLorie2wL
8wvHXfuDrjewy4yuA+m9jn4tdeuqXNjQVZej8eRWvFDmrRgXJiEVHiIBDnuKDroIvNhBKwUtk6jI
SQhd4O6Ybyr0lt6497PjktXGOQ2Rl2PT3hQhz5a1OiDrseBWxNBVr4IWNZirJMWnxBhpSk1DvRdg
OCLGWeUNosgXo8GQTCSXNEK7XVzaF38GIHPGs+Bog4HZIXpAW07hS6MoCVqpwD8JOfo3cvSX79q0
EVO0qVzgVJnbuOLXeNDTRFHlyG1PKOzvMC3jwjij//mgpd3g7jhg94y9nf5GgnE2xTo9MMoehBVt
GCOWd/ayB71Eud6TRRQDfabN4rkQauhlvv5efncV1FY9FxIDssX2GTEUxlJpgJkponRxqsiRrbik
nfv4+kVc82VcZ87rAX7CtAZlVf3s7TNtQJcsR36n1oun2ImZZNqdR51VMalwTDa5p8BoJ0nu95W2
isvSKp60xIShCofHqoaUc2fxfG1rfJc91ujpmqiHomORi3zCVFVVMt+o3HvFplOh2s6NjvbeBTwg
N0CbD2ke2p8hIzxa5oWq73GZi1Q6vr6lYYKXtZ6yrzP+WZda2hGSIAK3aBywPfh9s3VdMLFk6vrK
n9qZ5josacgU9D1CnFYBWXmNGep692nut/KhoXzAUOSxXLNHKzfuymaNL+Mm93amkT/RPa0PHZqe
O4SyD8rsYWIARjQs6uxJJjHuStho7lqD9q1Aqg0zZNZ3hZoJZojFI/akpPIi+Qh+jTF84d2nLA5f
6QX3bdxVmYchUDoCctb7Bw2qug8A1MMUSXSfm9lCcV8BToLwnO4Lk4sVXm5+09SFsKw7mCpM2WOX
zG5gtC1tFoB+wJ/RJpKb8Bqyp+/HmhZinq0cxKuNi0ORP+GWStst6d2gLLnfpO/fS138tAWn52QU
x2RipD+6BG4Qt91ecIAEOYMZv5TKg0PPDqUCcJewYl1qHCP2BxOPRWJZFQkre2TmV+2s1s7o0nEC
F7BFoauUR6toPuSad9/CPWcbyj4QsQseFXEjDpbR9AuDV1N1EiUIgOBlM7wjwYhip3qUaicvuqHB
pdApur038zbLhWCJvabtu4Udtm3xhNK7vrPbERmEkSameCpobEYzSiJga/ii3VRCQzeuY4MViD+E
C/bduREotvtayxmASbIIdLQigrhhndfbkbnU5FdC41LLKJ6UhMGPzZulQ/9kafWGyWmtT6OgEgVS
i8GLCbRhjpOn2mNNVIyOdmqGKoCS1seZHvUuhZTmQ9p+ZBxYvBsgBfkov7sfOr0I1zx9hItcH5An
ZH5Ei0ztC74j6enRzgdyq+3FkBncdDZTI5yr+Nu2dpeJZaPiDAOZH+5Fk2aPbkzOaCXGneEWXtQv
xSPkZAxZWOFaz9Y4LVy5ct9xNaPDBc5dK22oNu49jJ0FRrcq/twCJSsMCei7DtPCwBpJPtE1wL56
5mUNyBbsxg2WV5e4n7gpKwhFGDAnsJVgydd4WuCIcUT9QdkjCJn5jcuirfvs8XTj3C5ZzFCtYY7e
RYRkMLWvNXSfMRbxQgpS4nUzs9WctLmuPa+l+c+7cxZP7NfWudBskJ/gTrBv6z3EVuYRAjDaYznk
BujqiIaXBDCl2wKWY/E7fA+WrvjzBZeqdacX7UPdsK/sOX9qbe46bvPHU7gYHPHUAwqEyE4kqHIE
tPMOvFtfcIKAVULTTOu73TDxECkGyIdW8imyZAcqg3ZwLT0/FgDhA3pSLi155AHttXmw9Pp4Op08
TG53asITsGCxXup2/gQaKb6F1RSWJEl+Zq9oR3QVtvCzHhBPf1QFwcTA3CRAhKhDPyfDhJJ9bCp8
7kisZTrNA5mtSDrFY09+tYWzpeJBpIV9cwpKg0V4AcD2kM/cWzbYN3ptr4e2sO6od6oo09gq4AYf
8YEBfYl+A3QiXu6pmki3hMUGfLnfjh27dm5O33BaxNO2JVDfv9uOAgb1dyhGELe2d9Do3k1WwjFW
K1TtxHR0k9zaRoMsG+SgdrFulftakw9qbuJRKfMn0STFXq4sFamyGE+RzmViizGIe18vFhEVfRXm
ad70rnMRZ5sV9m/OztxPWMAHGFkqh0J08WW/vR3kYzL0HOvjmlRqYOXsw7lZ58tTJAYyRiKGqnYw
IajFDibNWlaXJkSzjVOROuJOXMjSMz+FlYQ+WzY0IS4K9LGZd9zUnooOhtVw/HREBNYwH7+dK4bg
proteRa2dacBhMXXe4mwvWcjLjzIbYXNK/8ybUjTiTThuPK8pppFJz0CT9GwrMqR6IOYAsaYHgnF
9na7XD4w6UenLyXqUwWhy5Hwge1IVXCKv8UWHfG8qaJKaAgjYNlxaJEU229nHA0r+DMpq9oa2EDO
Ko62zV3rLeEGN00RnNJhpirFfpikuFbiYvmILgCNPICVQB1JrtRZPJ7WStWXj3T/n6p1vo/VfOHA
kC30MB71dtrgncPB2LMFYtmLawS/RGArtgpknwkyKEWxs3SkpYamakMmKTgH2zK7mTKeqqVt+TnK
K3nbpgc8Mjnwlr692RQbrjIkJC7MqTIQwCttLPzSORgA/4dimNx9XaPfnzM229XdtKBiCH79IJs1
2ch3A8wsBCVDtK5AC7gZ4txOSqoxZ091Wz/EsurDmcrqu+KJ9YOBi8QVPrqIxzf4ulRtElHnZLhg
aNoDqurZjgFGRUZsZEGKd1lgGKsKVK8NrZUyaayTLTVoxvpCWpC/tQFwHG6num9ODIbENgmGh5D5
IiVPbld5Y2g4fTvmrF1CRXkclALeh6NjriyAQegMuENBg+5qlWwnNNke3a3Mqx0MeFIMYSBP0baz
6OwdPKVsbzKrYF6L8iuavUUPwKpU/W7A72QuEpMchRZXWgpO3oUnNuryZ76SsPWjhQN3WzFwjht8
ghzzovfah8IrmaxBxNmNYMGuRwNjC+EaIHM1iYBPDokBygEf1vNhtC35bES9dpmmDaEcrMuixsqm
SCbQ0TI9lK0bBxO2yLQO7e+NM+3zZPk+gJTfobNH0EK8EwHMEf/fti98VoME+ldldEVVGnNmjVZp
rAPk1jMDlw4wc3By1P2Iyg/J860yYUYlCQAdUMmEufYejOd3JUmvlUleZTXx1xynj7gJX0KRcKF7
loC/PeVnY7P4nEkXexxZ9L0YlG/QL7FiazWGgqt5hye0vsulegRmJoIqIWSq+dBtrHTl0Gapumkp
s2u3ymcVaEOqK2EpG7Inba69MAWR6Gsxkaau0uWj0Zvt9oZXfyo4gczKjp+mXME2TXOLT1U7mJgL
Qc/c+uKK1sFLocVRilZ+T1bEfDiJhz020H0kapJgTJXWcBJkTCo1nNjlik7g2uI4RLajoXLOJQQH
LI/6PabPWIw2kt/aKnrLI7lzDLapi9M7h4x2Z8wuEnNVhjRuybqttyVKwRyZ0/TojQMWdNV4B1JS
2ccekBOlGgmaHAXbfY6ueqfRfYg6+I+I1PK7+F89Dlr6iLrsg4rGiD9a6l23zjlzCUylprSbLzUt
BR6jIhvfOMkt1kqYA2lfKSDbUB0tFKlUXX4cFPEl50xLaJy3+uJdgtE0dvqEEmIOmG8PotOFQ92T
XW/hFJ/w9RrFGgEhBe/wyXLvjUw8Nkt5JMGYb1dsMsgCjetGktcomnfU8symbnTh7ehIxhborHj6
tB91sLLo5vBdM2nfYPaX3qpSa76coD0VafJeE85FYbLCmoLVgLIodn+wr6/LYuI5m477qTYqeZUo
2XSPLAYIEMly07fmVZbAOhQCU1SXuBZ35DmiTecbBZXWTeVqC9LbsGMcMVOxun7ly5Jj6uvYRBUY
3BYZnQNG21GsDt2F5uVPlZI+JZz2UnIOdRUCBAZr5HSi9zNF2JbuIDbU+AnL5CY2Lao8cgKKa/Aq
oFv3CjfMhJwzs4JqXO62qmWdaRA5tiWCIZEPNTLlPpIO07ukYUvplsrLrvoq6oclvlzoTCJgWsxg
+Xvxvh1GZD1VbLQSdfRnJyW7o6Lfn0452dfVMRsN0iiT2RASPgikNFym0FnDc2qs+N056Q+Zzcij
OHyA6w2W70Gl8QeF1eRh2PYNRRY+RZZPaHKoj2U8VkcUVx9Pq596c987eXZJsfpEE4JvVdjv3TmL
bE+/qxKOyS7m5Mob5efWqLLMtT0MiTdeW5jT7xaxnYEJ63OomQZ05FAEhaS5kx6sJ7P30OjFThnR
EdR0MsIYzUiB4z0O3cLqL5UBFUnYXFeLjuyn2XL5zSweyhsJVqbo7wo5lrvBZNCjQJIMcEz0QlY7
RxzEYrR5zbvT2evN7NPUjO9fL/xP4MazjpUNKk9XNbCUSBqfzRzHfHRGJOxEpFQUncKgYWv1/UML
7BEBghKYMa7jfAvecr8WGJHpmAROovlktZ/dtrlX3UxjD1PobmnG4KjK3nacezEmt6o+Iy5VYn8L
rAtR7Ak2djONt3apgGhzexLgPvl4amSeaiSEf39kfZk+oQUw+lZv32lirYJJQdFSxzTv0m7m8jgr
ULCtcUtKHWqg3iCGSAdSKgh7ci9FRaZ8K8IGJq3vB/dHDjnsqkKRCSXOLQtMIRPZ1LyBlbjxhdC0
N7W8ftdK8bAbYpRu0xUwzjpSeZGhTclOieKOmtJ1pviyG+hI2DpJVymsT9kp8NLH98XAdtMmksbX
X+tvmmIuShUOmFim7/RznzfFmDG3VqaLIcqdztx1+poeOkmelNrtJtiVSwziR9VHvMV4o131wraB
NiLlu+ea+LCYYGrPLs3OZnIpPJwG0AfaWQT1APCk9j6b7DJA8rn5Oqh5jHzBimW7ld/WYzl+8Bo9
AiSmPbz+GLYO3IvFzUwdJJ/jsLzP+sCDPqhNWk8iwsVAQf23eDJ7trQD9XYvLRP+G9H19UtuX+/s
kvRHmYEznlBRfjn7+kjxqJSbuAWCX3X3Rbu4OAzwJ62o7+dOQpRIlQk2jiwOWTKWh9ev/ptmIXMC
bgATjtMo6/l7L3moBljdPmqRFwoEDR0fJF33xhDoN4+VLrNu2ZZL3/PFmIrTFH0ucgmIt5npD6jA
Q0OfvypLd9N5xZelL7I3rqj97osZAEqwENU15j5b8/qXqU9byYS0pOyjJMu7q7inYZ71prwgJNDK
mdz7lOMTj1G6Z7qdPJZzsaDxD0djTuA6FGP2Yy0+vf6sz8AhW/t3myPiecJipwl8triaDQ3lqQ17
TORf68Zafv6Z/IqcHK+Y2zfsdc7N1bmeZbGMTbr+rrcNIp8/gkGHvBlXoovczLmRADCCSrGqPSxw
ZIrJmnfaaH8zi/xjo8JSUh3YRLayG7PpGhD5j96dMKG1svX69aewTWXPFjyihcApWepsbeD4z28L
YmWzJKBXo9Ib6dMUJM92S6gZ1IojE7rsUGMoQZPss9FvpOaaV6SkwJIzpX7Q5ExjijxuVzQ6apx1
tZBkGDcT/m8wV/LvmI9YvToHq0kK0jsXRmcgrZY/oY/ZQDgfcnAlyR5l4ByhriT1+4rZ0jZ1FICx
cakoEOfeFLo7YKBApEHqFXFVQqlUkJvfWlnb2O50sOWrKi9efzbniBhe2TZJhtBgYArv2ufzXE8b
557CsImQDJgRPEMJ2ukTxG+nkr6Yg+MfLEFUknuEdvpxVE9fk9aqbxYtMi+uQ6s25qRbcykuG3XA
O0tlSjRueTOGqGvYlcl6TUsCjoxLJzQp34xnLxT3tu/gqvrmdWAzlFbPTjN6GcR5SbJJUooBMNxo
AMgQbSpHPgw6zJrULo+uZ8m9lkPiBekSyklt3gir22Z6HlYdfKVYXjqTe/jEZ6sMPWejGRHHQFEF
KunEg8HB5S6rRvuNC51zk7Z35jDg9QCaoVbinEcapiBxq+MAGsUVXcGcvEdDmi1snb56KhAOChyH
rlS2dZdbkCs7rIa5mcFbfKSAcLZs0kedEj6bmDc5JfWeoATk+Yp9vdWMFcU7/e0jCuk0TnEnOUCZ
Vd6Y5f3upTHAYwBqOUSNF5Nj3GPhXq1pE6VdqQV6gRQ3risNND6yTiQqkUafhh9bvbQI2k/ItD8t
pftGxHoZIB1gEcwTDd0wXx4TuA11TqNpTaSa9U/DW1qfx8DFConGy/LW1fSXaZcDscjBzgoAheqc
a8ughNi7qq03zC+nJBRNvQTbWHLtdORttMSigUtCvfYMOXRg5O/KtX6o51pcI2xAV0BNHhtXW67x
RUGNnsJ7J0zE+kzMV2A1d+M1erXvXo8PL89R7hioHAmxTUQ/BxJIPDTKDg2oCMtbbOu7pg9QMxX7
QaV+oo0KLk4t3hha/ibh52qsCBUaDWH7fCfhn+BOdavXUZzT2GxrZJihj+rHHEuIQ1r29FMTGEWa
GC462lNXePfdnXqG9NuVPYRPNcgqWggxg6KgR4CMRqihXdJa0cKWbLZB2oDskrLbsPoHVDDopm89
kUqjcNIZP4e9s0WzzKJfu41fTMxN7gQVFYLzRnqAOAqLXXSpn+FQWrT6Cu2KoV6j2e5uZegQps6W
zOORG1nbhBLWGOop9ElOs426MLFEL7zvWyVsZz2Xm1UmFPFXA4VZv2m6KVxXluHrr/K3YQOoGQAe
W0f0zzzPBtw1S6VJ2EiWPr0VJWNMaLdrqFsmMi/0MTkDKXIzT3+kbU432+JFVxNG9xPaLvvKltOl
s9AjOsX6Up8YjS5ZQ8+0a6yg7/Uvp9Gm2WjwI5nWXpaMu2/SnJfw+jd5mcCiXkh2AZpJV3E2PIv3
MjEZwUKBiCCnIIU+T1VQOtuWMNPxKpFe6XvuWn4xwXMHhjOKN87Mc5kk4i9YYpB3YF4A2qC19zyf
8CBqehMK9pFaMEWrdTnfaoJ+v1vQCTdaz/yEQhiKT0YqLnDCUANhckIiZN0QlPmTJao2GFSnDBLI
CBFnFxMlhwEQpPevqjZc4gn6gGF15p/mD7Q2NIU+H060+zRO5YPVbNMAiyZ7TlMyUsutxzdv7Vwo
JHeyncxPamGhROEd5YiOp2WvFspfRJUy8Z74P0MPTAd+mqioR5ULwEZgCPBGPvybzMLVyb7dTUWL
U9ne8uVf8uGRWV2VI78TtQwpTgOC0txGwmit+E3GNlz7AkEMgfYlsk07fCjp+2SfGB5g77uNYVYV
f7JGIjfBaX1XbPGtte8h8WXMxZsvFRP9IIGxvHPUcoleX2Iv456r22QU7HuVMvW8Rhp6BTYSjZcI
behIi5kvbqFCLLQjT92oIi7fiHovkmeHNUV+SlEGzIGD/WxVpRouLFJQCdLabvCk6R0YIhzHp1lM
d3q9A0OhkfgCkgPQyLCNAcd+06Cr52EvWyn2FmCWjWD5VvA4PyhPN2eR17LfNtTQ9vNfXqa94BWk
wHuKshQcQS+5B/RpmALwnortqbz++H9zuW2Lg1QyNIqJF8eOaKyOQaSIJmtbtU55XBQSKrNj7VA7
vlURnwD6v+ZuIG83Zu2ma85ohMrx+ddL5ci0UWZplKapdfRgqRILpRPMphcyaoKINAkyErSvOTNI
Qw+ZNcUHTVOqG7M2nc+TWXq3+TgcYGK9g2oy71u7x0dwQp5sYo8GdFe6q8Jt0L5ATAbthiqDNY+4
VzyWTDcxvwu7jA/PRmlvs+s7TEU2hSIgzXXetYFS62WQo+V3oIYxUx8XhSkwEyv3VQP/yTmeQjqS
7V4mrRmVemJcguVQmKiId92imtjnOEbk6JDcTE1mR7tVcni3IkHy2cJWfVTGTdjDDYaUH6S68qht
aDttaoe7hUQtRFQ6x+iISi2ux5G2If4pAzn3CmM0ZvArSuMSgKoFDkx4eWCXbRVWjZldDrnEgKs0
K1zGMFmH79O6B0y3siPOg7CQlA9Nb75L0kxH5GnorlxbWWn/rNrXAYd5VJSF9cZGM84TdUeH9bSJ
rlKu2ir1+vOXjc2T9JSCUx4EhbtJpTG9LkCNVJ3KZJtcKtdL9V3TtlUUN5MJEW4x93C9eIGI/wfI
wdvMLwbyekc6aKcU6fdCzxEtA3qIvdmEbxkLaL8oaCa5BMjArGQVMkQw/a0rEbrGqtzjq2Yeve3j
87p/16f6veWANplmGySJhRT6gLD0Qc87942G03mbAtgfG4odTB5DoFHPljqRU7OMVrhhKtdIpsuO
FtEbu/c8eJ4u4YAwtNBk1DBcff6AqcIsGgGJC2Agb4IacRF/lCNlRoOxRNcbLc8Gd7fXQ8Z5UsBF
iZ2o5dJh38LGWYRKFBfVlRSlvrZ22j3DL+k3K56KYyI0AAOM9BTD6i5qpBZ9sxfdG20t7Ty3h/uz
Jcg6CTz9VDouz7/00pbFmJe1Ew52ozCXzzvetoEwWr5dMLa8iwbNwIhod0/bQUS4lY0fX38EJwTc
szC23QMtcp1aBtDvBhD/NUqzbbA0loodIo6pBOPSdgfEviWFuNqtOzlmWE6WavcNUmJ8w4M0b+oZ
1GnV6+4HRThrkCLO4XeTmYdDuboPaqfzKNuO7C5twlKk8v2EHMaFJR2+Tp86xxbr2E2Nr/2Ebk8C
zbRCHmby+lt4fQ2yYUrxRvJl6XyHZ9+RBBbKhG0YBo1rzubn33FBRchsOULDgV11nAw5h2qTaL43
1uPl6Ut4Q1rcqlPiHLuUHzB4jH105tYAga7cX0nBAoNehG+kcXLwEGxE7jCH6gee6wKm/BPSit1B
GW0gZO64Blli3CHPYuwbmY2XKwLnB4xv5KYwD61ndkam2t0e40C0UVYb3hNSrCB86m3GXmEh3uhr
IGM0dpt0DoVsu5uZ3wwbewRikSbvFwWVDzueittlbT6tMjcIQsOlNWFHuyJbu0vadLzWM6d/wKL3
x+tL5lzk2XV4nDThwVQ6tIJRm37+OBuMNrB+AKCRCEnvZFCkj+TOESOyDwhsxrCzTC1ce83cZfYS
+zodLz+3Gvcg3ALBz4zulWC+jC4c2yyvxvSqRUD0W7vkDuNlb73iU+zjiNIPE2GzOtBIGnY8dDsS
6vh9RfrhiipPxcUMyJ7Vd2bY6nCmS6lLX7HrTwMCk+E4K/clDelArPKtzMZ8Ea1MjZqbHWtYLhtY
O1tQedYviFUXVqiNHN6IKxtf9RkBYQ4tlkAH+RgJH7eP+gktCUMpFYA4bQovvXcPi5k1QZ7Gm3ZX
XX7EAwx4R8a2E2tnIYSAA2ioTw0L006UQAKOC1TJGln6OseKys39QXWxR5FDNC/YMmq6+WEajQdT
0VBQ9ZwPcZr9oNZBQYD51FXZK84hAbRxDXXKve3JJ3FJRTzOGwvKcYxughKOc2TTG4hMRn4hg0kW
+sgl0e4w3ujhvMjStlpSg6brbXHnRVK4zFnKjJK1MxbWE2wD93bbKygY5/6kJeMbbVznxckFt9Iy
QKjRydWRCDtLkMuBXpU6YCA7AKcKcubQDwDL0qsGpz0fhbo5RLQqv0ntPr3SUX7eMV1uGV3x0Oex
JYN3p9hnmvh59OLjlNjXMbJdoQbKZ7YvF4jWKHazr8ccyCv/1m/ICQPFY11KHNgCfWI3k7Y/1V27
3uk1YD6thaKm1XV3GAz2QENReMw7FcW8xEjCFEj8R+xC5XsG/nGg6el416DM5ps6OA08HWlxYf27
x1ZuvAbM5V0wkb3r4ccccJYicqzomZd25Rwl7IrrSSUsd40QIRbLccDEdHOLLseP1sLa6kaOGQWd
xtK3dCcPa0TVv7UoLt3oaq0i6FWpX40YtVlAzIyz07RWQk+WtJ3HBDdGHuQOE0V7n9ILIgNlQ6xv
HNC/WS0sEnoxGx59OyWfR5rOtguBIZ6NwBqgnNzi+cnG4nCqzTpwLDbE66Ht5fWYKoJIJ8WiULfO
q3RbVCCD19oKi7IkAWnYDcDmkKTJM/eQrlb7xm7QXiaWlG0W302j4GWY552lIC7wtlbH+SoEx2Ts
swVkqAZP55iVDKIqrDiuZs/M9klnh+hsyoPsCBe2aI19jVKJ70zo9JkTHlXYMue+N3BQ4d0To5lg
SkAJWh81LV8ls2v5vuwI11a1He5WjCM09j23VlV/W7YwklRWvAlO8+la8Q38ItbSNqjQvM7Qz6Y3
eV+7HHar7V4XWJqGTBme2tqrg3WynpAk/qan3Lui9nO4uPF6RV9L32vDTGOllvfdylrXFCL/6Wht
BKmWdJP0AUSZsffwVb1DP9oAI8Ju8hAljlKW4FWdFurV1GO2VtvbaVoKwOANeQmiMRy1JRa96rZX
F534IctheaxW4psYWedryxIXUiL6PpGzIw/dBJ1o2k9ZJpSQ54bnlOSGGgeXQjouCDQriK6uSzv/
9dOC9Z4tA6LijkI1v5l9BJiHtP4MtGC3bKdunurdhZkJh81CuMi0iXygn1ce4txdpL3qXmOH69Ed
5q9en7gHVGoH7MX4J9CelaCK8bTvasDfYL4ROEk6eYOwHmiOPq45F/iaCvaLN8i6rQgTat1+QO4r
gqPkXeglcuBegZNCsdof7cX5XoLXxbzV1C/YneMRTo2xJ4Kxiq3Fjca2IGXJNpPkbbt7No8PpClX
UDgFGo9MJ0VrxU89o6do53Wcdtf/Gu/z/6BOgQbAZKsgfgkzL8w9gr8ZneDifmVx/vcv/6Ukpv/B
jJv/yvFInXnqnP+lJIb0ALALl84hPQfQF5xzf9E4dfUPfkJ9Ct6FKg0g0d80Tn5kkPPCZ6RoPQkd
/CtKYt5ZFr3VB1i+2FSCuMpBpzpP+9AcnsxKM5mIZU+DY9840ooa27vP40aAGtT2xULDZVTie7w4
IdDYXxyZRIP3NUXci3Z3chWn6ycx2BFt8lADSZ8f6QsDbbYIVcU+icdr4DSfWh3Xvj4Jm9WK8lUe
1Mav03hvFs2VJn17cEN74ncZcRa5PGC1dyFs486W1o1lG9HUmndmrNFk2W0z8zlJw6XxaLS2H1yl
+bDOoDRsDGzT2he4jxf941p8WBLCXYnn8myDV52uncbFrLA80tK4qcz5U2NQiPfVLWPzfbNAWgOn
m0P8WPT4fgX5FLixed/ZyUFO+bsyNunfp1656yx5WONpxGiiuOsT52A0aL5k1vi1lx4gI/mARjjT
UNUETG1fIAW7Bw3wHc+toG3Kowls+ZeVd/tnzfOPaihv66zqu3//t/MR2p8vcXMbQwWKhoZ7Vsov
JMldqiJJUrRtwNl2apShW/POWpZ3jqQTmEIkF6uzV8CjjbyZ12/gPHUm8YPsRYfUppuwJWdnBx6M
Jxd7VVitoBOBzWRHpJBCBGBxxVwsbONSHd0cYUdDvN7m7fpprDLjaGmWggwUQ2Vn93MxehmutrSB
ERtZ6KCuvY/rFZcFecARWvg2imkXao+vJoNNaq6iDCL8EOHFSCZQIAb2E3M7UMPIMdexdYg946qd
mTHjSo/VU6d/XzAJ3U3zejeoWbR2nF3svc9Gq1/FaKW5+XBV4R98WaNZdvWvx8h/KtTyjPj+T//V
/80wydR5S27+uaLLdbbW8lt5FiD/+rW/ee4mIBkAI5QPjvUryX1r0JkkUC4C2Zs/x39FR/MPc4ub
/I88C0lh+kp/ybno2h80PmzWI9kev2v/S9ZH5xsLOIQJARMdO2wz6V+dej2/dLtnrVshKJTjoRqJ
PIxrGhrRbRnJXLsxyNousnjEMEzDGTgZfuqxHW+iU2+10RCjOOt1bPeBGwkIDTA1QDTOSlPDS5Ra
q+PxgCVYcegdLTQNAcOeuEkGf2W2h9a+jWF7DNlGuLKwDNaT+DpP8W1opXE/tLCy9MOKMV52g9PM
lZEzYc9cjHJieDCT7Vw1GlLiE60I0+rvsBdh2NG1OwuseaAOH1G1Oi4ws+e4IqR2t7OY300CVKSB
HTd9prjDHb5M3il5UyIGIO6HDFeozkDszRF1AFraxjcJhxAoRRIhMy4UDC79VNSCH7quuTcWeiLx
AhXSuJ28bmPHinTHg+0Mo39I7QkRKgxYQidBGHCmkVCVWmgh3Lzo17VSo+5mQAr8rIgVg/n8A0Tz
S4iHB4bLl3ivQLlKgAa3H+bZ+gLV2dkts7ihjTfszGTkoELs+GBY2WfGlTfSXS/t2fpZp9nBVb8q
nfrRSbg8MjXSku/tGK3uvt5j+xxMaIrsdIfbAJ/rIwa837hsdTH+yFrDPgyrodESt590b40vOkvH
nHo1SizhBpx6nPWq16ZrxWVqB2i32E2ajsGp/aEskgupvu8qx6dtbYO0mT60c3JLeYNx+i7naXkC
1PuyBwPe29NlmxsfS3CUO84Akr8PbTU/jaV7MXfqlxVQ5cIEcJdOzUMyZeFiZVd6a+AXMOOhHNcA
jr2PLK+dsKC6YpJKaxWJmX7cL+p4kyjxQ9ysV6NtvKfZR2PPGT5qBsm19qMuy5tOHa+GcaZeGZKg
nldMH3scBqRe+SLGeHHuEePHygLNMzg5xYPD0mxT+yPtR3WHBsAPPHNiFBnKoO7yEhQUc/u8/672
eMnEqMnv8HXG/X3vaJvFbfo5L7V7s/zsSLm+yxmSfUYf8Qpp/bt4HvF/WiaMs21U0sh5Aia+V3As
A7utDiipPNhD/FP8J3vnsRw5smbpd5k9yqCF2UwvQgsGg0FNbmBUCYdwaId6+vnAqjuVlV192+6m
zcbsLquyskgGAfdfnPMdrTiN07l0Hhpbsq6vtBiHrX4xW4/UzX7al1HyZAMj3yl40x3y+Sn0rjqQ
cshkN51jne3xUvvlCdHCsqkFQYP2WFwRfLtTyohWyhU3LbzCdZS0O6ZsiKXIiUaG4KQ7X9x0kXGV
F6QhBvsGWDIRAlg6/OAmnu3CQCKeShz4U+q+h1O8Tvo8YwVi1KcqMGrenDSj57PW40B34WMGzvxN
ld4w1lr2pXGRUq6Mwt5k+vRIQvquMwnYakmyQkPwpMUMn4lL4NHwVjrK6L1VKJsZAKC3sHOvC2Uc
hOmxBpoeYpCEq0p5LzH4gGVKejx7Yzy/FsPg4YzVZ4vefZlPvnfs8n7NWPLD7ewbIyRMHML7GYxm
v6ha5xwH0Z4V+WueVvtYOZ9Fauy5/i8sovBRmYXcpFm+c3K9v8pYRG0Kj70wTp3bCAfgcgr1c4Rk
ep0bNzVcH73R+eTRy0W6tvfL+CTjvF+5+GVZDncbe8R+o7nOjUP8JgT4ajHm5X0MZb4ToU19BhaP
k+a9cIKVPbqPkvB6l38BAjDdZEzpVmQs0JzWD95Un3EIvKhRljthKEE76T9O/Xjn9X20GgJsYu2x
iMJFJ+t7AsXPk1W9tJnzarYmsdzhlT6ql2pMn9LRk9u25OdA3jhqxbruxvUE7fZ2tLXbwOfjkfTk
JG4fWoU2UmG8W1QYh6ha6mTn+f2+132QDNZ2qssfViq3uUre/IjVdz+G+5y89FMV8ubnOFGXADy/
6GweB4dekxXVGhTDpiI/aClsjMnwJeGfGvnOn4I3U+FZqJqA56/Vt5kr9KWZaA8mkcezJ3nNG3YN
kOipCnJUIGxSbKlgesvmLQH4yIYD8HDbvzBCu8Fudq/1/pXetdeTifWpIT912+DMM4toP0X2F127
s9BrXIxEiV9NfKwayHSCMTc1ueCg5kkDGuchlKbZ/lLUKKBqSnqLJGZevX1rqO+gq5u67HA5iAiq
Y6KdbN3J8aTEn3VRbpspu8WQjM9Viy5NpraVx/NQ+3yS6bp2vZMKrH0x2Ye+6ZkRHFzRLlP8M3C3
2gWRqgfXeVFW+hDKZh239Zb87AWDmGVFUs1CL8JNSyRFWbursnglQuhaBt5TVxv7IQtWbWYf+6bd
9V1JVny+MhjDLlnM7PV4CBcpAQ6pd1eFYDNbezfG19CUn0bJLrnPdpgmsYgbzyprz2bfMTAmOM0L
tnEb4jBswt2kiXluWd+7YftWp4SoCti6B7d+Ap28cuALYxGYcYm7PlNXhnc1TOTQ2zLG7VRftMk6
jQMn1xypECS88prj3TiD+CrHY9R568LTz2L4IbvpmoZzkySMS3XrB4MKppIqWanMOFK/0TXEP2Iz
/xSRfbbc9tpy612cRvf62K91RWyKUwfPfoIXUP1oGVhUI0cnIbt0S9dONfASFs+8Io/V6By87LXz
MUh1+SsEZwY4yZXS1RmU4tJCc7s1Q3FihfKEY/lSNwWZ2sO1wkE9lvJcOWRGRTMrTbPfA6+67pS5
K4bxRMyuXLWJtUwCYyethtGzelOTesZJOtP2d2x5P1gbvMNSPgoND1m4yAeT2XzhLFwc3A3ic4KC
Gphuiz6+M+XB4lAQrNc5lhU7sVayMFTrdiBYwzpNib/vzeysB/FX53drC4wL6AHuz4LB+4CJifAY
keonDJYhYITqKrLTS527uCtdkvgIwUZeG8v2RZxyQGvNQ4LCzCLzhHbyumT1xNypWFgdUpjYI3Z7
Mte54MdKbljQEXq0zYYe9Hbzib7zKOJ0N8y4gdq8IjeRFF4YrkE1DxmJwRzYxHvuYz3U70GlwnVr
2xB3O4EzRmuQIbXEriTyYYBRc+mnwFi6osEdpOsUNkWB3q+zlrjCD2mSLdPWRElqOzcEubwwM/sw
Q/UELAdAfkNQnF0/1mm5K/rkMYERi9Fz6ZrdNgJl7U73XYtcgIMXtsLScuRtVaJwDpvtaDhrr9OW
ZnSiPYUyIYYrNlKQfIpl0P/IhFyivGsrjHQILMI2PifNQYvHlQsLd7gdJrEpGiwj+bkK8ZhrSLFW
qRDcHzHjS3WruIpWI7unpN9OwN488ynq9dtY6ZwH/jYmjjdOt8iHdyq2bya24mWtrgZdXjrjRlo8
QPhbp/hV08ViqIx0UShnMSbvfd/u3J6EmrImOKgaDkPQ4DGq3B9B/ih4N8ciOrADYa5Q0JLSSJQV
boCr2BijRebfu8g/fbt9izG2IXNTK4ISyVumflCa95S2VgHH6JHwUoAC2l6ZRzTN+Fg5smxK0iF0
D5V074i17Jx1VIx2TwpcWoEJQMXJYS0fIt3TlnmHpSxAPKM8bmTWm9PBQ55/Kn0Xw6kjAtbkU7EP
QwtrtF4H7bPTp8Vj1UIrn8iDwHzTjoTOEN0cJEw/ydnrPru+SNfITvUtmUL0DpMbdmSZ+0vTd4Z1
4Tj6h5tn4uJb0j3qVUT0B4e93MFqTh8LRAnrzJDB7dRZfJJaK14l1fAuQ0ZChCfj0XWLXe+AiNtU
S0GmDOl4GHeHLN4bHuncXm3rX3xJ/4NdxvSuSVffSWds8RYmxl3h1tbG8KL27AtU2HqeyKOuefUd
/R71MYUZMy2CRC4VwYb3gCIHwjcRNI2J6PdIWstj0dnRXmmjuWHexR0HsWUVjoYPtlEzmUKg2yQA
vKxOeZFEa+6acjk4wbTXMKmezNwLDyzqmkOgPIBnLOShudQBnzsx26cWBdIyN8dT4ZtgL6JRh2vv
t96jXuvjRwkc85i0LsGB7hSd7WEqXmARBdeJlVcPNDq8P34TyXc/cdWzlllOv6A0Ts521zr3TpCI
W+A846Xpg/La6GvntrOT4VwXgTiO9mMXO4vG7wismdrhNiwM+0Gz7bFb5PFovji+1m+GauaGE9t9
qTtPYXafvKuRC/NVOLG3k4Xy2XoOw3tCru+Nyvr2xoE1cc6UkewlyHN6yGBe7sZiIQpyXY0xj7YR
df3CtUqkMd3kEkhiGsvCTuQ2EAAO5dxg5+kYA/eIQrZiWc9uwRLOE3mR4NQ5nl4TJzPhOSlrZyee
cWR4PnKm5BE71/imGF4HQVRILJhwtdl4NrHdRotSjt1dw5M5GvGqIRKpgMa+UtX04WQJyfN9oxBI
ht19qLkPfj6d3Sp9ceNsZ5OfIxBD2uDzOfbjneYO5OEm67js3bXjkfqj+9HK1qBUjty/uvfca9W+
GxMAPIb9SZjW0jKTNxsx3shOC/nJhty5NfbwnovBdgY8QH7gXvuRrZOsXD8NZnFv5vY+1v3rzFb4
06elSCy+Y7XtUtZ39aNhtMG61Jpn1AcwsaOYilK6953dPYSacS5HViRErsPfTq/GQdtH/sgiO+r2
pVHZ4DjNbCfzWYAzmeeR5BTkrdmS7IF1UIlTFfcNIjOK8iaOscPYm65uN7DSzVW5btSTwsbSFs0x
EITWoZqKsvxHmTcPP82H/maYid3kL8MOtEgMdHED0GuSsoEf8BfzEHAPKibH7Xdu9kSbHx+nQQ3n
oS9NnM/ZeNDdvLoeimi6cD6J2z52nXsDB/C5Diu3XzRu3hHs1Ml37/tVSee3ZpzfH2d+k8T8TqXz
21XN75nx/cbN714xReldb+UMUApeTTW/o/78tqJ0ng7Z/AaH3y/zEFkNKLFUO0Qh7/o4v/X+/P4D
rojWUk4V+V5NQCBob6UL0H/+PgnTcZXD2LhBf2BuyvlsMeZTBqhOv49CTh69DYdlZffWvUfc5aUy
GurzSIj2jhy55k4vGnlEqlofyqluz9FENxbMJ50ZslPEPKDzcXEOglb3YQgUxpc5n5L12MZ7URaL
oKzEOv0+TNV8rmpM89fy+7CFitbvxtQXr3lJnVHqY3BrJ2mwFpaZPnaWoGHoe45vXfTusRp7cbGD
wvgIyVNcS/TtVkmMm/t9CRQqNbb9fDMQwtR9hvNtUcz3RhIH4w99vkvq+VZhnlM8GvNNgxaQS4ff
ZrGPANysq/lO8ufbqZnvKTbVYj8MxVUx32Fivs0MrrU4jM1o4U/N9MmQ8AgqLoDdaxrNYw8p/9kf
VYt0Ns7Mp9HxGGpJZY4vPWQm3hrLTzZlxAAq5dlcK7cDrC4p4EwE7wtryK+9JoNmLgDwmqUprsuO
J8+Cl1HStO1cTQSYnmovfLOlA3uLDepEc1O0xqZxdK8mnPX7K1o1fb4n/cbjntY84gGgKYhlUxTZ
TUFq8ZtfmeZRJhwSW7f36VfnFQ2HWavlBD64dvpu6eWlszKWwyX+iGojQou6hG5hqdgqMPCS+AyS
Fgq77pTDuquqW0G3ues1+6XOGeUoncykeKKunHh8ycyVXDbDOmCbkyTVfdYKUl966PSTlkuwujna
dRr2L5qYJ83XnZOlgmDdlPZDF1N6dppprXXZpZywwgd0FmW3fu9qV348sOSwgDIQexbfezoBo+yZ
k4Nw3fvYSO59qBPHpArSHTHGDUte/RBZBni2Tgxi4w4dRU8LCARsxyupE8xKjPjHOGrpMqsmQVWc
qrVpjFc19ceil/znPQ/GMvG6Z0cZJFuh6oGmP9iIkApzW4GMn7M8WdZM9tYXBb7KvNeIyqmcDcNU
xip6/ZYp/UJdCBHfHaoF1cdDSUQuAtv8rtdK2jE/E1tbqc4HOpDiivBIDM1SxOCgLomf0AxjayVu
uSGyYVr4dtdsOpN3rfCZa4ZNQQcWjd4iGprXnrQrUjLS+Dme8lfHyKggnLLeZh6CIuLiQIROmeKx
isnakXJYstSIF23ptosxnHAjgc9atoljczsGktKi1Gnnbxw8u7AaqZhGQcsv/LB4LEIw/JAGOHrm
fqAJunv+nrOPLIfdCOJJ+6Hx3fxYtE64N8tAhxE+xqci9D4NtO73qUnYmD9woGgy/6SL+ZFYBG5L
FwWdEXsLU4vs67JgN1+4fHZZID5xKDiLDPzUIq0auaIqAPY6xu/jaD732YvuJCf8TjwR8HLG3Lsh
r9ZcjWn+w21I3zMKoi59BdciayGHaL5nwseJo+umNruVlXA4GjqNB4EnXFZIIO46w9QfMN82dK/G
x1DoFqkUyYOHUdlApL3WUO3QGZf1wiWV9yryrOPo9YJZMu/XUHNJQKKNVwykr2HEmiBYCaHcxS0M
HCTPYhf10fSc+HOTGVnjZhpABBCDibWEyJ5ueg3jVK5AwIulpzJtaTsMvbw2Kd8SMVr7SCMSU/RB
ss9aAtzDwmtvOrANNwTLDO8h58/RMCtvRyBL+9rNtVU1V1nWXG/135XXXIOZGhZSsmy0VfhdnXHi
2g/wOYfbei7eFJ/498X7P7bI/8se6/+n3DDWOp7lsVL5r9dYq7fP+u13fvNbBL1599Z9ZfF/2mp9
/1/+WPtbv5k/7/Z/yimYBQE2wiCWXWiSCB/4c7HFbh/n+GxDZPnpmizD/rHX0n/TAYfqxB6wE/ve
hv3H/+YTj76KP2qq5pd//nlh/Isi6ntdi7MOYB3fCd66XyqsJGnNwQqzcE1CM4Gvw9a1xYaCA7il
vf3pc/qbcu5XTjS6Bry4s7pp1pXOomSqvZ9WaJHUOCuYY8HdLDad192OpD8TVLrJUWQRHvIidWfZ
9k+BtdG86UxYpL4U1nPG0WLGw3HIyo2bm/+dSJtPsvxJPPz7d4UCjfwCvj1UFn/9rsIyLgK8CeG6
FOO6ZTyduXNcmeltjKiGVgToVpNL1tEbouLpZLrVGDIyCelUnBbdXnn55x+T+f2Z//Id+aZFEoXF
NY+445fvSHK5aDD3wnUzKbE1E3uPeMu+JSA+PA9CgNJytOxcZp2qkSlOmBiZnJBTwEgjJYFpEjnh
RblzCVsjO1rKD48k++xLL9/QMdUr6tpXb/jIxnzVtfRhRX5ymT6l/WLwyVPKiQFT5H6DnrBYryP7
okeMGX5Oq4qGCnPISa+0VVBSOtk5Id/2KUjVRon44Gq3vVncTqFcmZCt7Apfm0+Ggq5WvYJMqJuH
yA23Ckx945q7WOasJJ9Hqe01krqn7l3Ljy7nKCYZ60C6bmbauzR47FT3RBwQIFFyaJfl4O3t9hGI
LTCyDkhCsbVQasiGJII2ujDWjb3kOiPCGn330ndGqDbhwRFQPO2QxORs3l7ekZl1sCxvMzQWm1Sy
7mCdbarEHzdaz+7J9FY4kBBPEs1o16dOuBv0cIPXg2Pma5LOWRYdQWAFEpAn1w8OiXTmJNa9QXCF
YthjkFseQQJLnAJNH9lLWcPHw5cJ7FVZ9bdF7Vz4fTLesHaqdeVi6ruV5+DJpgQzqnfhnc2cFM2p
JRXcZ+LGZFoPDqXNm9n5az2RSy2+S/tip9XXY+lt3EC8dRBKbPu9GorXpvnIwXZE7AOA+50b5NTB
eBPXFPCwH6XvbWJKiyhs1DXU9PKOGfNr5EntNFb85jw8Qhql/C2sp4J8CR4tsw2Ztkm7+IisKiR7
vORDk12ZMAXLs69mzMXFnKLiLSBOjOLCmV+a0EUyF4q919t3nqHMBzc1u33TR+qFDBRAC6yz6RG8
AGxvpkePskxzOKxWuDDCfGKfmgK/W4SOknc+U/iN4Tbeqq0njS67h8PLd+EOb049ZrvckUy0h6qL
TqJDdmIp6+zUjXupp867bU1Zbf59Sc5h0eP9WH79n//19snObBU3bR1/tL9cbzz+Fkrr//qSPL3l
canqv/9rf2g9bIJ4aO4tH8+wYSOz/0nuAYUURr4LiQfp7CwE+Yfcw/kNmgNKE9of2mMa5D+vRes3
4DHMCnTuzdlu8y/JPdDV/fVa8BEw8WUQo5D7BmHuVyGVUzV5qelpsEvqWO5Gxo7ErBBh0k4WVr0I
d74TDfcpCMEtfEhnSQzX8CCbVrvD7vJUR0F10iofCUIoh6PHOue26Wwgc5IXcjLQM/R2vDMpWDeO
bCLWA3X4aJu+POHR2zd1iFdc+eoIG/RWQ3jCSTGQKIyogQEfgfNml5FkhfuPYhvVLKOOkUFwpWyu
zjhASkpFex+Mo09iXhtyuozlqU5skj5pFPQl7IA5QyxMtnGZejstJ2hpx6RiuKMxFM9xWX6lNILe
KmqtCqFxnLzGJjNuzNe72Lavk9wtFqkg0rNH0LZqLBsIn01bT/O4stU8lXEwvTWEF9+ijau4Ipzd
qHjPe2lA6IuZsk41c72uipmJivgZ4QCSu7Ykyu47iLNp+mrROxYj2HreHwSMOnUVbWoTuXPDI0Ic
aSvLW71PPnunsaEdhFhTxMh43tB7NmmN/iqNQfLZhHkHMBjcLoSa6K7rB/hbvXbXKS+7dJmrbbPe
CfNVaYf6xek9n6ll1ItsSfMCbsrgeGmgWUJIQmGWkiedCT2nR2jHS2hiAGkrYC0Ir+tuBQKTiy0r
BQq1esqyYzlkbUIIpZnCB4XTFjLnCdtuI3wtOHYFs7TWJCh13yBTEVs6pe7Aurxi6xtMhJt3pM8h
vfH0LoTpW2aslKTNNL2yhsc8H/Ju4QeNh0TGqyryAwEfBhjpxuCmJQIK8V9lR9ACA8/p2DBOgQ7z
O4mf28atT1Pb2uXaYGQdLyMjtM8CgIKxaull0QpkOi7OGgZAkHdnx7Ya4zKmrc8KJmlQ9qGuz7x1
bxvAGILa6PvbhDGI2HnjoKoDT5gVLeHFRdOKVsmECtjnP4oylkeP9IkIaUxZl1ssKPSJyRh7h/Z7
VdEb9bwj6oMLDoS9n+rwMjHVLiKIyK3eylUH/WRBiEK0tq1rX7efs8a7GZKZExjr5rKJ651obcEC
Uj9lIFQXhVXcdlb3Hpb2nQKQOxr2eB0H1s6RYA57VV0lERjUtNi7AqJGVwKIwXRPhMSyrQt+ZWaP
0U2Och/pqXUTj5b2xeO8KsA2BZ1+Y7ao5/PBv+h6Rc5JPyyoYfVNIM1yxY/6w5ousu2QaPB3YIo8
S81MLo2u70tXxKu+rgkLFJ69NJvEXRWp9mnHWQpXTAsXrtbc+EQ3NbjrFlVfRzwMfrRjfZlxb4p7
aXVim6ZewhDZinbVLExyXUm0x6iR8iSLZjlOk74m1Up7s23EEpW3hVAg1pNFxmUHsnKX+zolWGGt
PBtwLetS1DyhkRcnPU7c12CM7uBHxquYxcu2D8GidyrZpDZ6WMPy2qVSofcx2VOzro1xbfhDc2Wa
CdZZ5pwCBPS+c7w7jr4TGOVoYVWjeUhj0BbSIYQ0y9BpmO62CuqtLH21pVL/zOZA0cEdv6I0PFui
L1i14euzG2QFU2d89a2fvqsp+vHT7fQ3rYn5XeX/WXP7NuP12ULItMDCpIrO8K9dQF4O+J2hBO+0
CHqFkLhxgimDJx8NpXMWzDegxE/KIV++SpuTXgzxM/YguLaIjSifJVGVnJPYgF0qakqlxCxVsI6G
tB55LmMfULKRwqCNu3R8LOrc+OjGkPfZqHssSF6ZedUikxOqAnaTQJEGhCyH1CCldSuQjNT72nA4
LPIyPLJY6HAYfp8mrII5WarvUwbdQ3Yc5CBYD7ajZ7I1pqgUdZ23jP9sbeOLNLltE41JVFbp3r6u
2CTWvRuxuGVYZc6abIGOMAubTR8wRlNxzG8T759ui/7ooBZEISOOVpgkaxzRwzI1AwGcPyJSKw/w
CCnrdpJGu4DK0Fy5eehsq4pYjoB11NIo4mYlh3Br5bl5sJTXfhkMQh/qLirWlYUVhMjICut7k+Ir
2SYQXxVLnRj9SDjxtrh6UvN000gXS4AiSXoXj43RH8eKYjhLesLWwI9jasPiQIciV0EQsXmtgumG
QhSeoC6v46JOjmNk2DeKjFpos2GUv3AoNAwXvWnjAGXH+Yntn19olZy7EhRj1DoKm39yqbPCPLg6
ZVPBBss46baRIv6IvQjTVasnywx2a3wlmc0fxaChoPKltvU6YTPF7rQt/pj2JtQYMhVeFH0Qzc3b
OsSVeh0dTi+UA+aZWpdJJP6WVWEY73YWGjt9IMsTAFmFklPWN5mgJI4dE406lA6jgr3cNyQeK607
+hFkFneoIQyIBteuuYprAv+qdrwqW+dZRNOw5pN7ysCHkvUQh/wkAQ2aL7qFWRr3MmhRzathV9sz
+juDSjRYn5Fu9KgqtQ8woLlg4W9sS9EeLIzuwgAdbxrHRoZPYWSt/Ers8dG8x4aLSDO41rsO06JS
zmaY1KcUg3GNt+mrsKMAyG1pr0iWqjf+oPk7QEhvDkDog5g7lMZNxecYBP2hc/3mItnD7JvGmZA8
xv5CyhS7S9d8UCzSkjrWZ2fPMRwS0TheU/IijDg+2on2MgG13MpRN67zKjixpRyXFjTfdZ5r44qs
rWID3y1cVorEOZC9yGhLpVY5op2AX3YKNXfd+uWKKmFTlE17mkqjxuyJRcCzS0Qig0lyaTicMsOI
MeyYJBkZI0kPjQHxF3/WhVCKBhdWtLaCLt5rLYPLqEedBHjWo2MOHLNnjprZX0QMsHhQRvmDESMY
p9QtNraaCjpbwAqWNOe1hBOtEitNtlU/kNeazasMjPVsNdxhNJ+8711HN689Yidu2drb5HeD201+
iO8tiQxZoCYqgkPhmENTbrUavc4a4aU8hvMdXc+3dfp9cZfflzgAUy50y0PRsvO/L/ru+9KfvguA
MgopBobvwsD+LhLcuV4Qc+Xw727rX+i26E7+Sbf1FYm37G18+5t+i7/4R79lEvqmM4h0DFonzPD8
ye/mIz/4jVkT9nnSerw//uQf/Zb7G5E2OIzgypFnytP4Z7/l/Ab3xQGMQp9Go4T19pex4z8bQ5pz
//jzGI5+S59HcITc+Tb/M/uXC1iFovUd6bm7OqjtaGdWKfQtsBhDvTCCWHwSq5wdWpcI6z1zM3Vn
G6Mfrd2eLPANFmvroUoSuc9bF2p/6aYdlVhM3OTS6duh2hL1bD3MlfIp7Hv9LDXNgUfg5K619GCx
IFa17STYsZHzge2MflVe6Vox7NExocx1Il4SP2yj+4YwS0BdHOQUP4Z2HxiqOvrKU8+wUTKyN/xg
behZuqxy/1bnHmGNpV+ThtYtAryJ4Jiarv6osqrsyV1uZLXkh42u9AQA+KJmzX/lCMr8VW+z1G9U
hmV7yuTOUzVyNzM2d6HjQ/d3Jgvx4EgDabN05SgbIvRqBFX3wgruMeD4295Ie1Q9WbBMRtktLHQg
awtGzyJTAe2jcGkhGV6Stuf3Cu3HUHpoQItbI9BK5k3QmIi6YACtU9KFMcqlvO8uxIC6I1ZSzu+r
Km5RUIV+hw5z6DOqzyBHmr5q6AnKVaQRmoTkiSXJJjLGhmEe8e3GZTKcYDzXEWuni2HryC4AcoT1
Lk20OmQ97RvTXumtmxzCrg+sVZGEBmnfynWmDQVv9kwWQ+VcfFmjrzUmf26ABT7IJSLWdFxYU9Op
Teg23dZrdfGpF2XkLWUpg21eK+PRgb9WY3eNopmh8yNALqe0vroxc9+8KuoRo5ula2Qn+d2z54JI
FHp4g4Wboq7qW+75QQYnq+5XcqziCxkG+sbVYY0XsHDQ0Dp6v23svPm0ZOftChZI8TZGLGasskKv
Vqlb+jBdkjllG/XPuJKQ3u5gr49XRM5gAh9i9OFNm921hC2smI6RR86qeIt3vDjoHr01CLBorcf+
QdUjrd5kTPdhHhubriqcg+smFlG/2jbODYTGvlqmRdPcjTaRCoLZ2Vmj0dv0aR/JRQvFYUEg4YiA
rRCeZNfIv98WWp9dEUxKGZFY3HQyk1d1RaGzMBI7vudpVUeWbAaQIbMgrYI4iGQ/RmlfEkOkVlJx
8WcEt+6jrk/PAXXPS8vvlh6uCNFTRqRnRcQADQN0L63vV3VNeoKUCJXjWF6qsdgiF8zWpKxPjzIB
gOuYGimAvlfeSRU1W0+ohM89GbduElUvXtDaewQZ6lS241ehFJ6TcjQlW8uw3YGMTjYu7t70udR6
964v2LsuDZF6r+XYsjPUpWvv+6zTNsMwqFVsltba1Uy1drpKbfSqrrZT4PUokJ1sKQ2MNtmAqMdG
vrzLAu2gy9blhJHDCeOgeg71Bv1tE2U3UWBVh6ZMyEcnYhLtYYVGgLzb9ne73b83df/dEJJuDUWS
/k+nkEsh3to2bljTib9cjX/+5d/vRh8X2bxPmx2wEDhBf/y/u1H/DTvaPI6kmGcMOP/JP+5G+zdD
x807r850MGjzuuuPFZ3hMdv0Z3Yu4DC2XWwU/4W7kVHWX+9G2/VnMjdXLQF3XMa/LoQY0xGoknTE
X9mFMDd40eolNizTWo5BDj/JKqcmWYMS4cjtopDAJ8+bZcr2wHhq0botEKnANa9yLgXkqkUJzjSU
Fe+5l92lca/dO/OUPhqKGXOfi2MtPZ1Rm4NloUEEsvYsDsYmb8RnZ/mTYJWQ+QIAEODLcHCzRzA/
GeJdcGHHyMhtmk46cADX4Xhxh0KaQC7vImWNywl6ppSKIIiOIYCK6/oofO6jAT+yuaHzVekyHAh6
A8k8av02N3tyYYpxzoPOJv0udOLs2RqG6K4wi5yWkKFk5Y/RacyALSEe7aZ3+g4HAaDt4bdR9Vtv
9iAHjHTvJGYAUBZ6LTo3A/R+AlT5ZmgadmlTmqxzIgMWuTkcIyxHhIwJeLlWzS1DKifDWPACU+Ea
7z7hS3KRFwppIok86RUepvS9dwPayZSQrM+o0KIHQrKsWZQSoAKPPc1kkGB2+arlhlgHVmovdIvW
GlCveUj4BWD3KOwl1153HIr6cYxzGEyeORCSMzX5QHub68VyGqp8LWySyFcWddtJuX3yFue2/NLN
kHRULCWltqjyDoKCHozYKwIMsaxc2ZcgRgOfQyMeDUs3j9oFN3SRYaHuIxQZfYBcOS9fBDGpxOdB
2EGjMcRFxbSNSIhaK8QzVwFeHWiAYmc1fB1jtPIOAkNPPnYatRQ3o1MjwSwgyWOeASK0Y1CqPss6
78XGMosBRbUWbD3ljQ7ybndEVKUKhOKWn5brjMf6obUt8yYlnecqdFVzL3JRvAGnEAmKERq4Ix5r
a04eHcqPConvSxOIwlghRcXOEiR1+WooRiSLyZiDDJIkr++g7Ac3tm0AvpjKPrhKuBJvpKiqauHn
AptdQG7MhXJkeGxsGkhCQXXtC16N46x8g6wv20vluwtvYesP2KtRBAb9fZPnFgKqVhK1VbdoPXYs
jAXcck3kR+QfCxeQcr/V/i97Z7IbOdJl6SfiD+No5NYH+aDJpdAQig2hGEQaaaSRNM5P359HZXVV
AY3qrn0vEshEIpUKyUm7du4532H2xLk3TW9JNDXPYW/Wk+/W1+e2bI8yzp0RKSPCiyXcROxwRs/t
NhVe+TPj4br+pynB6aDTmi51RZnWPuA6jKymoouGEcWmMtCzeM9QXL9fT/9lL1jUHpKUK+8mHgzf
tb/EIYN0C1jcCiT3jWyREVebW1Jm0Z9Ue+vHlM17F3+9X03+LzMm7HtFWXQ/QzlXWF7dYP6Y2Trs
2iFnaejY6WWehuYup1PxWLLFOddUxtClmPX8a6k4v5fZvq9WBvkusz2oPOi9bDB6AhxixclEtrHZ
1ktT35SLHyH5xekRTAnuxWXlOgoVFZXe2zR+jr+lBfC0ejJ9SzyUnrqnXxlEShJtHZcw92bpu6bd
MtO0Oyqc4AIHqxLutprmyuy9tAwqxt1W/SmGJn9dZZ7fipIu6H3b+8TiHCTe7w4PChxgz4eqVLbt
8FH5Rd7xiPSI4aVaebTXKmwvzYJkQzNngTpSrc28czGHbXqgd7hkh2h4aNtyAR1SG3PqK2u/WwG6
hT3375LaGHSFjvf0qDX6UFLm7j4eHO72WB9eRe8VAH8AD28SygnfgzTr7vw0zz/cURbcLMJq3Q+e
E1o+sPQ9bitZCYS/dpW/LG6oYwZXQLQqoMupHs2ZoyRkY1Xo9nfgZNealg6nMz+8abpXAwoA/X/Z
EjKtF1DpHDvE+Raxw6Ct0Igpj6xqcmqJisz1d6VI7J8lsGyCp1luzNpwygS0QHRV157TSNVcqHrq
gVQDcwbclC77g0eLSE4mhTE9UFGPI3+tcUsS6s0UZTNRyB5s8NmUs5VgecRHs/2a4WufRY8jzLXW
4kleZ15Oia6/1Q6PG5AZRZhmatsPJS0Ao4b62ae+6bw3xumUh64tvTuRG+816cb2Owi3+BwXOmMo
lj1YlLjJ/McGmtJjBEzqtV3k1dGBba/dSmIr/s1CpVy1s2q8X2RPzjCYg+yNO54gBYu/7Eu0MNhv
+Q5zfxeNeNDx2S3xRz/H6CyD9uw9z21YHdPAY5XfTWH0wrupuxurpHiY6O+8wfYBQjT1cFLMTodX
UDvKySna1O6N0xp1VyypfF8KMW20mavHsqDFlSsP2bzJqAvAh3qbr64LOyEySKp5+zawmnhtEr/Z
uWQNGxxOLz224ksJhHU3lIV/bMNKvLTCOH+obCSG5mXesGt8458KUWCjzcHQvFQikxdp1Isxwrmk
ZqGJA4ceBXl5UV6cAo9+FsAo2k5YRLCNJBjP90rU4JbhR16boGRx9cXomNleNdpvPklcptTTDRmh
M1kOW7uaiRRlIk99xugw6mn9pWmC2zlrS7lLPZj80UTa3lUNcTTM9eoH+buPinXMYR6S+ZAqgocy
qtRnOiwBW5ipfI6J5h2cllQXyYf6piV+iP4We86/caqXISdc61nrdfcyrKofOh/ZoMSuN2Oj0KWr
b+pOcInIGl4ulnX1CStL/9KueCtqp8tZXYpu39uFeySFDWpTsqchgRr49LO4wxaT6PgScrQ8Eapl
7WUn0vCkveJob1BmP1e3mO5ji2a+542Qn0aT5g+ZGL1vIhiai0uajWq/LJR3Ihujb36Yg5zXwdU8
bX3vUMRz/LCsIuupA7omghKR6/uogMjU0INHMrUsn3vpJl9dq33JqcwoAU+lIXrttmVPCnvpnIZt
9VDri6I/lRpDn18xKyJ4tZ3tFcHkwCzv3grICANocykbgLqQdWWrNmz+/M9oZGgmUZflbxEVuh3b
gdg47Hg7iANZwZaPNR3CPvdIAvZqWKYTBeCW9veliN5HSLWvuPfHZ6oQ2kNfVu7j5OVeu+1pBsNy
6fB6gGmWHaJK9x/ZUpqnbsmcBBfRAC62pUMxykue1RXd/U4uPu5f7uPj1vGd4YkBllVxm4z599zt
iTzoaeyB2pa5/yKKuX3HVt1cEluU+znq1od4iEjbcWwF8y5sO36jXafWarNU8rcJAm6QoFeXB2dM
63PS1OLQrck8brupp5XYyujXusa9CxsyWD57TNbsd6ra2QdLM/4sPF3EN4lvr21TOeaBYZ2eaN11
qY28/inbAPd3gzHqIxnli4/7bjMB2Hrn4cSj3aq6ucQTxYV5W72GpX4m7aZ2s87sXVLlOId8alPA
xLFMqKswybbOAn2/xskrN2kaJe+o05wgIGozMCkBAKnNFazxVkRpe5dApXumXjN6xize3HN50Xc2
W/R3J06BBkeVjX8ROs4Pa+nAYJsBxj7McTQS4tX9/CNWi1jOZvbHBVOWO5bnvPZAEkZZthyJy4W/
Up1hXq4FyZMauyqUykZe10pdnKC+Z+vR5eT6Q99e9CfL0m7Yj0W5FpthBZSzi6hFAUs++so7eCZR
r2NivRvH6OL76jjrs0gqLO/jYhLOtnx8cyEwP8vF0w/1OKyXVfn9H//v4dulxZVaubI7nLL0eckX
+3M2sb2XNSnwbhpvKVHOIpZ8NM/kRrUzi+w4x86eQhjc0tk1bMbV8x/jEr8X0FCSArla2K9bfQ0z
iTooSyL+BZTyEZPz1rYGlwFifPhdZG5L72rbs5ERqiP7LkTzK3BaEsGmw1oNBu5JVVP7TpIEt3Qb
JkeNveON9P1C8hIh70RZoe1v3Glm/1zVfUaOLFidE4B4cfQkRsiy8xd3Ey7XFBaXZI2PuR/uVO5X
zaGM4p7lgQukgyuBOkbd5B2bWbQl1QykX90wZw5dxpE/01A3zc5vSKlsizRcASZK7PA4O+y5qgq8
W+PMLHdtDzUXi8hyHLR/nW7IAh+ozitoDq5ZNWMY8J5xngfHyY3qn7FZqx/XW3bP/8Gv9G4IfOeb
GLrhQqS2eweavZyoeq0YVTnwt6GfrtvGxUdHrbdgxHA8Q3Pi0tyZJNP5BmS+SbdGm+KzMrrLj+zc
s0eIAfwRyrKRNIMFRfE0JNVX1/uRz+NCKLfTxcXplEJs0oPZdmsY3masn2ixWRyBDT5NnmevoNsu
Xj0avZchKkkljAwkJFwhhqgw9nb0GgfLBjhfc7R9S/NYWCuHq2mOCKQ9VYXHrrf8ahjjRZUst2M4
deeeE+lTIV9H21qlNt3M+KksTRJSBySH+5RdWwhGb6Xx9yoIRyzfOuIL3NnKiILgIL+1HqzRjnDc
7yp2I1znM42WjJFVs5dD3sVbHZXqlJTMZXNWmvusI4pLxCBNSAtJ8VqF1zsFgroGEM4pvoUo2j0G
g+vfVVGfHknm18exlPZUD0veAkGsZtxHkScOVRGZk9OOKQirWOHKjFZ9jz2o9U4+pI3sXQ4zgZpR
Tmi6/3/H8/+04/lHj/pvlzznnER//nmF+f75+0VPv8F//cd/+Y+SJf+V4FVjhEJ9YslzBZn/s+Xx
MZQL1hjY4/4NrvTvOlb4Ly/G8wCuleGGLkws4v9uNQehJD0PwBxgJcGKKPgf6Vh/edv/YbIAbJf4
ONZjMP58j0T7rmb0/2QAF5XAbeMs66Fyg7VjfSlMvXETsp2ECsOBmHKYRu+cSULvbEcNyr6xZTxu
acTN3B0jHNy1lBrgb5NgN7CRYR/e9Nqp7uN5uL4x8/7ZMJ3yqBnWK9yYmGcWrY75YOpbvqEKGAIT
6JQgnBDWi6f5LjI0uZOCq9VjyLWIlpLIx2ugdSGRwaSkqLvIjX4O6j5cuAQuC28sudIDOreiTg5G
5hgCDRoOChU+WcJLBTRKkdQhAIcxLZ7HIYTJRFdBuXPn+jvedypBh9RFGMHosC1p6r4eov7wIm2E
/QlEp06vNrn0MIWNBIQxRVyeJ1q0b8IgGtHl/FaaG7VOQFLtnKoH1eN4w0WHD22XSRDnZ48CZlI/
gH/B0sdlKo/EZH1BTU1R1/u0C5TcIklE81bltfMDMStJWGIs6s5Q+v3ZVoO6sx6S6aYzRqrbmYqK
dQfNtIfD7EtcKlfyJnfBMY1BCZnhQ3vlBHFo6M0fD3/uF/qb42ydvmnuANgs9/M0wvvpwwSU1GBx
JgKUmsuj63jTxVmd8Yl1Q/XLrygb2JZFTq360k7Od9sGC7kX7CTmEGAXuzhemAJqCYicblZLC/eW
9gH9Ynw9wq3HJQaFG9O+4bCO3a+oEQkLd8KiH6sEJ30zOG0C6UquOB9pHPC37KqhDhWyJIo4pJjy
XMyPN26DtOV19nrld5pLPnbd0e8NoboiFg8texpnU6xFNe10GMYUiVfNp7D9jOGh8Ictw4K3NY2k
gpQ91Z4AH3XrM6U3VsV4zNalXg590JobE7rLDRCTmd19utyLrGYJGZb2bW6Meg+SooFRvAIejkUc
f6/Sfv3mmnm+1BmiSdAzlpbXavnCjcu9LkMMa01b3g8uZoiBr3WQcElxdHFDsha6F6YXcRVkaEta
Ow+nIMV6f0tS0ezSM5Fic/Qqim5rP6o54vPqrXNRFEzsv4KDQqWKSKJeQTHteDt6PAabhJA3F13u
YQlEpBNp42Y7DSLGM6bsLZs9sQPRsLw2Wd1so2GYzzQ9Xu/jdN60IuIMiQjVEuQM+PmXXgraKnTX
J9+j3GapyarzWfcPjVfIZpebsP6Kp6B/GtLGgy4Sut/WbFrfrr6PI/m5hWaOopVsO+emftPMp+/4
WJq30vTDF+dm8Sbd8ETCcjgGJV+7EKmatpYI8IWdUfvRepV9qqvA/ZySNDTb1pPJNw8yxLbOMRhu
i2oIuYDxTgG4UPjFfvKXldBd5H1Oa9EvG/LYwSsgMKL6IxFGZs0KQGUhH+OONGORO3afV2GKlY8N
5TP1n6hejXJPisnmt7RpsmxMKzzC1U64PBay5qZKtLf58lTrvl0/CC/+KtevXE5Ts4snoV9XjFxP
SzVfr+7OSFFsX4FrD92JPyfHOIXEsfvh+1nuHIZgrsNdonX6QPRhOC+8I57TWWV/qryc6Zcd5+W9
TGrdbyyv5qOPWx9chZ/6X0QpmdQtWy3W0qUXvbBERjsdBraWqw6z567K6s8I29Afb2SuJPjYANxX
UMe3TVJD38EdeBd6WY+KsKr1Zm562EuC1oxApTP6oOjARvAZ6LqFeSTwGB8hqHTnVYRts+t0F8FP
c4f1qNEzaSBY8uESuz51QabkIWmiEGhS3Hv2OfN0e1Bmph5tVIP9RrxV7aPIb0+iSKJbP9Lpc6aD
4CPt6vIMGDj94UzEqptqxg06sMEj91w8JV1UVsBLSrVBT/dQNnzWmuXcecuGja13chHA76Iy7u91
i4N54xLBeCzDOXnAM0FlY7E6Az8IDft4imw2HT0sw98YyvVLPmYQogo2m+OYyVs3zsWTTzPSWVHZ
iaFqrM6qHCrudyTt92U5J49VvSzH0cwh5JUOIv80EIjfaDEpeqJtH+HuU60Ktywi2nseBbIWuTVP
WVtkt14/QjNHFP6caRT+RKaAiYSOQHTW97vfbg9AnduG9zLCn9+vQS33GLniu6zrml9Zmk2fpH1W
uHd+2Mfb0ilbZLtx6o7RAoBko6DotRu3/iLo2pXU1Mn4yG2X21rr47LyQhueiLSbu2Iq/RvTXn+i
iw8RQk6huekxU53yfCyfHBk47BpETFsaKWLO27hJ2ocE/bzctG545UxN4/Tp+BrbMWWcKRnnBZPt
SPbj0S2HnO1WHJR4nStZ36cKOHo9qOWpq5aCk72z3VNtZAWtzSQUj1YFztvSctRxhWw5vMaofLB2
zm5kXplzHlpNFMkvvN8SqYT+T2+YxDb1fXWbhMuU3HjeKF4jqdUbZzY2zE41GLtkYsYfdeiEt5p2
n0OCfeY1yXGmuTiCr9nvIoOI5w3OrVbpKk5qtPULZAIfmy9B6duVpvXgNq8X/900AnwQMstJwUpv
NqGtzXnEGX/bG+k9z5SSnYMEWndqBWn4OAOLbdbpstaWH0jCS3fjyL5/D5PWfOU0V7yLqYsOmmXN
ya4xt4M1rp+TtA3uZEfEf0N1VnR1pOfDpp98xqEwC8gGs1mJ7hUx+AedtuW7ofLynoGNXqG0rQfE
Fwp075JliD+SlbXWrKLvApzvYYnKeec5AR9nasx3SdcELw4GtlOO0oNz3G9sgOPaytci6gF7NTpR
hxzh46POxER/CK/9TeF1DaQJFwpBT0868QlvJjmh83OkzHAiGh7vvb6NDmkKzxtrNHWeBY4H6pDG
H4uHPZRwWxBtUcfKj3i5umG5mMbHLhXxg48+6O1aV4x/0tDCAIBf2DEY7UWjCBv79pp0iY+Y58vN
0JfhLXWNL8GSdjSajCyXxua9w0VxGIMOe4gcY95YxRiKw+xYXNZGZ/qb4mPy3s5i3sAIXY+s+0aa
Cn1XEa9KxvnMEgCilRkaOmHRcoLvie2Xn4Dm6GlbeKv3OLwT3upFRVyLzU2T5sRNGHREpiX7AORR
uAJDaHltN/pDtdHEDzFBuFk8jk8qE9Fu13woL8VfQTe5aruGvp1LhNxL7kpesqsCrP6KwVjm/dMQ
wEJ3/4rFzVU3bq4KMkYO/1hcVeXCZN1NJnIuzmr0X6bglF6tFisBuwa74r2thLirxBTsp6rDHpQI
tnx1Xp0qlzZ1QgLZxcZ9s3Mi90FWyn3AsJWSBRTTU3oVwcurHF7+VcZ7lzN2M/1VzGU7yd14ldGH
q6DuznN3l7XVVO4de5XdK9aQ993KsLjpuM68hX8l+vWvXO8ttQOyggERwbyLKJ27avst7zpOsCV8
buTkFburKxlaUFvrcZM6ceLgk2RTgG80eaDmJr9kfxcJrE4AvYzLvJ7j66bBRi7IGLxRd0CoWEQE
NLy+2ciET7zsAD9Wrcg/eIDFjb9MNSP033XGdbEhryuOpgxZPPF9ertkbeKzx0rgK4lGkjU5nTUY
h5g3T/VUsTrRf9cogewtaf3rdsX/u2ipdOPXvDUX19kNFnTUJmNrwPVdoBtu+yyDiD1YCIoQdkMP
PSRwPiHs2W81Vb3+tmdm3zUIDI+r1MOHkdHS7Npxqe+HWMIiiaN+a2FNof4Eo3iMbaQ/bDlzQ8sR
X6pHW+fCR/dq6RgM84DdDGCJlP3YOOPBE8DK/OPcuIB9DB/lYzp6yXtK0hNuokxhM5QoeT57Zxxo
Z8ywDh6+eqGON1rdd2udIDv0kYhvk2UivFN4mXo1Tlwt+II7YoEBLaBfFm+SOTRt1S03qegxZQsZ
Z/1Os6/MH3s/4MqhNZihTZy7K4cerBPOquWZZwZqEsQKYkH5yqzB2/+2z8djN1T17Rz7wTuvpfA5
MhwHqkiT23pc+m/zUtqSaWp9n9ZMOqzt1Gx5/Rb9tssFVRm8ktZ/Gq3+v9/n/+L3kQG3U0LvCQZW
/sZjPv3vHLF3n78/y//i+fk/foF/NBOi9uD1CVtTZ3tVR/53ElF6/wp9moAI8Ab8zTWE/49o4st/
UeuCKQU8GKUefzOK/4gmvofQItFghI+pMgwhpP8PzD/xlWD9n4yxOENoBJCCv/6rWBLoHkZq2edH
PcnqBl8d+YoCYT/Zxk3VXh2d9XornTo+DPCnWZuG8oxhk5N7jHq2jc3KwVHHS1jt5Ky7t9BJB4ru
4+WNRVcSoE3GdQN0syKCpKY2ea4ADT7JUgQzdU9VfA1arajjmybLmDeb0U33ljYdIs/XSpOfxBWc
hm2WCe6tF/pn/BvT55gu9c8mL2m/6oKiOZiq7sg2h7BVSGpbSCJUHUY/cB3SUO2bZF4OC5d2sfG0
HtuTNU7qbLHMBdAmCSq05yKO1BPe1DDbUhXQ4p4kC8w7acYBMBCKIwQcfXhLWV3m2V2c7Tx6Jbua
gijMDUd/fk0i5+KjLRaCe4mPJLxNyl4+z7UC9hMW/virCJ35nBRVcHbJpj0zuNWgh5T3zQuL4Z3U
X3jBPlw9ywpsvdMHyZHRZj2MYkZJcSKZ3o1oXcR2uJb4GfManhonviGdT60Vm9b8F82w/B4dbYEa
aS8aqYYqp/W2cSL/a0rH+RtMvPWPmiqMunAF2g9CPcFjMix0LuS2oMulCorsVQYaW/MwVP0lB9by
sMBrmDboCkCHhmwZD6VWGaaibJxe6e1x3lqM02hLkxSv8eDS65dEoGj3ytGCaFnu/SzcqWW9Fbdb
1+vhYs8iwxxTRw7vaXCMcl81vO4Y2Po7kh/AmVqfBLnkQkUrCrwnApFu3f+ogtKBP8oB8yer0vkl
HM0EfSvoUxeWjxNvJTDAewMyFQeoqbXe9UngHcq2sMkjKxXd7lkUYnNiaCG9tzjaqPtplTMxnKU1
wb4YMQDcoBHIP/S6pMjouqXOBn9ls+4jiolcmH1VYdCX8ACtgc6/c4vmRlupGXNCOJN/5KkhSIcv
p5rgDMuhZ+nRzQP1uxUAlWEc+D6JOtXzTrFaeQ7dvO346UfZ94rl7ZcqGrmcO+0Bjk6j/gilaXB/
AWFgtGG4d8eDX6UrH6kZlw+gQLYWF7zK7t2Q5HXKWlyTiZsm+2uI8nnvdM1Q74Sq+GfrWefOdRSk
rHGgTSMw61pcOIAibOlzGp6Kaale2z4Lfi/4Kz5Q/NN407FgbXa1wp/jCvgZhXDKAKtOPZ2aXHL3
zYtIsoh3UHV3oAR0vBWGReR2TLLhZklYsGzydYn/JGMXARWwCXYUqcOCrU8vn8SQ2hPBNsvCpBrm
b5Rj2p9JF9r3osjFAyRC0lLsqYin5DPoqaZLxqfrQPEOZTDckOM0t+vqtvSAScqv5riA9qfGdKSL
O+nBIZkcV1BTa34WlWGuYWpuIOHa8rZ2yzDfR0UE+r1IA4OpP8ML5KY+2Wc+lTgjxGTYXzHebcZC
RnvEwfEXcT3MVm4B2HLbLyu3cgwQz9gU8vgGUbNJIb8u8+HKHz64jRYn2ZSIth6/xo8uKdffvWOz
iJuEQIeDvHU/AHO/T1Dj8o1HoevzVDXq2zg6bFb0GLknMUXrMbBp96ziaXy0mYex6doItsvMUH+/
uqr344r1zZJMfukHXjkYrLL1Bli5Rv5MGrVnJ8yVcA3i4ketJvNY6C7c25aLV5HM82lIu/X3sPgm
3i7Uc7nkPQ2r3mhc+N1DxMhJ/k5Z8wFXpfyQbuZN58QHyb4NZ9lteIf3r/x25nEjyLw94u4C3MXl
bzk74TzZzYQtAQk7puYsVQ7WS2F9jNypLsxPTcripQ8wNbHDHMChUSJS/HBN0HwP22lKNm3bXf2D
Q4AIH0Srl29NWbCj72W3qoPXiObNFqT0nr0YFxC/Ep+XTiaCduc7kEBu82IR0w6ftbvCzOwpDY6a
ZeRmpyc/gEy6WLw6bdPdoxfBm5jqZCl3MP+Th66V+uecZ/lX7nRm11ihXjLEWrQyjYhMbznpsKJN
C3w1mZF7WJ1NQ2pBqiP6J3B6x4BnDcZ2zjGipfo8TCNmn3DUFTlA05sHUXhA4dzMotTF6XyZmpba
TgcI2WGscnFye7zukJp0sIXaHc43re8Xd37nOhgbTe9TaePnhxHS5jCTQs6NNdBLUKvvlqJp9kNV
QVkRbQBUoI2qAjxhWWNG8W+nWU1gXDQRV2jyY/vUGGnffR1PZ6xowmcV0odXCQ6deWMmoQjoS3Pm
sQnNe0VoAPdbb48yig+9pTVqs6B86xhDZh9VzA8lTeSbvE70OfevLFq36Foahm0aCnxda817KHQO
nYs2OT95rkk2sWALqTkNOKixxeha4/FdzbxdqjTeknXon+t0GL8CDp+Dn/X+2U+iT0mqdLdiIjuu
yAisbK199efQP8ZlKHl0NaN0H7vgwFUCkZOahOQyuK4PBX4aQAOQwT+7aV/tUZgGaLkuMBAfwb7b
TaqY71a/7e+o4hYkS9PyXoe8yK+MfGxS7pyZZQtN0kHCiNy03Oaj4x5ssSQFBNu2PK2KmAtUHX2e
+ajdxXGP5pKo4HbIB3ApgC3sd1BwCaaWOv5Fw6VXb6I6aB+DSsfPdSVYpvQ9/YJBk+Klmh3vNxqt
t0vhqT+1BWCCVtMouuc2GhxF2DevoqZmBsFuZaXdYqQlgFBtJo9CyI2KMrFxZSEfahyNv1yFQ3jf
4fXaRl3fXGuE4Nj0LX4kLEy/5sxtLhEpqPu6K2A7TGUBGy20cu+ziGJfhEkUdlrj98xcnvxBxUSx
oCzo+TUKVNBtyCpkf9K8zSkxcvw7LJGS7GzFU7iZmt7lAMWC/TEGi9zLsY2/OYEPs7YVafYhAe/i
SFXj/MOJcudHCRhHQWwoaE/CQ3fI40bC+4/8czJP5Rffb3chzb38TNZBAZtoFst4pjrN8riLe+AU
EyyMwk4h1+6MiPkmoqPoKc66+AaD8PRG8JuyprauPqltZtRgXTaxQbLp1G/Srq+7rdf62YFf1XTn
ZlnP20Gl3ZNCam8ZXyKoGP2qeVPhPO71vmEBoM6ycAZzGHqWPidSiiLbxQkO9hvt5u6DbZrg3ZMT
iDfPinK5UWM1utgrYiyECh/LrcrkWsGqnW2/I5/U5dsYypC/HbwWXFC6TN3H1Kuu2HWKgrutWnV6
r2gaNbuwj/ITn5BkxTGm+s8slxxqUxi7z+Uo+fnbGNFlg8FpQNyq9FsQ5O0zOAxbbjruQ8/FEiS7
0R0RhT0hb5UN40d3HsQfBetfwyGytbfn3EUVlh4k3k0Zd+E33A8Km97CSLCZOpvX+0ytIH1dhyvM
hcTdSCBoDIOj1J4xu7IMGhJV8PWIXnFUXEtm0ZvwlFdZtp0TIw8RCtiz1l7T7tZkiteNSXTwVVRO
Eu5qIl6vSegsWP8c8TuO9TAgoa+c5OwLe0DAM/vHTTu0c4OnvcD1bfv8WkmQfXmZUc/9CkxwSRpX
3TBjYsoKYkVLgumeBjowuZp3vKJqoIU3C1NbsQtm19tDoY15Tw1lDADBpp/J1HrPombE2DP1Js62
q5JQ7+cmmq8QVu18ATlZmdGG7pSgd+DAJT5146T1vO+kz2MScC5jd5sHd98Wwnz6Sdt4lLmzlaQh
g6BX480XIzTer7oxE9jIpktzUuCdtyVYkV+Qg4OTX8bwZUWFaRxdFYasHr0Wpr4/sdOWfMnslQJA
vie385u3ZpKx3bUAqr6MphaCoALZLI0nZIfoOuycgoZTzBf8krvZwXHV9XsaLxoWoIIJEAQwu7YM
MvceQxWfxUaV4SYUWfOZa6e7LeeVZc7sruvR6XELLoFMl0PqVHK+hwnivMA/4KvEOWJ9JmFvcLS7
kXcgJ5aeDZ/pX4tOGJpXwKTPnNxgvn0wqbdwJutT04uy2cBm9Q8CLzFUF/oHsfXP+6yjLjry2C8R
jpTrKSjw8juUAO0Tw7pqWOxAcW0fnDH+i+/MARTXsoKih135Dg+NNmwJ0hVwF+2G5CkA689FOTyb
YKDLrPK1scAtoSjjjlJPLKn13m3ASG/COAlvReUxToVluvei9CdzanIQPJN7M/R2H8AH+OF1Vf9z
ESKENgmqapctXvkjs0Y+ZatrUWyDqjhPhrqU1amq7YLD/WWe0wvmK/eDZEj+FKqO59KbJd6EKJzP
cTtOx6DR2S2CX8nPPVLnOIeNSQeeCg+mFN57261sTIwy0XVCZ7GfC4FVSf6b+zArmGZLJX6GvGKO
irEUXC/l4feUwEAvHX0ux90IPM1zVNGzf1z1CTI0Q7SolHkx1FffMMJFlwgK6rdgRc+VkXUuxuIJ
nbB3YWkqwAO1TpNNG9683olm9ngv5zF/4dFLISN7pHzidGDJCLubt8swYnHXNQgFXPv5GWd6dCE/
GoHajeMFm2gkyvvQ8YdjjhHtQQEOi4m4F6CYdZstu1BQkkwaRJ7SKlvYSQ9F/w33nnqFljZeEicL
f/Hsuhc375I/LemEGwCvKb0s3kKuwpkC952qJaZ6tyxOWNSLe2CG2DzFiJZR9byvsLV7gC7iCtpm
PeS7oa4q8qkt6iJ4YvimUbODuDHfOpo/bCn5Imi8NbmVPjNwvNmKvXccdTn/t1bfCIH1XQnCmKkH
nr/PB4f9yNB4LBuhH9+0ZUGZiu/N9waE6LWWc6JRL5B5/eJWLrnDYCwuJvC+JJdBTmWwIXY3sxe7
W4JZUpMYdPuxLNm/6DmY3iIO5f/F3Nn2tm0Dcfyr+NVeDYKoZ2NAgbbZlq1LmnUZ+nJgbSFWItuZ
bGNxPv1+fJBr2rLjmikgvYulHMnj8Xg83v2PuXz+d178Qr2h5fgheVq//5HDef34zyyuL+M1KGzL
unl6ugize+oXPK8n6cdntpTVRT28DxffJ7XwO8B7Wm+oKrT5sw51+nNVNutPJfnOy01SuXqrqyDe
zs/7qHXKdROyQVbGLTnivLZUPQBFfebEX6nK4E5ivu6S7u8xCrUEaG01BmYtwluY4n0UKslePbj/
6vnszr7OhwEOT2o5Kqg09Ri35xaHDvHg+PAMM49/4wzgIBxcDg5MFJMWeQobdqg4bKAsGjmUXOzr
hxTIbTaIIB3iJxBkh+uHyDHa6xkbCI/0ZINI1XRHMZmeZpyEBG6zIQnCFFs3i4jJUw8O6X6xQQC9
58+DPE1TQYSwGeQOD4YBN+YJgsD+rB6zAnskCsye93IA55CyJyD/2mXvLoeC1wBlZImq4dsvAQCZ
ODNSaSCJN9p1XyceVAZCBCGRrSEhba74F6Rp5wp1pHdakNxwgriTE3eDgyOPwyAnxRswaPCd1ePO
e54FOXG4guKfRva5qerX9Fs++OrBqAgyruLwFnTzIQ/YCRLu34ThQ++2AxGnhenU+csgGgYg8giu
Ht1VkAVxEkbcoRdGRvo3+CxSYAhI5vmDF8DDijCJkgMGQRYINCT60dpNvdsFqI+mLpL9mBAGoMMr
OEIobdsBGYoQFLlE2OXRu20A2IvCVwSimNt30mEJoDaCvqMMC/IWgG2MY6sEeicCiWCOfEVgGCRp
FBKUM+xkAusgLIYEhRlF2D+LMKLEgO+2GIVBSvwHuSvW/HdNwgL4FirJcUSyPOqdWYzNHvoyAdug
YJhAo7Hat5VBGmANJznBJkYGMJr6ZRREeeRtGUVZoHOGMmEPiDtMAP2bJRBSX8IwoXcigEFL7hP7
la9CyAPUoYLc2zGOhwEFAGBCalVB78SAavUK1c9rR0QMCAFLcQQYbbhjIBcoCiL5caj01ywwwFW+
jEAbCDzinLao3aKePWngmBRHFAw3T+/WA+F2wnTqfCMRC6EgwC6mWkrX5liQDAnwAR+k5vU3HJdO
8CdsXJHgY9Rj7YSsykWXr/LQB62BvP/e+t50jic+RudD5ZM0bZeb7NI3zpFSO8a2XraOMt2O/Xc7
wP2mnbbaUbU/XlZlI5sRlXB007ab13KKK/MtFZ8pjXTTyHG5mDhuUu0V+tqhveoSG51wlP5iIafb
ZFVoZPt3Z/zoSWSpgCmbloxiuPHf+Pb2UjZrOZPbhO2h0JtyNZUjAF87OZ2EMYdv3yZ+l4CwDX6Q
08efBh/kApAJh0Mcu5RN59vKB9nM8OI/uEwyh0dv2shpvUNYH8h8Cf8hHxYTOf6vLB9bDuhVqqKA
2x/OF8YrOZ6su9eQOVH5dv/juKL7bUdVz62B7kv4ZjVejSYl6XkO8SwWov3hfLbcrGb38ktLR/fa
WNS+vf4k7yURBtK51bH2qi/tv6qHh8pRWHFYKNelL+FbOa3qwbUcr1paWm0Zz6sv8b+XS6radShx
a7750v9cLpaDd+XsTtZO74054Ev9SqLMUVjLxpFxexL3pf7r6h7qy+1+b66/vGnPnR4ruvo+yZcu
u7KcypmpWFiN5l+Y3d8WNUASC3ccQgh1SvNujxzGw9sTkSiCdAr/Zq6q53njmgOQVqWh8Lj4juGW
RE2QQVtCWr8b4q+wer+pgOTGwDvPZLqmRKWa6p2RcFWhsDd82XS8ypdn169eALX3JH9R1pOqZYGd
YHWD8wrG08VmvRFy0tHEK+yH7xUQTLWHa7y5hPKd2VOQkz0nQO8zJGntSqdFtHkFFfEiYo7nCG5L
ltbdro3/1c3jOwmnJrF5DqNbHw3ezsaDg5Kc67qxYCRGuB7xx4joRaHuOm9uIjj2T6FtgErXv7lH
bPXFqC5l8+Z/AAAA//8=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accent6">
                <a:lumMod val="20000"/>
                <a:lumOff val="80000"/>
              </a:schemeClr>
            </a:solidFill>
          </cx:spPr>
        </cx:plotSurface>
        <cx:series layoutId="regionMap" uniqueId="{00000000-CE40-4FCD-A08C-ECB6BF7AFD8A}">
          <cx:tx>
            <cx:txData>
              <cx:f>_xlchart.v5.6</cx:f>
              <cx:v>Sum of Sales</cx:v>
            </cx:txData>
          </cx:tx>
          <cx:dataLabels>
            <cx:visibility seriesName="0" categoryName="0" value="1"/>
          </cx:dataLabels>
          <cx:dataId val="0"/>
          <cx:layoutPr>
            <cx:geography viewedRegionType="countryRegion" cultureLanguage="en-US" cultureRegion="IN" attribution="Powered by Bing">
              <cx:geoCache provider="{E9337A44-BEBE-4D9F-B70C-5C5E7DAFC167}">
                <cx:binary>1Hxpb9xKrvZfCfL5yqcW1TaYGWBK6sW74z35InRiW6rSLpXWX//SsZNj97FPMr65LxAjSNBWl0SR
RfJ5SFb++WX8x5fsdtO8G/OsaP/xZfzX+8S56h9//NF+SW7zTbuTmy9N2ZZ3budLmf9R3t2ZL7d/
3DSbwRTxHwRh/48vyaZxt+P7f/8T7hbflgfll40zZfGhu22m09u2y1z7N9devPRuc5ObIjSta8wX
h//1/j/FTdJs3p00m5vbNnn/7rZwxk3nU3X7r/fPvvv+3R/bd/zL099lIKDrbmAtZjuCMYalQurh
5/27rCzix8tC7SjOfMyU/3CVfnv00SaH5T8v1lehNjc3zW3bwtt9/fev65+9Clw+ef/uS9kV7l6R
Mej0X+93ixuzef/OtGXwcCEo799j9+jri//x3AT//ufWL0AVW795YqVtvf3o0l+MFCQbkC7eNL/Q
QBTtCKIo8yVHX3/wcwPxHSERw4KJBwP5zw30cyK9bJyna7cME6x/K8NoAz76TTH/e6chbIcLJRlm
9CWbSLiMFOe+It+e+eAtPxTjZTs8LtsygT79rUwQ3maJ+aaOX2ACucN9ShXiL7uF2MGY+QJs9OAW
/NujHyzxQ2letsTjsi1LhAe/lSVWJcTPX5g/KKeEKiIfFK2ehyd/BzHCFSfk4TL79ugHO/xAlpet
8HXRlg1W//m9bNDZTbNx35TxC/yB7HBFOBY+eSkkCbzDlEAcnOJFf1j9WJ5XbPFt4bY99n4re6w3
zbQpfqFfELWDlcTKhw3/FE/xHeoj4iNfPphpKy79hBwv2+H7wi07rH+vLLG/aYqN26S/0BLY3xEY
+cR/xTP4DoZkDqmcPnjGFsL9KYletsmTpVtW2f+9otX+bbPJfqVJ0I7vKymEALT63Dt8JAn38WNS
38JPP5bjFUM8yr9thd8rb1/dtu6dvi3iTfYL8wbdkYz5VJKXoazYUQIr+AJ7iFdb9OInZXrZLM8W
b9nmSv9W+eNwc5NM/wf0nNAdRiWwO/aYL/Bzh5E7RErFKX2EuVvB6+fFetlC2+u3jHT4e9Hzww2w
wE2buOZXxjK14zOCJGXqReAF6QVJRclj/URtAeCflOk18zx5oW3b/F4M/fjGtMkvNAtBOwxT5EPg
eomXSH/HJxLCGnq02pZZfizOyxb5tm7LGMe/Fwo76Qq7+fzrkgzUsCSoWwE5eR6+2A6UFn1B1SP2
kt+e+cAOfyzHy1b4tm7LCie/V0453dhN66Ck+E0pv4Al8h0mfcY5fmSJW/YAMABxCnH1mE62vOKn
JHrZJE+Wblnl9Pdiiueb3GTvjjY33a8zC8Y7CHOMkAQHeIqH5Y6PBCKIiW8Pe3CMnxPiZUs8Xbtl
inMoov9G5fbz22wDaPhX0nYsdgBocabwliXUDkIKnIM95vGtSPVTorxijz/fYtscq9/KHBfOQSPt
l3eoCN9RhDIoXT3gK/QcAktI9JxTRuTL/P2npXrZOlvLtyx08XsB4K8vs0nvu1Tf4sn/PqdAcseU
IMI5f0Baf/EciF+UqG/14a2c8pMy/Y11vr3Qtm32fyvvWTVglXfnpfsxu/+FHcyXo/3T5sCzb/yX
zWVCdu4dk+NH11R/2RrQO6ASAQz/+rOV5R5bva9L8/KmeFz2TPD/477x6xb53nsPoay5+Nq0f9JW
/vurX18PBgq2lv5d7+ZBV7s3/3ovfCCkXGJCAGJD/MQE4ub30YD7Wz7e57EhtoGZhnf3W/BoAw3s
d+tNf5uZd/+BX4SbfFN8vRSa76Dn1UfcAmaFp9MdQgSQXuwzhgSI8f7dAPUruAJcQGAGkIYK4Gf8
HvIUZeOSf70HziZ8iomCCyA29FDfv2vL7vEScDnoqGJ4nftbyu/jFidlNsVl8V2Vj5/fFV1+UprC
tTDkQCHoVA/fexRcSgr1YEwx9wm0zkGI6svmFGY67r/+P3VkBxvz2V9Ew0U3lYfqHC/jZUKDxmgT
BdIGhi1Re0ovilGrLpjtRVubpcmvotGFJvIC2fsBSvNPKurDNFkneas7bylks+orqaM2303k52n0
w6SKre7MVTd8IsYtvKnhGs1ntPL0QKZjmjRL6u1V8q4Zg2wd8fOeHMU3SZHpgh1MLtXFcFg2XRDx
u7zgQdoQnXjaYL7LrMu1Qvioz4twGrwgS6ZVzlOr+dgFo2+XzFshbpulxS4Oyi47GpNPhZo1L4bP
SBUXrUMf8npOQhMLqRmdqkUrbOAXX1x2zGXvdNenTmPbahoPOktq3Ux6EOQEW3sWZ/Mupc0STWTt
+fleingW8PyAjtgGbVUdt12T6jpuws7zFtyikwxneqys1R4tb1nnF0FR+x+R9VZgpkVfxotSxdpG
w9Jv0+XkT0HjxtDyJszS9pAad+I4PcIR/ZIKfjKWIOswTUxXmFyOZroovXlJcrWIfd9qK32sEy5y
zXu4a5yYkzivOl2rttW+NEd1OwR2PHziNi/tLQw1t+d7C/wOUDsSGLpxgvOtvZX2qB1N6anFOOcX
jfPKwPfbk7Fn62TgC6gl1WEm+J5Li1VWHbN8XDHs77tcduGEaK/zti90FKldbrJ16qGl6YZlY9NI
dxE9oX25HEd2Rn3WaGvbsKZmvy72UeevmqrYx9MSe3JRTJWuzPyBZclaimHRYHXkwITVZO78hp2y
9KMHao46FpgmX8Y2XcY4CZrGhfVAw9K2B8DnQzKWYdx462pGJw1rlj31TyakDrgfH45Tp9WYr/LE
ndsqCmBLrma15+NPnPXazt1ezecjVA6F9sq41kKMiVawK9OpWFa9OZDFoaizlRc1muXyc+6mdZah
dTy0MfhSi4K0mw/m0S2kjDZTxZZl0ekcbqg7ZFrt4WkPwsUVIfGRLc5J0xw2kb9u8XBejJ9my8b9
ikxlYAssPtYR7bSXZNeepYukwituYYsM3F9irtY1bW7QCDL2+XQcT12kZVSyUDna7ddDrSs+f/r7
bUKgcP6XXUKFosD5gIsrH3Lf0wg0l0imzVBEC16mt7HXXUWgvqjBn+omCea+2cOiOa2j9Gju+uO4
bXbtMB4Z42uctvXS1eIgZcqGtq12m1kdJySH2OVOW6mKMHHpiU36u4oVP9jdMGKxJTeHyA37GwI4
JBgobaLncrdVnVU9ttGiFo3QltC9KAWBWRmM3ZzpJmM6yhK5chAXq5ivvRyCVI27DRHLsSpWdZJN
Wngz0009zEElBOzZmCxKYtais0QTnh1Npj+DwLqi2XhibHdWefhipnGYN+QmZuNZ7rc6otKFZdI4
HZkUHsxduRilhNDYkzvUJZ2OnfMOaD442IyV01k1nCZ9fzLIbr/iUawNLw6TPrJLQLafajFjTdP+
nOPsuM/8WXesuis8mywYrc4H592phGaBNPyOe9lZy+11PptV07fZkuG7KjOrZIwDVYAEcb3btL6e
pQpcwi6HHK+oHJQWzech8XYnI3WZD4sW6xgNAeqTwKTsqqiIHkyy9qNxkTN3iDxz0jrIHhUioZVq
7eEi1UnXXdnGXdSIQBz3r+e0vojNeNyRYg77zgWz59bU1kEdozWrizOWDGsUz7pw9kuEqrMscXsd
oSEn4O+WhdzKk7hAu2U1nAy+DEkmz3JMet3lPOyQWkC1KDAxW8YJWoLpDxDOFkM/QJYxV9lYr3vR
LZyoAjYdovLARfOindjSqSzIhNG4vbbzWcRpkBoZJt2+qtJdW0RXDahwNYnYBDbCy7rIVzKdF8lQ
5Lqh7i5NkmB0/KRDflg39mOdz06r1hZrQjIUzNSvteXCXdlcfChj2mivrsOiGQatqv7EMPulzvxe
e+TOyHw38tSV32Y68sobGXvLqpsLXZbRQQFuqFVfnrg6XZOZLW1ZneUDP01ju++TaQjniOt6ZlPg
ZRjWu1CV3bK1QxjFbQGZ6dqSYU3HcZ13idJpYXIdufyCJsV13LKDsaGXmZOlZvyazfX5mHduAbt6
t47E3UzoftQlfDG0HdcZjvenkQvduWkKm1hmC+bPB2kMWYuXx3kN8EI0aOO3c7YgQ3Na0mmT1kmh
085do4wmGhe8DIyaThrfXfSz3OtFlWiKzMJLd1PCLrnAReDwGJDEnuOWX3ek20fj+DkfZ6W9Igtx
RtfeMIYjQic5j8OURZe5G7Rs0qDx1SnvvMM4/TjXsy5lF6goOWp784Hm82KC3e7b6m42RE+gsXFU
Z+NEr0htVqWbdxtcn0be5z6Vd2pGn8Z41DEZl7hTX6xPQpOLPogZO43UbS4gZaiF7x018qjCR4we
F92p7c1J4+VhRyvN6Wk/Ee2svMjHNkgBdZSzCwpOdV+NIbG3qZlWxSAXaXst1PnAEm1GX9PsTpkk
xORjF5+JOF9x2Wjpf/DyRsftcFp2BLaLd2jR6UhMpZP5AEWZFpOvHeQow/3dRiyZny9Sk2plOeSH
Yzx8UawKckGvXSc1n8CvU3It1Uk+DoHIPqC4Mxpi5VUdkTToDAtj83lo22Xe3Y22DPJKfR4pzZaq
bz97FV+bJl6nBt/0g3VBp5Jcp6UKpzqNNVNDSKZaO1XKXZukQnu9akMZ55dm8uLFSCb/xmsI1tKT
YUmFXA7lvM+a4jyJaxHOFp+r1PtYTtNVmc7n82hP5siJoK8aE9CC+ruxS7NFkcliIXjRhf1QAOGa
V3IWa+e1muemCZAEOBUn45nn17FuULUYkK9zO2wcBziMm10+RDjoXKFnLj7nfb+nhuRWTt25Kqoq
qC1ZWzvFYdkCNFFRni4igawmXhTa3p1ndAZoly8AqB+UFb1LURZYvIod3/P9MsRlc5gOFURf/zCp
2dE0uZWkNQn9iMbLxp8S7Q/MC4damdCxxgtaX7lFlnqT/p9kjkgmOoBpFVMnKbFIAwI7Nyi/bua4
0HmZpLAbolOa4D3QjVlEauo1qaJJl0K4QBRdp5En4SE5P/uKDh5p4iOKfGAsX8pqakycPM6If//4
7/Myhz9fx5X//OXzj3CHx1ve87lnH/5CNV8hkw/z6a9c/DmmCexKwhjT69zy+2zSn+z0cc0jWRRf
h9OQEGAp7ksfsNIjWYQ2HacwDILhEcAlETznkSze95Rg4A1GC2GMhPpUAMX7RhbFDofJUAVkESN1
f+Xb+z3TPDDrx89PuSKQwS3Eg4GRQn8dCCsMpwA3BSr7FKmlmCQkTZNiZXtPHgskBrHM5yJfFrO1
1zF33Ucmq2y34NkA4QDcW7PRpwuU1v266YnatVXjzpQP9wh7YdVl2Ul6TYZCHM0z8i8Mi9rDgSC6
O+XUfi6NR4+6Jh53C/h7zXMAZIFEykxBjZ1/k44z6XRbd+6IZ4ic+8KaWhsvL+6mqSKHjeTZOcnw
EMLQP9krEopP2pqmYTf1RegSnu/GlYw1ryJ7mUvW7jWejC5RldhDa/OlmRyCuKH6oMhrtTA9oBVr
HQq5SCD0pJIE1FK8W2YyCljM6kpDzomPlKHFyrSmDP0xzUJad+mCyjE/Mw6QYj9ad9TBOYRQRTKU
Cav0ZDg68H2/OqRJ4u2NGfKXLE/6I5/0/rIXaXrWO+QOSxfPCwth6KgmfrsbZy1eiLbuT7Micbu9
U0j7GeogB7KjqGuyI16P/aoeO/URNz4FQFT0ezFUKxYeqdPjLKPNmqUzClxTTTrr3LxRuZ9pamy1
LLOyC0kCNNfNIltEjWN7DYz0XUQpwMHCVSyE4wq1CcY8HT4iN8aXro+H6ymJ2nMVddEtnv1ZAMGc
q16bGudFMCEizC5HXd4uDU3Qxxz6DAbihoXsAhF1/GSnevCXaeSbk0L20QEglnFfecm4aKpBTqE/
z9KEZacgATTZ5AewRzwZeH5Wl/oeyhzIvsvv8DSyddRD90+jErN105YFIGDfW0Qjq8+yCezi1zkK
WiPuptEWH+bElXveyOlhmsUAsL3CXY2WxwsgEt2V6K25LJEXh23tnRJuq33bD+TOGw0DJmbJqG1X
d6W28TR+IMTeJIn8xJiIDqtmbsDoItonGWVhNxQshlRdYhxEQKtSoIMVO+z7zp4mpcShmdtpb6xn
cQyJcFV66cWYFDiBYkPcH/Q1KTZN283rifjDOjYyOWgmwJHMAg6Kx2hdei1wfDpT/mFQsjwe3DAt
J87HvTpO2MeENhxgwNx718IwcxlXWbpbpMPwKVccbYaoH3WS5EB8Wyn3B1q3oYEcm3L2wYyAWWg/
5oHqsn5jaV1fspEmq6bs6Meqr+JdoGh00hONBNalMfTQzykADPhqdQQIUHHtUz/ep0nZB7NogPSP
pj0xsqquIsUgVSY56takJp4NUF6lSwtwI+rRZIMo9/Fp7OU4DlKIDsdQ6RvXbkxKkBflLdE9wcMl
ZGOx15XlFIrZKw8j4WrNnSXHZpbtYVV0eOFgLGav7UUDmEBYZgJeVfwwTWLTL6LM4dsobfCt5JO7
7TirDwkWYxMOUB3CASN9tuiLogJ83bZQpxo4Gi5MkxT1CnMJWblgXSpCNWEV5pPlNbAzy/Zrquok
7IqeHZICSEKZUbTsIsCrYSkcYmHlF1IGhU2qhaOiN8tZePLISQzQsoFQ/BEmCmZATSOfCoChTT7r
aY4BHfTZwJxuDJfgnfOQHDgzltfUT+I8mGzcfRi9vrhp85mPQVTE5BPUPEami6pNPo4l1AY1BESA
AaKwok91RjrxcSp8ALmJR+UFRoQdpTUeroFlzcWeUSPlevDKadcbECtWUK2hAGyU8T7H5UhK7Vgl
rrsE6hgLlcnmBFWdPKTldB+0h2iCwDgWmQk8V4zLjvRTt4KywIh0QZT3kSdjRgDdjd6oJ9yO4yGH
shVaG0OqJqDIq4+GzNbJYhwdHRcxwdMctN5gm9VUyDSFQiIrzwzvC6cHOZeenqKm/YygMAClx47z
ZN/0jLizKkHevmjmfNnllWsWokviSds6n85QnFZQ+SNp9xGAJ2dBboYCKiTd4BvAz1MC1RiPO41a
FqVA8bHVMaVQ6CFZivcmm/FdjF3V6paa8a7xeHHVwcG6VSnbKQuIz4ZYp2OdnZpURFAMVe1hpvy7
evKaDTPq1B9HVOqZxb7QY1byZYdytdexbvw0QSEy037X809+h1oZxHk67SIei0gbkfFVjHtxGqVy
BiKbRl6hJz/HtU5FMyyVVfACjUjcKs2U8zUXEx+CDILvBdSCxv02muJL5Jui1l3mt2EFfcgBKkPN
cIslZBWqhtEF3CRokSQDO/TSvhXa+bhttMs7tut5Gfh9A45wXbGMn0+Op/tDLoinc2BjY1Amfjmt
5ggKGhGO8UXXdslhmjMM1MpD1iwKXthrJnqQWWQy3+N+6xfhPJvI6DZR7V6ZZfWV5Db3d42wUxVE
Ih9YAHM1WRs0qKUHaQGG82iGodiGWhCQ9XF2U3t9luixtvNR4fXgMS7C2ZUtsm4fYijeIOymqwFK
VLtZ4U+TjsRsIfYC/g8GuDUUTcux+6hg/Ye2p5HSSaqGFUwreh/rDDIUmSS6yAsHSa8f2SoyhbqM
59G7QJXKPvh0jNtwGFkPFSmaH9KsgFJfGYFmIei6Yxv5uAf+lLjLvvcnF86Glp+8tKx2FcFQnqtp
Rc+YSSQURavU+1zUbpo1HJRrkB6h0OIHJII6/FJ1LtuYpJqrldf3tllYN6lUW1M29cqSHF27vOnO
ygIVtyLxZX6FhwiYSjMN4tRSm8RLMUygyR6qltqlZXqiEjwnoC5O2sCP2bAPjJ5qaW3yYXCJGXQr
hyhsBhNiO2efwVajDeZRVpdD6yAL9A7yu4/n07RJvEqntLwnlzUGB0mrovzgiZTEmtQeuqxsSqHD
0PnioE9mnusxEiJeO9Oo7kDEpJkWacdjF0YJc8eoTuHpUIJvTUDSJLqO+Jjt5mrsgdxmoNXYi6vL
rh35BzcYFWaVAbvbpmhPcJbPh/OIIKIi6benHc6q00FGCt4ZIbLkDZbg8bHJd00y8QOrEK0DHzIc
7Aw2ibVnO7zEJe6qgPapWdgZOUC0OEl0axt7zDGLoKQlC7KZsSgvvVqVuca8RUe8GUEjKkvrA4RG
0FDlV2aNx1huUpPRL9BNArFiZd2lwiPUcNpkSkKor8dfJODZNc86dWmQKVfJXAOR8xw5SmdqD7OJ
RWPosWxeQU+HrSHTVil0QXBugImiSayglq0OIjXK/dF3VAUzEc6GxiTtpyFLk1LDyWB6l1Uqv406
S/dY5MWfZ0emKYjbWR2QkR4lkqLdac4gzf8qpnd/NPkbN/z34bdTyM8J4Fde8+e3VrflfTev3f7S
PUn8/q3/r6QRagJ/Ht79NnNw34LD922T1ynjs9bv9+8/0EUlYGoQC8oY9SEPKg6E7YEucgmHbuDE
HxyIVXCOAFFoeX6ji2IH+CUM9nCYboO8pIBjPtJFOEHLoQUN5xGIgJMHCk5t/hd88Xld34O4BJuS
sfs536cssY3GqEyN4usEh4odtz2MvX1//xd46Gv3vf/9k06lIqbnbTaKhWMJxPJ5hpJNQvj4cB76
4Tj0f3H7+3L/k9tb4aXTMBZikTR105wOfEbxeTzO5d3fiw9Evfqz4fqnWrbIs8rnVHZpxBeKsHb+
ANUcYGsJgEOskY9yAsi4dtHy7x/2mq7A/E9fpgXb2yEu+GJsqYRojWgM+Wbi8gfNm/vezEsvs9X7
EKpGlVUTX3S48g8xHvz8bEAW8YNJArBbeWLmjc6nujp90wvJ+9LEE+tUElW9uH9gnykx7pVJF3WB
D/DBLP7+Ac9rHN/Nc9+Mf/oAaeYBuY6yxZC2YtjjwGFIUKUtSQ5YmlhyiLu0S4O6rYtJaJT5uF6i
Iumb9d8/H9+r7gWVyq02WCXyNmXQLlh0cdzXgSRyJSh0U1JaQzGljoc+190kvINyiHG66EhZSoA4
sSQ5nO55g4Pdl7KeqiCLp7zP2AAqkAQgVVPeCTaYH7zfKztSbkWFEjwV6Ltji2lqxTUqpxJ4XWeP
3yb6VmzIpDW8pQ1bpNSYWwT/jcVB4Zm0C952+63YUHoDq+qEsUXmRH+Jh9oHaDKLt0UeuRUZmmyw
VUVqtnDQtZ8XCBhbE/KqLMUbxd+KBmSMsZwyC9Gg9Dsb3BcDgPbV4Erh2/SzFQ6InbyibCtvVZQT
jCO0cMLBQaMEOoVvuv/XwuQT72+BfSBAz3I1l1AEn2Lfa/Ro0rb5gYLuN+ELvie2nF+VqZ91ZIoA
8UughEODq36RDRM2YW0SX73xMVsuTv0ykkPliZVzHXFrqBUWaDEXOBsXlXHD+DZXE1t+XJc99PjH
XK4qAh2NtJmS40Jwdf73tnhNV1uOPKSjxMD81YpA7WuRtY2gB7E/lfVVymQ6/kBVr4SL++ORT2NR
IuMqlaKSqybzodSQz+hYxbjJHkDnf5vsBX1++zIyUIlMZ77qRA2lO2RH/yOfy2rx9zp6Tfotj+56
UcL/VcL5qs/AAi6L84XfeaJ6o/Rb/txBeXnKJitXfntPPrJJjp5u0WTmNz5gy59T5bFajaB9hfO6
2K0wK2Bwxop5OHmTgu6B61PzCjLRFkOxdaXaxFwK2cJYEMwKPHKKV817v9Nf8OftwaNc9QOzXSxW
edbW0anI87q7pPWs0J7zEiU+wBwd5btve5ctrxZTAy0YmBVZVdR3Zu1mOt6XB/IBvc2f+ZY/wzhX
zR1pxCpt48rfbXPSQx+i85sf5eb7MPeSurZceoptjPIB9lMdTVUT2pgKcZJ7c8/3YnffixxjMhXX
GZT6PnVFPBQ/0NxrmIdveXk2xpEo5wHibiazai/x2kgAsk8VwDrpBuu7+1mNuQ9Mwqt8Cf2eWITc
H2h51iPHuzcqeCsaTBH3hEy9aJULrwupGcRKioz+wJnwvVu+pN6taMB6N5qa1GpF0dyUixlHvVuw
aJ6zdQVNO5izavPyrvL8IV/7syzYEXS/SXFIhJT2WsKoAvuBKK/EJb4VOGRhWVUOxl9VImppwGd1
W43jUL8taPOtsJE1lEPfxYpV41UDNKcxtJJiKuObNzka2woa0EXnUHaK/VVcjRI6jUN11CIvf1vM
ZvfO8QRj1DQurOcJtWIZMJkAGnRQY+9MM7U/2GWveNn9SaanD2hNPTEyNjAQNg0R2ZV+06DPY4XB
4xKSQMm3MF2VazLzKv5S5XNL3mYWthU/6ADDCylpOEx3RHmnq5q0uZ4633tjumBb8QO6fGnd8UYs
uprhBZ/6OJx56YVvM/tWkOCRQoWtx3nVdrFbzYWAqd6msj+IQa+4BNvyfTiLlngjpAaojpo8IA7b
MJpK8sZNteX6wHqgo2fKeUWAN2qU4Ksi9n+EWl8TfcubMa8Kf8zieRWLyR12UwGjTVmdwPDP2xS/
5c6J7f4fZ1/WYzfKRfuLLNmAp1efwTUklanSGV6sJN1tY8DG2ODh1991WvdKKb5054rXKOJQ2+wN
bNawaGr2A7hUVd4Tt4kzoIasDhqdedlMtUv1IjD60pBbkz3Hg4lKeNjcmZfNaLwehcvxWdEexYMN
ta7KRM7C6qgPWe3jyMRrMx/1lHB5ncuhPTnA067/HZlb2vxiv2Bevg5N2h1HEq31GqV/4dop3JUt
6JXXy5pngX+Bl7LU5W4AkHqtKRL3fbmM/SVhowi7jt9gLD+XumXAUWg9srUeQcG9L8rUnvt9CCw3
zEvZZFGyKY7e1u0s2SOXKn+tNxk4dS9jsVE3QiR0qacRYMyTSfHskXeb6M7//XH/JWmZl7QpkJIi
OtDm0QPfHsTSLq9s08jApPJSFv3RyCW2X67GAjz+geJFS75JgYPpwtYN9bJWJNxNrSMbjoT2OAmd
ftlLgNiDYkO9pE37SDAg3N1lkh0gyLMloCjgTSZsdG//pRq4yqYvHCIffTHAYlRDuTVhn5V6OSv0
YaJozv7v1BkQDHh3zEKn7mdrWjS26BJ3KVc0jclt9Dk8MF62itjpBkgid9n6sjvZQtgqy0gfGHYv
WzuWFiOI3Ridkb8mzuS1BccmrMz/DyINYrYFbzF4eVhVy7w0uHllW9jZ4PaI8nMZA8Qgb4AUcpd0
adZqSxypEt0sgXP3clV1mgwjje1lcABgrx3/y/ZA3gctduLl6XyYRY/dai9KdHjpZ+mXyAEjEza4
l6dxkxq6d9Fyyad4OIPj8w2ApDlwcC9Np7kEGotbe+mzsquynsvKGpIHju7laU77qOURsK95aZPX
M55H3jZ5K8OeqIiXp5tlZGAYuT4SID6qYyiy9BwtUTGHrRnipSqZtlJZ3boauI4BOH+q01qvZPkR
9mHpywWf8IaYEaj8um1m+VD2c3KeRb9fwkYnL0e3ptG03VNbLyX9mvTk3czou7Ch/Uyd917te7TU
vIueUB6/7CQP7BUSL09LDix+MuQLXtW74gxk0/MomjHsgyZeng5ijkxZWFtHfOEn2eevcjLFYYv9
puTwc/3Cs/Cq562IgF7f/uR78omkClzxgLeixMvSgq9thP16rzHsvFQHmbus2mfahpXexMtT16a2
E8wsNZj28We2oA5UMz+SsJNG4iWqnSSJZTPaWo3mOI9b/r3jugkMu5ekTcEnIPiMrdPd7CelNKYu
fvfyehvkF5eDfziXP7UpyiFjXINKVoNJXL4u5jZ5LaNGfwr7rF6KkoUsBkLsWI5dA66MWj/nBQ/8
pF6OHmws+6YTtjapo1VSbF/kVLwNm7eXo2xl28opxo76+ZnZ/XXK5t8R/n4d8BsV++ckGtemaRfa
LpcYTJhT1AOSfMSB/QGQuV8MniRaA6dKwAmOyzdqz78UBhjBoJjEXopGHc7pZkRMZDeAFjZeG9WF
VfIbGeHnmDC97nRDA/8yHgD2r+SRpWE7aOwlpt7TJRs17naZal8V41YPpgl7Zo29tOQSYGFrMWmt
Ph7Onvr8j7BAe7umLHujD4GPyDrx3Wzlu+LIwupU7OWjnZzY9jVb6n0GUenYF1L3ls7nsIl7GUmH
Zht6Xi71HAFKQAZxVzbl57CxvYwUks8p1GijS8pxuo3i7BsDBTiowkKI6OX6w8KeJhljS+54tlXp
zKJzWYIwFzJ1yLO+HL0ANnxhqYsuU/bBjOcCXeywgb2M7NpuYlMHbpYtAOZY6ayrZMqewwb3cnLF
e9e+D818STp9t0q87U+0X4JWCsSfXobEWBuLSGLwQqZvqdU/ONtNYFS8vIRw9B5PRTlfjKJvU4y9
WRc6tpeaycpzChEGtI2h+vrKFm3/MLEtC4yKl53dzBxAlxYLJT2y6oj7jxIA87DP6eXmVlq2ihKZ
v9F9ARmCNdl4JjgB8aDSwkovQfWqwK7ukUMt09+i1X3C48PHoLn7YC1HaWwyirhY26ZnsJ94Bdnd
POgcgYaQtxY7l6MfvWHi2/bWjvHD5qbADPVBWCBQxyzv6AwCNn0tATi8QLuZhEXcx1fZFsj40rql
jjUg4REYnKYLOqQwH11l0mjYW6rmmpCUnMCyNyfAxv8O+5xegu54UZgLtcxAM2Rf2nl74Hn6IWxo
Lz83s4CsQCKwNxIJVZUxn66D6sNgGMwHVo3pOpQOWKEaT0jHeTjGp5zOv8MY3P76/z2Is8JLUKvJ
LLpkNfUIrI2soPASPUZgKr0Pi4yXnmtEURWZxRd1+58zTnDbXHwPGtpHUy3YeDqdgZEisvb9pvV9
rFTYOvSBVK4pRNZLZurDgaTj1pacIzn8CJu3t33ygzWgXIm5Ljt9Emx/AmXzN8fO2z72i4/pQ6ZW
MMSl07mpO+VSW5k8619Pmd6qtSd2P4XN39tEUzFsgxhTU0tOv8qOfYq0eA4b2ktREIZmmeWNQf67
+c7N4LYljoU91UGl9mXFbUmXckMJJs6ST8qBVsQi/UfYzP09dJu0MHE31ynhbL0c1EJcYChkJ85h
P+DlKYhwbWELiSW5Re+4Is98CruLs9zLUcnTCRdmDN3s5bsl5m8amgU9QzEfICWLvVGT201NG0Xq
qCDLu6RdeRDSF9JjLz8oyV2cOo6V2MQH6JrgBlEWiE5jmZemaoMwyDZ3ph6cBvvW5ddpbcO6w2A9
vJz5Ypi1rETIUR4foXnxKNMtLIcyLz3LtZW2h0ZXnTdQPciP/bE0POzdDNz+l/MusUrijQhTJ6N7
S5PplYmXwHl72WnAamqyNZrqOSs+8cS8A7Uo6BLHMi85m40p0WqQKzNEBoR+aFNMuyrC6qGPRlog
zRP1Yznh3aabToaIdxChCDuC+lCkOMY9a0jjqW45VaByoVFxsXGUhQXGhyL1fQlUGqjqNS13dSpA
LH0veXyEfVEfiuT6NGuAtZsgImbIKZnZE3bSsNdz5sOQbDQUY7qNWC5jyWKI6hW7mLuqKJ34zWZ6
W9O/2Ex9vBGwwHHZbmBEt2235qcBzbO6adgU9o4ADcSXubQLawujGl0X0Symk1u1+tuW+Rp4aUy9
XE0UidlaRro23T6fVZv1FSKUht0CfMARtN+2Inaxrq3MyCnOAGKnuP1WQbtd6mXsIoHAm+mg6xmE
QegVHkR8E/s2tIHje7vpxg3owBtiM3b9WHGIO20yCdvzUn87JeOqotwi7kOh7/Y5nq+rHLu7oMj4
eCNHoUyg5arrvkmPT/HYtHdwzdMiLDA+4IiiTqZkx2cth2aarzmETViVNiMUAMLm722reIwT4wCR
Bdw35vXemOJjN8mw3jz0RV+mVC4UAcbY6Dpnywfezu9WsXwIm7eXrW2zg0At26nOh/LrMK5QooRX
RWBQvFQFXT8vIjD4a2r64muOR4U7K5QLXDLezrrE0bYfNB1rZGpZZYC+VNEe5ZewwJCXMTfg+y9a
YvQUIghVmugHMfwOxfTPEfQXNdiHGU0cKpu6IGPtMtE2EFgZehSbnG8CmgFlK+6U3tcPkGGR93Sm
UVYvHYSjnkFxy6e36P/N5kOZqwyqm3wZ73oxsAyMfI5mfLtNBWQBDtZP5uMKpQ57ivdpEN9GSNdM
JyhecnJOUvTaL7m2mz3LBF2yU4ZX6u3eTlHR1wT6l+y+Gft1PyUxugmfIyB7IddJ+zk/03zDmKvk
y3Ftp7KbwbYjh70qQrbjPDtFh69bzljzdmFZ1H+fk3SaIMdFSlebDX/vWS9Heuljl0JRIyeJOGUQ
17N3bTK2EOwsIBBwiqeDfIBRxwrZkMzcaz6bo47Hstivq5KOnZ0B2f3i8hWSMZAOhcZtK7UacZ4t
y/1UGE5zKGNxkzxCurIv7yWFIlF9INrrKYV64v1xROrJDA6ifSx27oCYq2mOD5CLGPOwUwjzCqba
mM2EpWOdpd2Irk9UkZaWYanlI70oa3YcJKWuIZP0V8PEhybnYfP2cV4OLzGQ+cC8U9vUcykfmjQJ
aw5Sr0qmDsiUBB2kGi6cGyQKIX5QymQMjIlXJk3c0kzg0a5uCaR7NzH9DU3hsEPfP0LNPz3s9qC3
uiGPx9ruVj+BDcbvRrqosFJGvULZZTy2A8nmujWCvWI4vwL5b5cvQaXsH6nUn+ZuVOuc026sRdHa
P0wxHWjmD8USGHavUk4DX0ATKce6RFO5Skn/qjvaMKYZVLdfluEYKQzLaT3W+6gbdR7jta+3KeaB
txzqJWky8OSIKFZk1qp0u5B5sAdkX1MxnYOC70O9FgVZnQjiVTUeqv5eNXtIozmM0cFI8TI42q7G
TXsOrYm4BI5smfNNQmylJ3+Hzd1LV5dOB3WW6FpO5VFU+ThRvLEXhIRhMRjxMnbVg0ygZ4wDAgzs
K5uv/YVzHnhA8PFeOl+b/mixheONxkAVK8lOGrJIdVhwvJxdY1ClUz6MYNVK+ZDRm2xNNpksDN/P
iHe8gYAsNILGEWV4sPlDN9D4K+60e1grmHhJm28QzIKAN25pe7PdN6yxdR4veeCi97KWUKig8Nvu
1HPVnuYVqpt2USqs4PiQr8Qkm91wT66jfaB/dUCb/3Uoq8KQn8wHfaWEQuirF7pOs9xF96IcklPc
rGv6m7fDf+HVMR/4BW5r02RQLK0PmVDzrAV3I5SSBqLP6zxGzyCcPUVRKfszTnGiPLUQdMuuXZSm
Y9jX9/FhIAVD5K/H+XPdpw7yfKqHAIXqBi2vQcnhA8SymB64s9wqU7MkzaPiLXhn+wTFxrDulA8R
O2JrQK8lQw3LSS6qbe1XVvWCucADVuKldzYfygwEP7BbAtjyYT8Bvf8jLDpeastF7UsJMcRaQ+7o
tLX072NJQyfuZXYLIbx5Frmqcba9SiIeCJnDWgD/UCh/OkioKIrbFQoi9cIcdIwjhqeG9XgfFhRv
J146adpkdUMNacziYjvITqmUB26VPk5szfk4DPiiNTdb9B3Sv/SHgTBd2GXRB4rNPRtGNiSqxlnr
KXfHo5zar0Fh8XFi7YZ3xsyMQz1vpHtIpCmqlo9r2CbmQ8VWkfHCCapqKooRjhZFMT10uR26sDT1
AWOs3EaaDbGq83ToT1NZ3AmW7GH7gA8Zg4tE2zYlH+qSdeur2Sh2gmKWe/ffgb91QH5xR4+9JC1X
sbs1wf4uDwZ9zCWe2/Ii42QcLxludUPYGcvHkBV71hQZbcc6tnSBhne69LfUissxbC+Ovb1YRRwS
tCXH2kzJB7vE79ukCVz2XspCyWIpYoO5o7uWnuHP0VeHhbLff3+AW6X93w8Aa6aXp9sBizESQAVe
4DDRvHd7pD8MXRrGZoKq1svRJR8SG5NZ3mpw8U4rmtYLT4ugoNPSOzlrdBfiRg0Sj+HoSoxT8S5i
LQ8MjHdqtvsy7HbnEggBSDidQD6cvhyyHF3g+LeM+KnMQ5CmaaC6KevD5N/RO3qt8u5T2Df1dlXm
YrxWgyEI0urYQDhxtu4vqNiGSW9AVvLlzDmub0PX3MKuiwYNx7m4V1lqg5Y7hf7ai7iMpLfbYTD5
pu3QdkoIRJEhFRpUKmnp5WmZHfmezui/JeuS7OeBA48AT5ihd0HNF6hevJx+4dZG42Qr66TLdmjw
wzVhBJ/vfdCX9VFle8bR4Vqn6Nwm7TY+9HESPxGiU/ub2XuWWP9PAoz6wLKMUbJlmcXSyWyq3kxJ
Mtg7LtxkrriIWXKFll4Gm6FUbuOraMet4JXOIRn7hSSUXW1GjvucRTBhKo/GQl1hj4R4o4Z0Iyc1
TTs/HW3XHN/HZuf2OmjsuSeb9tsPyFKzR6f75WHnnbvSxsIC4IAGRlfFirPjuUvAb3knbjoVzwPE
kuczLmzwZYmVWU9dDOTnU6+76Djjf8/8NSXN6H6EBd0rM8A1QnAahORL2yT9kysFVCA5gQxm2PBe
oYG4dTqiOypqssV/ZWR6Vybt27ChvRqDu+auomwVNT2As5WE3ZNx/p2Qxm1+v9g5Cq/KWBup9pg3
UU8aWh2wuDnkCtFnoB7OK24I7T3U+mUX1F2DXt/LtEomKGMzl4o60lF2YWKV10PL9mNYnLya0+2N
xR2RitqNrDtHzfEJctm/i9Mt2L+Kk1dykrjlVhgraqiW8g9AVbM3Rddu37Y+iX7T2fy3n/CKTtyU
UIbVk7jMGxUZ9HUnaNJXzqDZfs9XMNp+c6n+l0/uo+YAT2ihuyzbS8sXIa423RKgwyJ54eqAEQAQ
3WFdJViSvPzebYfeSWMkgjaQCEC37BMKUeAGlnsJHUFwBI2AQdQJnuMWul4XmvymQP/Ll/BBdDm9
CU+Dg3sWcFZZ7ks5w6isKPHun7VOxkHogn/cLn4+O6QYO+M8jyDTASFBcN3bz+WUh1Fbqa87Nu/l
xPlu+jrP0+UKzDUcDDvYwQXlmg+kcxytSGqTrubw/rhqtys4U/CgexzNvUSOM51ImcvmnDj+EDe0
YmMWGHMvjXcay3lcMPRxM4osp6vipA4LiZe+O1TX+FyK5iw4eczT6HGC7nPQ0D6GDrDCmxAub866
X6eHfp6XOkrph7DBvSRt0rxzO42w2JN2vmhtWLWXkl3DRveyNC6FaVK4ntU5n/UjUK+fpnYPE4el
PoauzfI2csTyWu5EXm25DHfxJMOgqNSH0UX7hvcUZXjN+3466654FeVmvoTFxdt3tz6e7Exh/rQo
xrcrIetHbYQIayrCkvdl5e3GcoFT2lCeBzc9CTnWvRnDNnEfSrd329aqFgcpucD9arADjNtk+pvK
e/vzf7HN+kg6B3T+AYYfkmh2sA4ozUlnUBQOi7mXoQdEema3aA7WktpPQ6tHmFqYm3lq0Pg+lq5U
OzgXsHAE0Wo8SFXIxjyOG7TQw4quj6az2dAMOQw4zmo98Gb7DiiA38z8n1btL+LuY+lYdiQQp2q7
Otkj6h5jrlIQjFoIhz5DKWmseVoetMonp9JLhu7aepoWkTrIcepsv062jKfLoWH6+E3lsBapm4Ly
PKgDD9v4l2t5i6YEuhvL7bpklvae07iwl24WMOoL+263Y8BPl/iB8wWuy11+3kyXoUDtvR1OXQoP
7B9hP+Alu1ngeuoabS92hC2KKth61iUL6jRTH4aHIxvMLKmyl+Sm+7WmE5ja8B0Imzl5GRqdOzbD
JsFenIV2s5zZVI2ShGH8YGj9cnTWWbDh7WAvpE/gPwC3vwodie9hU/eyfRRFEce0WS6OwGeviCIQ
uDYWh+1rPgivBdY0ZhFdLiOQNdUoTPskc7r8ETR3H4PHVq1hcz3BWrrEqwcTR3vhexoWGF/zi5s1
GfEQu1ygUUneDmoT37P4yMOOQT4A74A16bRYN18GmKfBA9VCEYY1YaonMER+uWLg9gI/KPibXTis
jK5ps0BfPIKNcljYvTylK6GHFMt8oavqgLhankGv3gIH97Zku06QzMr3+bLnyVGJWJgT7NCew2ZO
XsYlhZtIRCdE/VCQa1mX/e/YdGFcQupD8KJDq6mR1F5asGfOsHvsTqjHYY/3MOR7OfUDNIiGOxys
ck2+z4p+UB28zoLC4kO/OoWW8qiZvfB//GU0aS5NAxjdf4/+L9dEH/0lEzERMdLimjUydW87q7iC
QRmR5sqMxi743z9zW32/2Jt9JFgDlx6W9PgjUlJEZ0fS9jRsMGgLG93bXXUHZ7Elw+htO/AzDIkA
/xj3P8MG99JV9CgHwDOai970fuJq6s+zasI2Ph8JVmoWLypNzcUJ666qKwhMhssjbOfzkWAwZsuy
w6wGLmuHvCaz+HgkfRr4Sb10PTrFjhG9nosuuvykJIyGAEkNg/3jVf9lRg35ni950ehLpCJzglH2
UFENL6Swb+rla8OYNEmf6QtfpptLuLoZaM9hqoLUx4BZ2KDhUbstrn0/wMQ21tsffTz8Trf+X1LJ
R4E1dF0TC7DyJTUJ+Ci3A4cmye96hP82unfXhcMN2tV7WV5ZhNa5i36McngOCrqP/hKwRW3gnwG/
9ZnCSNAdQCcu3TZ/Dhvey9NEjnQ8YlNeU60GAHD7LetewTV9KMJy1Zf70nNhcYrX5bWck6ovyYOM
A09iPvgLQlywECMYGg7yl+OGhxjCAInUR37BDII3XT6V1+MmfSTWhJ1YV6xhlZd4adrHcG0/9pGd
ocJ1Nxj9Ns7C1ASpD/uKU4CKqFLsnAH+0A/RKzbwd0FL5X8gX5AR6gwd2JlkViU10xK8625V9mPY
+F47atDJ1Es75lc2Jhsk1OGb93Cj6v1OT/CWjL/YTX08F4+EZvB5y65KR/Pd0jinnuY8btsLeKp5
c98qeE++Xo7m/+Ny/c9V9Vc/6m2y+U6awfWTxLV1W4ftlEguib4IgayT166BuW41jQp2NdUAk92x
2vrdDDn8eHXWqSsu1r1QlTyE2++7Zo+ab5SugN0NMEMbRUX7/VjXCoccPb0SWVLo125u1iS73yKW
T6Iyh2wjWMTRklO4ei+5xkFozPDp4Ds+je03bTplk4qJHE5x9BCQez7vuNDnLdzJ3WrgVEr77QMk
5FbHYRgMix/IfO98m4cqKeEiyapyhzS8uEu0gKlwpdCzXBSsU42EMSyd83H4qInCRabP++JvpRX+
2diJuXMGuC+tLCIkTg5WtLw+drtlBmdkOg/fRjRtc1ttJomTtYKpdNt9GTgT5Q/VWhj9gMh5jEZV
UPvq9883kN6dPtS+wYcT0oWndeVzIs45iJPN5cCTDYFlcANv+QaWpH15ctm6p+pM3JHGj0nhsvLK
U3so8MKmcb+DS8BwyjPtMnjHW16cY05XeurybMIprFDwPVYQwIUhY5tNA/Cb/di156XEfT8/oUOy
tTASNdNg8qogWQ7eiON1w3IcG1FLMmUf8LXGjlemwMmuKpNIqrNVA/k6LSo7r/ux5T8sP3Z61WZM
xdNhSJH90U0kz5/o0lD66mi6wrZneYCjAuPE1SZQRDiy3MrXYGgU+F6ac43JtfFRtvYaQ9UYpzEV
j4e42zO6rd+nQvGxPY0OzeD7HAyk8jnZ8m3eTzCRhJNYW0Q3GUhp5bBGYLEcAG1BQSe3zl52fMtx
vCcpGmnkPhMD7NNFJsprBnPs05htqzLopuzR7G4nSzc/xnYWl9WgRj3BZNr2z9tG2qHAchiJvfY0
nWGw2XaMQCW22+UZ95qu+FIsdBgfy+3Axa9LY7uZatULmvlVWaQ5wQlqWSilpzKltH+XiMJkMJxu
xPY4kBWm0VW8QFvtwDMzzJ3B3Yr3Gd6nqssgshZL+53ICJwZ43KmP+SpSooz7J/T/jvuPoVE0ig2
uvPcp+P8JGzcZs+AZ03q2u85aELlGI/pw5FGRLxKulUcf/IBrtNgzJhoZE8Tkra7DLrbyb1WST99
6iJVxATlTcCYtcoVK/VTvCwi+c76pingztiWqq3X1bn0ITacjZ/7NdvTEzTvY7DR2xX+5pB2TjP5
o1nWVsCKdRLF95Rmk/4EdvnRweCUY+8Cz2PcXwPVB5fViYwR+zH2xh33iuh9f4ZnNuybdYdM+tEz
LPO7VpDjCQbc7TUmU9G/KYzNs0tccN29n0S3HW9XEDzghCoJdAOK802JOLuf12UY/hZ4ueke+2yi
ez2OvWzqiZSJebRTmZNTDyNH8qXICCv/TFbRPIFCHj3gGen4AWqLqvo1bc8tBIKi8waX4/UBHhLu
uIN4EP0sS87Ks5ZgOr7L904OT0nb8OR+HbndL9HU9dtduZs4q/NsE/GnOGtE876bylaf9L5E0ETs
43IGiUZlMPJzx5ya13N8LPE91ZmWH2/W5+Mbm5Z5d407MebnZesdaueaFqa7Aj+dmNdT6bIfEpoA
w6lBy3B9022xQSnpxm29ZOm4mPYc47XKPYoeAsfXprUa9Jood+1zV8wlu1caHs0wIY1M9r3ryl6f
2mEWS18VQ9LEMDqCw+r9LNW8nBf4x0fnZR5IUg3yWPUXupSYwTmN2wRyhjDThmd4O5uq36J5uAw3
SZ4KgnaHeJpWENMuqTbrVxLvawZ7tXaALiesILLXOC61fzVI4fzUy46oUwbn2fHTPsGfEQJHSkHy
rKICBqj36wKW7PMOfzrTVN205Bvq/aHXEf7gC7bptULH280/Vthlp3/AgsNgQxBQqynfS4xy+5B6
seYCE0e8dF6Glai0AvdzSGtZJqW4ONdSuVdtshTH47rNLboWG2ysyru42XFGBJOt6+5nuKxF1WE4
jz5kqTDk3LHMRuc5drCnzvfj6P8wMbxD79xyrGVt1QhH6Wklzf6KwiznbZzMPf+AzhHZBTxV5VJe
oRrfLg+lwA3maUdLrLgywbHfLU2TTsB5s257pdq4F6fxMMlyYtrkEXgLZm7g1hpjBSXvl1gokDHg
Mr285Vuck7sRT8b90wilOz5Vbmcw0IGueDWtpkzuE1rOy5sUxuvDN8K3Qr7KJJ2xxoZOye5PKosD
K0FBsm2+jG3B3RV/2dZfUiXY/DETrmse5pb39B4k2ky+tobA4AtWsrHMzvBlos1fB6SSoWk+d/BN
nUfetsA2g4GFNVJAR+mhg42uvtO9ojerWmCI48us4XpYuWUfyAf8ZvGHS7pl+yohGg9Oekm6kZ0m
yC+2cLpeRHPaGr196Em20Lui1OC6pMMAsKpypohOu7YLLOXMuG4gkMBH9oQHhaJ7i+mm6Ztt3Vt+
Fw2E4eWINyKyz0od4/AA6G534FQ0HNsP7BrzIKCRGsfJu9tLDY1PtJty+NzGJVMzKvGxN/dFj08P
odkM7mavVhTk6Q3cL2ZzHy9dudxtS1amt51766AJ0CKM81wtJbI8hl5de9j2NPF139/RcpNlBde0
IrvmTKG+wdkXNtxv4iUppm+HmTVsi+UCM+T7ndF4e2JY/d3nft5gQYM/ko7NG4F22Pq+EAjiw0F6
s50HatPlDvt/pFsElyh3WY88h2N2KpbxwMc0rbu6VUTqY57si3rrEDP3AF9mm7zpHe/4ifXdOH/e
dE7SL4rkewEfYQehao1IUdn+OUAzNX4L1XpWfhuhvCK+TnISBPcrCCLSk+pJn9+pfJl3nN+6uMjG
aorsjq1Qbtg+cNqDZGwWpS4/zxBpGHdg9PLoO1TldwbTehTw+8NO4jm3WN8XEa8yO/HtQM9V5QP7
lBLgIk50L5r+hLsoy+GIOOa2JjJPM1fRLVbTk+6mDpTjBPKdV132cnxNlV4jWWVgYH3rx2nZrmnC
mXuTDLGB/i7eWctnVgxrd3USTjlvJ9LRz8UMl5fzzBq0AgoeLdnTPugmv8amX8kbvD/R4b0U+Xw8
Jv0wjSiYDLkBWDyAakUtIKJqXjdKlno7FYy1b3cgX6LTlnHl3s/HOoEQDd4rWU+QMWzEKS8Trt+I
GT2mqlOtnC50B69WXkFRSy5FQ4fhbOKG4EvwTiavmdU3J9dsvh1+CkAru/ZUFvBnPys7xYmtxLHt
n/pCQjWpOhRYi88a5Db6Rztn4yszWJy4Tl3bR6ekhyrcfkJ1d1W+ZnT5RCxkD+7abNXY7/MtxjGd
gsCrl2qnLFruOaYQv7PjsOQnkmbTWeydHWqxIdW/pLFZ3ZXkQiZwJjGQPEsYp8WZSsCD4eueHNcS
m9G6VCZt+vnJAjpVDieVqVy+EvBRf1PsNwPUwxz0cS4KEV8KONhs2EZx5Dibg6Hsr9JF7b3IhnR5
trJJ3PvB2P/D2bc1162bWf6Vrjw3MiRBgEBXJ1VDct91ly3JfmHJtgwSvIEESRD89bP2SaY78XSS
qVPHD8eWtLU3SQDft751CTPMSIboq28Kt2SFK+MjyjWkZtZQ0fRA2tNx1eWxnAyMNWLoqnHY0mzb
JmnSHmFIPJ/GIDoq1AOvSF6nFwUrpTblUg82K8OIK3i2mijt+1jzs3DK/4ih/tG3EZZOe9g0cp5v
BxKND4GDxStaIDrdKC6iDbVTGI8PCzGg7U5rknHIyG8xz4FYG+GlFG7kkCHf+lFEn3tH1K6ONK/T
tl2ny4LA+Xvl4KCf13iMM7bOLovKojrGcSxvkOntzypcm69eLfoZWe5jVgX8sWFj+5lp2clUBcaC
djI3dT2ka1BJZxHJrkq/94iq80e+ROqFh6s5T9oLmeNx5lm7zdu670bNzh70xfizIyJ5Vo0DayGP
pi4hx6JNFtekBZ5cAZm8L4Mf1VT46TNjnPt0qdpVgMoZLs7n1dUP4NT4dYNtihhDb5CsOww2Qh+D
vHadK76E5LyEMdTYkJW64DyWYSHvLFnttF+g8w9eNt5EPJM+XqbLHBumvqJybYcdmyISHU1lqvhG
r0uDsFfVLU3qQjOKFzo3Jrgf6EzNDjYNvoMlgeXlqSeLbL6QElnCOmO+YlUeWMTIpzOrUIrKaU6q
bGxQo7i0oITSJvXMz9X3VTA63Cxrv2zfEErlUA6Vk2B4uhusLWZSDcGQ3sFFp4gOo2gq/biG6P13
fRfTdj8l2HdydDQqOQ1X+t1uSNqI3kNUo9kF/Fka5qFcmTyFkE2tPyuQsdv72U7CBJmXainPdrA0
4CkMRQTGo5uOGv+I1jiJ0AWDsrldrG0s9oWyS1x4a1osyecazar7UrNanmLkbaNBbl3yJbS0Jl9b
DFjRJq89Q+IiQOgyw9OBYikt5gW7ux3nNV9aNYpXDk3/9CIc9vY3awcZ6ZwlA8F5VXSMLM/cbXpV
KUESO02nqRjbTBa0ie7sJlb/M4bcv/kxVlCz7YRGbOGTb8pVwnCA9eMDMp5Zve66Be6uB1mRqH/g
WGXYEQM6DgLbU7kmAAvLDrLmo6ZB6Y60LuugzeNtRAmQNpxzBRv4Hv0HKj49ZH4x11oEMS6Te9TT
OCp3kLWqx5fGkn7Z95pM8mStnBnu2CbdmA9Rsy5fa8mgReJlLe3XydXDsjcqaEkm6zm8VIMqeDZg
ED7deK1jhVuSVBADWqDs2WiWAUXpwGEn8zJvcMmFQHoobnoVDQdXrOJpoJGfUB2wbTP3vmmadEQ2
aApRmJop8sWE7vfeCYbweMSpzqeNWjRopZyT1E6uJyad5snZxyR0SflzQbSJ2G11EJQ5d9dzNVUW
GRPHAmX2TQVrLjx1NGzpudDIZ70Y5ftXKXARcjpNcdikQQXKw4ttNk1QpfqAHNYNz/UBdUCYnCcc
AfrdOVod0AKE8ksPi/OkzJhUQfVkFlaWsIQOW17NKR4yRjOBXdWjmyMQzm1JGVZ3Qrtgy0Ys+M91
yNpdU1S8w1Ir5nMfAMG4BV5B2YPoVl6f3TLKb0Bi3lB6TBFHpAoHBbxHRkz01EWq+Ao/C13lqsWm
WOmxvp2mAJXZBoMRd2oSUWZm8wgcgawjOFbJSJvbYaK2uR2L2V5mY3r9joDo6YMMtbX5OhPcxnhN
Xuo5vg53aoGzfY3dC0ctMeVqG1Crg9c0rWnjknYPsbLkqTZOoTbAqHJB2J1YgddiJ7TAdyZ956Ay
QQKjuCI9EH6PLzWKsTRiYKCfAKVLe0MHMZAHmoDEB1JQ0qnltHClpgY3ZfaBhaK70NVuDajQyU4L
Xj2qAdnwuxDqleHnukT1kpESyNVXeDUgDXdkwsa7rox8hEezip7HCv3IwXfappHGBmrSZR6RYqei
ufwuWGujF+rmcsl8a0N0O0ncLGuqF9GQL1UVFt/EtTQ5ihUq88+em4+pbqYY5a4cQhSzbVzPR4lM
EJFJPrYfPcOSTQUiOzLEggTxrpGx+A38q+mGi+DFDv6WRYxWBqHq+zVKXPJmFJHQH1eyADJIZAtn
JGtgUZCjKGndmfG+/940Kw2xz8Wl7l7g1CZ1Fo2lo0c9xf4HWme1XcYmKj7astkkQ/63X6KbtnTx
8JkUAWcfISIz2A+0liWQEa3YjezHGntHUPosUuHgHkZZJAa6DsyWYsVV8FARzoFmo/QILszBUHQv
l5FH+TptAd0tfLFL2rTz+gxP5DB+NaNcHgmJ7asokvAzuB/TdugLiICOpEdjvDbtuux4LGDou+nF
vOKa15curEFr4xoB3PA4iftTX0o5ZMx0rUsNKeo3KHXXdGAQbxkTO34ZV0MeEu7WWy63Uuz7AtYL
u4b59TAgVuIQmiY4xchkxp7XUftSSsX8vVE91MPLAr+flA1zMT27GRavX2EggubMeheXb4CGaZLy
xeM6RE5rbAuShrRHxZFAfyyC6XO5chSJFFCCUqgyNCOwh002ko+gwbMdEwq4iUO8OnJKknGrDpEJ
zAvs13X9FIkeIvAVCQxPFd5ISqslNHOGbdtPLh2BjdF7U5dJnFGDt/O57wvX7/VQ6DKL4sS4b1eu
66nvmra9rEmyNfgdNbFPdRi75p6qxKFg8xXdC2FIfwSFMnGPgKK7HbaJrtuPjGmbR+XShKDLIRh2
17sAmwj8Mc64F4AjCsN6g3bbgbS8eD89WVLqJevYHDZnQpZ2O8B+bPtBGGKT0gbRkBe19SuWTyFw
OWoX7GoZz9kwTO5M+xAFZ1l1F29K9gT28gCFAPwdgXPAqIHGSfFGNtDJ9wIKGf8ZONO64CCyQfhj
EqOKEmTg1BvgAdvMpjt1mFBUX8ttsG2GOwXBu6hLVObYMZulzcqhMPAvh3mRvIVFmkgy6biZT2sf
D+KQIAMc0ajFwkWVEgbbw72T9LoIiV6UQrrigI4Jm0+d681Kd5ogypBp1K9Tg2WMedfHjLOzOJlx
ClS+wFE7ABOzjeLwpY9RoeWLk2OZJfHCofWZuK9fKg6bmjyA33z11gDQiNO2m8vyc7Bu2D0UITw8
8yRsWdbKqInyHmjYkvXdAmgrhQhqVbmGuDC4j80wikcEglRL6uECbXazL1if+miLUcFIE07fyYhU
hZRB6iEfkWWzJIfSG5d85/hQ7tWiQOU3zIZNksVNUkcPjXIBTJMNmoKysm375CHgr/eRtkHrUwax
/QIAs+w2hUZ9AuSAh3pFUYiM9mJAsLa0xW3ZB9V2CuNg7W6lAU6bckMd/NJNOX4EjFblXbQVHXhJ
RVB3x1ksJHqAbjLhWFMj3RzmP503e+Q3unEPpptpM0xV2Pytc60lCEjcJnEiDeCUt6Bpr3eIo/HJ
w1EaDTEqGrD2bgZ+WGfQV0x2TuHFEkaXgEcMzSWbSHeswLNYvrnIS5sXnBfTwWG/dvnIjKl3DaVi
yCMk0kx1OoytL/foBht5KWLYr4F82VzjwZCW1ue6rOR6LqYgERl0IkqyHE4MARZUVbSYZ2MU2qsz
X1a6oWaZTHwESNBjWj+gtkuBw4Z1CsHopvMBj0Gzj9c5HD6SitUNQe8QxhNF3i1MTH6aum2g56ox
IZtwmLaoE+OMNKM88MhEfj3VoaDiBZ7R7XTj0NqvBh+8inWMGmSl/T1LqmZ9Jfg0kqRlONF+3l/d
rNGQLmJb4rv52kFfCtLXK4ov8GVhMOULpe59G1o0K+NMORZ4XAOzSjLMWhi61cC2svteeXTX4Pb5
pA0+xmkhA4qBhKFh6idoGxek1fTj2cp+FvcMm4dCqSj09qMuMY34qrXr632s4o44XF1DO2Qx87F6
jFHuYy1HMonZ3qA0Gj5KEzMn0imUcGt2STyLTyHwuQrxL8D/p29yjOf6xZC5Jw+9wsDncbk2qnAs
8KKJsmQZ4GsM2ZwZm1PZYu6FhyQ2dD8maHz4DjmK83CBAlAxl22YIfXodKsxqZI8YHwSF2cwSbpB
dS34Dcqi2D53ja7Hc6Ko609kRjD7VxoERZDxa822n/uWzGmTRI7c9AHcqR7JbOcKexxs6DOJyrjb
+bkV411lJwhdWhYky6etAaUxE4HFkKeiTQeLmVGR6bvg1hSfqLPY/DvkG+hlO5MN8d0oWeFr2Jyc
UdSjnkLEdRYm6zQffd9JehyBsrtDU/MteAGqyNi5qjEJzEzQggCwg544GEWOZ3MDtnVF1Mh+GKNo
zihvNUmx5m65sT7GrJHBHmMfhKBWD/uKhJj38A4jHp82iFgTqR9Ww/KxTFh8nNZZbkcTryToYOkW
uVkC01PISutnGeobFo7WvjALV/WPRMVze4PCtkr2DStn+ewcRjN5o4RWUCeCkPZQdV3DL4VquvrZ
CVyYi49Ebc/BjEid2wXvNUKiud/Yg56TVp1XPcr6Mxq9qliyYEa1POS6Fy1g6xgebVWQzVjMhmTw
/uDe5JgDJkLua9ABrxbGyRc4GAY2zKSEAWa7azEKsvMJBdiICzsl2owPOKc7AM8g42CUhtpN+meK
yw5xlWRlvX3G9KRY9wtW8l5uW3KDJpqTS0QKicKOB3Cvi65jPBEdAs25OdQ6GdjN1vRQXoeR76cv
rpolTCvqGdYh+0mZ1Zdp6DhLMOOMQLoKBiuWjAPYsF/bBZb1Dz1sF2y0v1q9hsA0VoZwdzFuctGZ
bJ2rc9+O10S5yfI7NhZxd4qh5HXHoTMzzdXiTXcTWfjUACINMG/t/ZjM+wogfpgSG4ZkjxnlVOWN
UBJtpxmsQYVE24q+rwlS5C/FpvT6BEuGeAL2Xhbj9oN2jKpvpu6D5hRQSB1PAVDf4RauAeP0qYEl
NWqbjsXrTRgT63/6gWlz470iFgDfGolskyhHUuDLM2YrlbUg+w1TfDsHrXXZ5BEcehrxFnQ+b1FU
Z+DGc8zM4/hKr13EXoLZfNcsSAb+HLha2dtx2sLunCD2brve7aSA1kFOHsnwNon1N8B8hOaaCWIs
zFrRz2S2w9Pe7lBZ1zggsZFe23w3GncvybjQzBMSjlgsYhghlzDsegWlAVyFSmJk8t4mS0NgN1Al
1Y/5ej7+SGbYJ0BLztRp6KUP0wD7XfNMxzGasPYUa4cpNcJCVQ2ICUFRSRlUQU4jRkCvoWoo7qIy
mdwe2yi8EJemq5aPSa9mvem3pGWv4zrzGM3LoOez98m2voqkNcv91cORHm07F2kLs5shRTWqrmC5
WRecuRhgPgjvZXK2JZQGdxiUtBC8ozbeAG0NNVArhuDKmE3vEK4OIoWwKHK7lZsaqN04lE+gSYSo
iBaEMj9pMBtxLiJjA96NchGFfElMIME07wLMs5ZDV4xDP6UV9H5x2gvwCGiG2fc4fwBIUgBvAdgE
0zvQiq0iKZ9QvuqUYZedgCE2PdQeKUzq0XfuV8hDEQ7UrTEvv0Bh7ecxnR1CbIZDu0ys0pkb4B+O
OjTgKwvzkZagcuT/bscJ9ryEiQMmVXTKAjCCbErENBQZjJLpZ4qfJpfFlcqcZHnFfhXa79Vc98y4
uO8jO+6AFmwzSNakIKd/L+Y1WL2NmyOMutc1D7ju53TzJbvHwKqbc15A/P37GEy/OgtxH3dt39lm
F8g3HX/iy+8j1/9qKMQaumBcg9el1ZMAaFGx3ymh+TV0rodboyyqJNnjmAwAIskluLXYre3xn7OX
/oFhFUYGf8+9BBQWTWCkYTJBsP6Gsq+mS+tIDw9EOxoATtGiEQuQyCF6WC2gWzRYmgRZT1bcp3/+
Jq6sov+JbfQLsUxhRLNWZEz2PdJMm7yCqOUW5MEhQ72G8SNmceJfOA38IzLVL1zQcbB41CjlexgC
DMnz5Ptizo1CnZs7nExwJ4X9Q4OqdPXdv7jC/4Bk+as7kQY/DKdJxPZcIJNjgu3MbgDW/C8+0D96
9V/YZwaJfjYpJQNzpP1Wj+GLE6b4fcTZ4Bd6KMr0oTWqYHuP2I+0HP2pmhv6O1/8F4bZFIZT18+c
7YFB7zBIrdIiBPL4zx+of3RVfqGHFutSTUxWfK8CYnGmL0Ualjj9f9+rX3/r38ivotpQsINwXaKt
hTfvJJEyufXP//zF/8ET+qs1ER/D1plV43EpExn9sMCUXBZwHyFXSEStSc0MNvYRIidmflc8H/3V
pqgUyiXwbGF7xKGy13gY7Z0OAa/+8w/02+b6P6zuX02KEu0pYCEV71shSyDQsvMOwxX89+HDib/E
qLzxL10cdvxQGf1Jb9WnEE8aOxa2mkv0KqrcIZ3xx7pQRDenU4KS7C/v7n99X/9DffQPf3kf9s//
ib9/7w2afVVOv/z1z5/6Fn/+8/oz//U9f/8Tfz589Hfv7Yf99Zv+7mfwun/9vfn79P53f9mhLp/8
4/wx+qcPOzfTb6+Pd3j9zv/fL/7bx2+v8smbjz/94f1HW3U5mp6x+j794a9fOv340x9CdpVd/1ei
7PUX/PWr10/wpz/87+5HOb7/28P4/uPDlv/vT3682+lPfxDxHxMODhGTLAohjb9qRtzH9SsJx1eA
Q/BQUhHjm7CCO0SflvjV8o8h5yIBEwvG3wlWn+3n374Q/RGwDVp+vByPI+yF//fz/90d+u879m/d
3D70VTdZvOp1s/7vByqJr78CUHkoJcKcBftV78xh2reEsCHYj7Ny9rmchfi0JaQzOeslv0ecmLA5
CdF/dcHa76G+0NAAIxftby7bX9/X376P6/Dpl3eCt4GGR2LEQGNOxW/v9G92BES68Ip4Ge16+PO9
1MLPgEtkcVoUUm8QwiZvYG+TblhTbQHEz/TzUTSS7EK9siP+qdqTsO4PfV22X1kJtlxXAmHEPKqq
kIJQsIdgAoMEUb9RDrr+fFfqCqNlPbB6F6Mzeiwt6ukKfjEngWY9IwPZAJaqptiRsXY5ZYnfdQpz
clRk7i0EIIoWibMOcwEvLxyDM5/KCHRWje/3KRg54Wks+Preg/uSzTq+Q8dAjhDbsCbd7ETfwdhu
bhmFYjiFcBu+uvCyu6x8yipAb98onbYfYT2yTxIPwQGM2OU81c4+VCAU6FSXdYUhk+u/QfZhTzNf
xvsynsJz0IdRzsEO3XMZTw/Ag4s87iK/CzQ9N705okwA3whT689gKjUDkCHIRGLsVm/hXEiQN4Po
c4kEif2MCvukO1qk20Kjm6FUZI9vCQ5rUvC8d+V4tHEgbxSh7rSIa4nrmz2i3HyOpMj5AgZeBaQn
VjvjBrNLZiinsnno6N4nju0KjA6gLuPTJzYEJpdVT/NEDeUz+KbsLdlEgQ0LpS4Fq/hoLN3w0YaH
rfY+bTlxt6qt9acZcQ6vzmE2qNFeHqM4DtKxj6rdgBzWjG7j8mNotdjxtu4eY8SS4IzkZL5F6sZ4
rhSN8xBwKQjat3E5HEVHLmIoceatBETSILlH5Hrp06BWYbYFQNPbLgJ6C6Q9qTt5qOGcm1rLr+28
b468JHlXbHVm0bpZbh9gG8PTpkTPk8xQLoMUWx3pAqMa2IeBJlPX01ulkS/S2akHUKSmzHeEfEu2
Yd2JpUNGGAP172q1h6kegcLsSqI1mBtf/4//UOgkDgDf1OuG8TtySsPF36rYYQxe9uFjgJnNw9wu
631gyJYNgJNyt0HUABjtHnw4DM3beTsYNU2PTcP4oWni7TGeCkzON1JlLQVMuqAPeqh91d2j7lU7
GlVsB+oKP4GNHGesHEAI6YIoQ+qoOfbQsL40HaW4m8kAAmMNAqxsf1L0MrvQyfYTWNDA3dAC53gN
OEiVAz8uKwRcK8hEp55N4tB1KtrRzksYw7WJyloi5W5UgchW0NDyUdHqOGLEtauVD1Y4J/aY1IH5
y/YzBa0JWwTHWrNw0yFmxQy8a3171DgLz75MinSmK78HS5E+LSuqgs7erWbbDnLp2a3oY3/QTbfk
QNHDWyXKe4lNZheJ+D6Y26wpQXFTQTdflpBW330/lj9btc6ZbFDUh3DOuvEgTtxvCR3eFHb9I6gP
/DzCXvy2c/F02rqF7Ql8Pe4t3nY2YPr6pMBJeI+MqM5cT+w4uXn+PsbN8ISdWWCW2o9fo2HWwNh0
ARSPQ6VqAH91wNoVr08iZhlqnfE6wZxnf2Db0LocvCKg6NYM8x6p1W7PrBTmDn7+rsshtdK3M+C7
vByJ3msFPKHsBeblCIsusxBz4CmPhoBC5DUvFDks1PF8qYoXcI+K+xi08Q2sI9lHKRhQuM8S/Q/Y
aqGYH8EY4E0aBXZ8sYPZsjos1D2yOdozDr/ltqDgvGBP8wfr5+7sfFt+MWG3LJlQI9Z1uWA6s1JZ
wyPKdSqLQMOgN6Wp2fmamRDvqJEfHkxzdTJdN+zcPHVnAUraW4wk4OOme1AzFxgDYe6b8EOHic4G
qrg0P6u+9mZXbOP0M7HCpsWyTW8tZAxHhAnedyV5HVZnjx0JQhDyQc8WqBq31DShbK8zjwnrf4u/
YHTBEaZRqv4NNiENOJkevyBwyalwmML6tu1OZVS4Jv+L4ABNffMAcvgSHtoCXJIT136RN6YF0fID
NDw7P4W6jZ/hS0HX/WSIebdYCu9FEXUvfVOSW2gMujItehzQu3DEb2vlBt8QDZI5DqkiflHL8la3
kly8YGtxCZBtm3GwQHjGJsCOf9EuwBiOnoFE06e/CBhgnAecuvL8Z+gj9oSjEF6ALtGNfpys7U+g
yFTPM3q95zKELiPH9Ddid0srh5+qBfVlV1YJf+2GlX4HS8KfJmBQB4/I0Qv3i/iQbQLD8iIK9JGI
kN0UOoauhwxueIbBIb/tVlxVOJ8khyUc4jS2ZOBPdcGHL23MhycEd3XPvh2GI3RMy15Zhd4Po0nB
Uwy011u6FfQYs0rtEova5Tet+bS45MWWQSPuLUyi9HmpnwgQoAsYkTaNwbnfBXVfmEzDtyJ47RGP
9sUxPUNAaioAMG2DoPRd1c/sK8cwrrvXGJz0u6nqNp1aUEh3TUhGmyKpI3wMO9pjuyXqsXTMvTWj
CT9T4uhzP4XtWYbwjoro2t8XDVGfOy7BdYKaFCjsgpdAreU0Zjfjkjdr5UDoj6ZLmMTA6KUgGLPB
eDqEU0zWua3HgGaN9hhckeucvFg+j2vY6bzWA0YdvKvXO1+30bTbQLeg6XaF0JCR0q9HHbo5d0qd
Ctuv38qEuLwfffmqotbeJlS1YC6UYda1Mc0WXOAM6pVj1IKwQ+QqMLBYt/sZiUz5OEgLowYwb1CL
icO6gj+OTbVuMemAA/u0XkzRkRhSJcydj4kFb+Vse12eUc5AUBRhnoVWpOCfQCgvQcU0ON8PUifh
AwI6NnDXYZlUbz23SJSl4xN+as+0rw6gPCFhpWVdzpGWfUEKn9+VvVdt3tnRvpmCb2mhmQdJK4LZ
Fbi1OI4oON4DI2kfJvCh7Dd1v2ye7acYz2hcjuKGQzaQVmoEFzlOTfxRBqd17N4Aj7/DFSnVFIbQ
ydu4OBplgHAx0QPP/hvqy34/hcwAt1z98kpKPzw04HPtaF00dd4gpfDuOtXZDh7gPxTPtTzApACs
ulo219Cm+KiV4geGaIYcTRocekDULjOByXYazq3ZrUUQ+ge7BlF/7vuNgV3QQl/OSjKmC230papl
/WmZizKNMEdB7g7SbzTEKg9LiczfnTa9/1iiFgNW1Tv9KiZZ5B1hYOmAOJ7QTGPwYDIHPkG761sR
gTHe2UAXKWJHcNT+JgMC/FtlujIO+oaiVUe2uvgEpZXZ82HsbjpMse+0S4YI9W39svYljc6LWkiu
XZgUCGAvhuaohe5uRCQwmAg3dsRHdtmVW3hEilX4bbaKPsQusqirrQ+esduU4Mci3N7k5Qq/K6Tq
7tqlWM418m7GWuwpmKw7FD0ILik6deMYA5tmbsj75oprri+fyFlo/Y70BQmWYVKS1G9R8zF3ibqv
sSvi9J9aqHmA1ILw5Auf13HQ3SIRCNUbWYIXA0rmAw644YIAjfgiJcHYKYYuKcaYBUqLvvjJQDrf
1SFN7ldWRSigkxl8KAeyO9QO5IXwDXuIX4tizaTpgkNtWrtLGjY8bY7HRbpOEb0bi0BmldzWdwad
zKPHLn6IFAkAjEOE0YZdk82N/Rivc2gwYIY8uQYrcYYMJMK2MGehuytGFAWVoxeKO7TTvk5AhQl6
CO2SeMdx0GCmPuhdWxXJLTQz5Us4j3cDqPt7DEbtoQF8vOJTb9PNyFR9ASc9wUYSNfMRlD0UbqqM
TkHM/HUiCiZO012avvnMo/aDFOJ+WkQPklVZZ8NaB/uq7NyJVAInE2yZ+ySxKQ+n7b4ZhvY7AkDn
+x7VF0aohULqSV0eAeC5cxJ+q+EsM4H5tq9pDcBw9UdK4hK91OZyX/p2H+JAAole+VJnUDQcwWzz
WRHBdqU8rRU7l56DQ60u9VbxW5Wo8NIJsAxrDY1kthlmrslNYHuv7Q+BfIUwtYv7BJtRFNGd6jMu
vEGMUl3lwLTqR+VR0Rajii9imuPHOGzFeQnMsptCDa0JEdDvYbVfZn8Vw9B+DFGCdsH1MWRZ4vFo
kHVsckQTHgswIA+gep6hDDiAH5mHojxg0Ipn2meuY02OqqM6Y2SvkRqp18sYsSD3HGdTuvX9fAqT
NtxrojGNjxmmO209xrCuW49xNRyHADXEFi8iYxHHwA15xadia7H/LQtudWF6kpWtB9MV9MNLqQb5
FjATH8DqDl9Bbo4z5GA2Z7Nucx6SUN02hEEz5ORy3BYdfcVcn77yZDNPqID1aYJLx0vdFf0JqXzk
KVxm9lRvQ429koHdGndjeTNOurwtkZexC1C0fQ9hPHsSoaE6jaf+B0UwV0ri6WYd9AU+ECz3QfEt
WHH2UZ9tsFDN5op8wtAIo0q/8NQ4aY/EN8lpjWZ567iTz1AbTHkHkU3Whyhgl6SjO/DYBZiv5iYo
EUARVn3OA8iVaIwuMmif9LLWqBO68R0wXJy30MlkEASQk6XREXwDcg5o1e46uAlD+DbZcyLrJwa6
BBMdT6N4vOuj1yFYb2fQ32E/s48m/qUu3X3ngvAISdwzSHB7RcBbacdjUYfXY4krILCg0KA0fB2V
fGtbCZFp9T4C2MiaEaE5SnQYWK1ze5RQWaU4ZrobeKJGeI7H/iRFfRGsbKGNibcLH2GjnDDRHNta
HGJf91kNbsixCLqrSKtRB6TPPAcUuK/w3ZIhBHrNNxAiajwcPT8FDM0VgM76O410DwpBgkl95Tqe
6/9D3pnsVq5kWfaHig/sjEabkrx9o6vWJZ8QcrmLfd/z63PdiKiMyAQShQRykig8IAbvueShK9Ls
nH32XmfgjCRoto+r1ApEn+s7kofhtspkeJpzzKFYAru9Ig8aemWTynMSsdTGnWWwMgE+gPfMd4k8
GEN8YuHkntw5WAsjEa91LfuzzhLm1yS1ScG0Y69gmABK3GVFgdSbhYs7+G46iO3aJfWbNqk8cC1a
lNVBZy5WVZ+w9YzPuPJvmdDxhQj+PH4JRqDHvmj+lDMpviJbtMKLXB1LA3u09doNGmTfLRJTfUhd
IkuNNWcBO2uXy2piUnWkqX9Z/HwY74es9yVzu/dBc5vDiCHoNg+l2IYky5j/Ka9jW9pmbGZ964y9
P1ihzplXvVuOpj+NRCbocGa1PBY6GVQoU0677QVj9Yl1N9406Xz0zPUxgExqM2mk8DxmDOeC6V3g
1M50ltCXz6NVXaJE9/Bi/SEjGaN/y6NSz7OeMb2xbgDMD0Wf/Jqi4c8StY7l6XVFIW42c+4JJ2r2
ndFWW65NDQBYPgepqembSium65CNpLukluy5ufaYffeG7BjOjMGku4QbVbF33YoXShYbbts/zmRe
tVKoXSfXvdCMkyCC6VFrbZtx/BjMKWp9QMHZoeE6eG4NfblaYfwxWCZ+4kp7sxIlHop07j8hVNZ7
/rtXZpQtkgbiYDV0Y5Qo2vOsrEtlQVVMZ92XVe2cG5OEYSrMdw7wCItCI94sqzACDfNZ4C7GWyEd
0hCO2/oreUxqaJzdmY9V4c+gd6Y3cjV7SpL5yViq6i2F851J8shxciiy2Y+n4qUh7uNlOGySZmQ2
xwW+ZfkqQSlrl5fLu1a7Nm+Plm2SKcRQl+M1e6bJ7ra5nVzSkOC2Mvrb1OaUevjJbnFnvabMz305
WxjBcp16EWD4VhrmgKM/2c4gWH07MXOkPMO+zjPQbTcfyyBr0zAQpbMhzLsBn121vjDGo52dNaWf
6ilJeB3LZ6zi3jCWx1B1ap90w9VZ1dwG3TCoYKiM4iVqqvldlf0RnyB4NhoOr6jnvdPk8w7QoVlu
8nmpDgl2tK0GGOCgGbG5zzpjvDXrGP2MMqP1eUM/aflfrDb3p5tZe3jBfkt0rhf8DtXBoPQ9xChD
m3Iezxp5O68klbDVZ+nubTNP6U2Gh6hAbhmGqn6zjJTMbroMkZdorrUxaiKwZT9i5a+X+mxKFDPa
hpAR2+o8k1dMfJZ3z5dqtWe0TNNpDo6TDkGrzUlQqhnqZlF6CiYJvyg9IiIbJhtJHE55TW0lr6OY
7SvP2Yb99mdWRHRnvLurV6U6qteBOIa74Ws7AhK2djDpFDeVpS8Bf6f8qteQJfNqelZh+lyYVbyT
FQvOsPRlb1qJ8t2I9jZgrfPSRE82GQ5sbKMasCTueepknLNpbGMDyOsnTGqjt1InLKu0sV5oTXlY
66z2m2n6EBVe7oVT/OAkkX3JdTPD8RJrSMR5Vjce8g3V8jRb7lmyIQK3H8wBGYiUP0fabAziEuYi
L8VvidSFr22B3Oak82PaRY0RZHc9XOkSEyN5usw0ox/kWrNz5xKuLC0MA5suSUPcpuE9Wxkuc7qb
cJP9JD7X7/rMgm9MpUlBlQ1BYXMjJ+BgUq+FyaVxLixk3JSQY3QeneVElEN7I/yGUa++R1U7zTBe
lBBsK8EXlcEJqIr0DBoiOsmwNvbsBtExCUclT2dZrLE3L468SstJMFV1zZ4vsTa6mfSgDCzzLVG5
ODDJar67uKZ0DO3uPLU0TKVm6Y9mKaIHzamsXRNDNybaQQEEK88AZz1w8451Ic762ActxZ9lKJPo
KyrFWbX3nR6FGR2BxZovHPzlw+BY8W6Mmr7EKcPqTWw2VoOZo4DEkANEx4/R1Fx9cvUXuxmR2ZoB
JaxazPjTdTgvcCZM2atpuJeBtCli5lTe0qZyfGO2/4RKt37pllHFmDqt8HeYJ8ULZchHqgQGz6x9
NIfuxVTZyI5OBK8BLxRAmBojmOxO86zzuAqEL9cpx/2sreVnLRK5d8mj+syR9c1Y4RCOkAeDaMnW
mz6Ms88cASICy2SRzUil8mrZCHQOedsCpkqVpPXVzSyCbs0sWZXav45LjLfIbFm4jkOAMBDRQVM4
17WPEny4XfPThv4AwD+U084Sg934g23FXi1obKLwhRC7OrjqXu7ALXHc4TRj9ubAm9PjYsrvhPIf
QEnRBxkSFCcBsVl/HO6EiZwQk9+t2RwMvVGenTW8DXK9OZGjHmMSkD77Vutt1ZtfZezyMIrEuswF
tXGb3tOI4Hk+7xkNSCbqpyKtu3fqmFiScG2CRmA0cCDWGiOiPD2QzzD23Lq0xuYxoWp6TXNDXDGq
NXvSc9FxmF1tT2OHm6jNH/vE0byZwdRWNv3ZoFDv3H4EwI8quRnNtTtAH9Wu4zLfIyf2SwylNiiz
gvFKi0co1pwxGLAoLiVgEtKafm9YD9ra6GdD6qvnhtBVDTeiKc4yhTLkZKe+nJ8Ms+XlbEtJ9HMy
jmaonnFs2Ke4LJ91XiJPF9OdUKE2OMFfqjy9LuQf/NghlDWTwTG8NTOk9OGX6HunbPutSYXDWYg0
am96NXImTzKDosFCzhgVoLV5mCcIJ4bDgWyolmSJ0pzflZColsQffAqLlV+v6A4Vj2Gw3GEltNRZ
vcUvm176uAtv7bquxwWG6sVVfe5ndfoqIufR6VK1HcgmO6lxyrGvuqjdO1t0lIKL9aioi04JWSUo
90FStG/LkL6LsUJoJXPiN5XEovwYdmMcrAxYnlthFb6pVfmTpVftqekqfO6RE78J4pn7jJxrAD+g
IjbqkhEyZNDEtb1hMba2K3pyl8PjzKzpEk1xekx51z6LOUxCP5c1ZXdPYJX8E29AVIqzMZjMxRq7
IO1a98cIe2MwG+3BcDhPPVuQpSAWSzWYUC14qVy4Too8xGwqbB3J0WHXWlMofo1uYb7pTWzfCyCc
gu6cl7+A//S8P3jYz3zT9Egs6bV3kahyzdxWnG8XteSp9DXC418r68k23IfTYzKt4yGqyyz2FL7/
d1iM2gt9PwAYHuW3ucxHf0Zjj4NsiLsHzoWu4ae285/OrMYv/Hr0dYgGamQolGWCXGIpkgz11h7e
RN8lD6M28xovGb8EZkxTfA2xIi/e2ieUmXltqZfccLpDPFcrx1Wrjx+TLsXrAFaeGKdEpyojUZUo
mbZN7q4y84cIIyMWp3xWZIijO7dYYg6vfduUyeuQT+2BcRRlXDmYyZaO2t5LKIqr51Q1QV1JbJ6I
3zS+p7L8iguSGv3Sf9GWa2B/EoKqemN+5RR8DNxWBCtPS5FEukF3T6PZJ5wUFf8EJDa6y+JUMSWl
Lt4hP/Au8Z/17qJZTveLSGSCr5VtI9t6GMXvlIJ8izfdObhh5FyYss7XocWTLVijd2idqd/WSS4e
B8fmRItlxIPSSH57Q+xYe00LW+ZPhJlgLqi70lV6lIrjHz4d1qX0bFGRRprs9bl9cmabMSSZafbX
2ELz0zDNL73mzM8oa/EWJhSR6FHpUE6bovdIMDkJr186RoEEbRBIIxS/KlL048bO9ebYgQ96NXtl
BCaq7J6sm/WQT1rW+TJ0J0bRpuVbjUNVabOpkZgOF9+cbJko7li+CiJodT/LmMCtS9TnxoMP1llT
w6EyK/NBH+NPxdqd0kuoaTE4jh82dA+/s6Nmk9nrjfQaZq+6UPhlsSSGhN98py/WoFne6wSmt954
llldmQhWfH1jvEZ1E4xL1hIwddc30iZ6ADGp3QzpMAXzbEgvzNsjLl66Drm2e7rAeNtZWvg01IQC
5OD8nMM+XjZp6TbYEMf2krqIXzMS2JOdhXC1Uuy9QKzjdRvHafg4lVOy7Wdt/mDd4h+QWsLPVGg/
lG1bvLGThhMxgxEhlUoeB2I5uxHETuG3qgHSxBTFWSEqhuqUIEvSdWRp+hIPev8kTQY+G5P1jaNf
mHpyEmqhJIhc2wgiiztZZNIPV2t+npfM2MOYGnf2rGjQsKAyQQQuUTE6tUa5ud/UksZjI1WBVx5D
gIfrTX+bh7r15qFbUFPG/D6YNYIUINeGmPMLnRlVSm+3O7eqrUs6pTAxlzwJlsz8yfwtPFGIpOec
atIvGhqaJSmcE8ET0lVpmm8WZn+XPI3FD6mtG8An0zZNrGXf9b3cZ3XdnurVSLb4wfWnGBcjkC7u
Qa+vJ1hSVC3Nri+n8DkeZ+eKXMmPkjIUlE1pnxhNGzc+VWz8jr3UFyMchM90rZw97MImNoqaDUSw
P+T3spQsjWL6Qg/I1G0+wk1JQDasPD1oqS/Rag8P1lDftGgNStS8SwPp40CMKFUe2cLqFAHs0r1G
J8wbMFaBJ1UDfFVr9d1MDgvXJoeRCvit4XeOdWDba3m4t6Kcv6/qanNnUCicMEnvcxZPfmYgHIwN
KMdJepEokzd+vz8Xs2GxMiICVxdzdY/gK23bHAZO2r3rQDt2sZ0QLCS4JlrPRqZD3GF+pwe2bZHK
WK3B2UyZw0ixNcYThC/Hd5ty+OgXa7mlC/dj3cjU67G4QzStTrIUXefVjuCyYWZO/d8scfLU4/hG
Lk6J6lkRJ3Rf6TdmDTjmeX4LQmxGLrLfrFdLXjrVyt9M4NRZDMYxGVKr9ui3yfu75tSWnIVGTvhP
q941BrIPldG0d6yLwVNhaIGeWfXPScGT8AitEUGfSQufuAviLzRQOg+zsR4ikyAmxiAio25ZPDD4
n8lPltAcutnWT1GBgRwkBQMmTTRYt7SPkLThT0UsyPGdatRPqM/cNmMq0q8QsZI2gYjlzpqMdI9n
h1xqNTQ/EIY+knj9Nc1sW08Hp321TAIoSSOw03OdJu+kS9cf/QIzi1NIX/ZTS51Or9HRTek57gB6
liBSyQh+by4f3aVY/bB0nQe27sqNWefTnqjfuPoofT3g16iy2XFFLCeaSIWy0Grq4dxg3Pxbg5Mh
S2xX2T4y8TK8NqkMVIyom/euBvZkjTV3pzWz+XhfDnWWGpPXnvPoCZOH5q8o/QFF+3zLRWTvzZ4N
MHFfWq9N1md4HXCtMO3RMXNo9rjrhrs+rmWtcU3NCd1JbwuXgRexrKnNgioRmIlkxE2QlAtC+5iA
DDQmgEakZc466Da/L01MPuVKdIuAn0wDp3GI/svuOzUSgFNV2AxY8rEztFm+bkzLeJFo+36iG+S9
OE03zHeLs5abNzGW6/YOWPBMscorsRV4ick8/xpzONRe507uo83wu6VFWtVVT4ziiSGtejY1e74x
wHZ+mW5cnrTFYa5W6uMxbeE4+VGUk0CoYvfZZuvVAVP8e4cOfWcFtuvFSuZsi5Om3XGV4nchAPYw
mMUT5r3sPFNz7VMyM4E9uW9N0cbg2pqEUtKd09cGv85tguIze/pgp29zszIj0NwVc1MyAgmz1gux
/9Ivs3C8xyzkoYuzXVxM8VEUALGIlbrHVIhrHWYg+qzC3ZfVUh7QMkZ/TeqCN2KejsQT1sc1bdE3
WykLMIOL/h6C97zwSlg/NMd6ctvwVc31dIvbqAxkSBeXtV0UQOGKg2JOH2PmhAluqL3tSt4fpZbT
ktYor/lcXrNqbP2yzQ4W5exjSbxuP9FEndVSwLaiebIutVTVHt3vy+3qF1tfTlHEwMjVxLFsCoY2
Osvt92k46+8xcaNtlxdqJ2y7eDUGycHVM5M+lGl5NCpnOKEJ4AmxxRwkhtm85cTHLy5+WZa2mUQw
WgbV4OgcUED4lRq/IRW5jZoo3Ztagq2jgrRU6A3ByqxHAJiHxdS9OmIuG9t6/sgxDRuEkfy84eao
tswk9dNgjn/q1kDr6SJcq8mEtJczirxybgkf/9dyxE9ADlFF88vYR/PVLcNprwZ3fcJimW/WJESS
Ukb51FBcPMFDNzdRXNQfSz6mkDiGeTzNhQ5IRhnutzNb4dvYZQRdV5pSFOmwyXjzV5BSLL74USb5
EtRJhWoQV1qQlWa2EQTSDinYtEMRS/PRSJzkapUdQvnKdl7ivlZ/QxuIv/KJebKX1CVRaoRI7A6G
c1qczn43smnmPFs7VMNZnIZ1Yd3Jks05vq2EeYKw1VcTKpucpxF9IRJSQ6R3Kcpq0seEJrygERjE
0e3f71LQDz3EleVBIuw/1tAx31A3kg/8aesD2oa1iVSowcdV6Z9Ys42nBfjRYQqr/CVMw3jDWID2
HvKTZ6laPgvd0Hfx0Agf2mT8NEaMz/3aHvJjz77vb9LU43PJ9cpgZgkfGtUIgXciL/ZFn9obDYTh
cSgsa8vWSqYKnVvqtzxfpg9kFufCyCrfuBWAER55u3tgYmA/FwMNuFYt2XNWab/SrgWr3nJ/AhQ6
Qu3sGOeI9iFqZuNTwCTZ0DnjwCirXudOTDSMQdBN+gYEZZcRHUSeGZ9IvlEAmtPQBjmbSrZri5BR
p2rya2Ua32bqhiccOvCxSW629LXhEN8cigOix3N4LCrew6lt2MY+0+rTOqMWMI0yn6aqC59SpapN
hBHgpQyTZ25Xah5BL831S/KxkJJZWpyduiyfX50pXvdLT5bA1nLc1iZlbUCNnP1Qab0gRmth/D7a
oDc9lplPyA7o2yS2mAtpIGu3UrfsU2c662dZJ87OjZnedX0B7ZKW0ydqynXFrO8ZNQzqmJB3d99d
e6/1ofvGXLP47CwWzyuJysO4DDk5taUjRp2oY51NDpoGkxhe1cbrbQzyUDolusLiaIAykc15LJlg
F/OVIMBjsRo9zrh+3A4qdLe4yag5o0TblYxunrsRdFE0dmKv20BK/Q5MoqCpXNzvFa4SN8Vavma4
yakFO2ub5A6cBfZtXtt0aB/ssMuOMRFSWniMgl4mbZeP3PjDgaNdRjal9RsHUKfmiTznDPo/eMXS
9I7c2cbjJAw/d6s/oqnCzSzC/CPvl4gRCpbhVydn/sFyivE2lmEKUKYbr6TCdZxIJWbYbIRJFttp
+XdM8v/PRnjduFu2saf/12b462f0mX+Wv/+DDf7fv+7vVngl/jJNuI/S1qVpYvkz/68VXll/WZbp
2Mq0dFRlJNJ/t8Kbzl/K5OBDUDRt3bRswiL/MMOb4i92FDkKfijUK76l/O+44U3Fd/pXO7yrC5fA
PfwSU7ku1fx/SlEhJ5j6uKTFAYoFdm/5GcEUovNti2tsL+Gd5CMw1RSvFcTjgA0ctND6nH/OtpA0
oXDO587dpQKfScxdX6K4Uei4r5HNJJgAvZwBrQC1AojmT5k9Po6tKO4NOps36yF/pvpAD1Btu3dj
+yMdO9/snMvSrb3nMsSIZcpNPYaPgzZj/ipQ0DPc46Q1X2eYd8iETCjIYp4La3E+JQX+bszUpqtM
Bq+uWi95sXJgTj1mrXxJqbu7PTPQaTt1I81B6m6JihuRl3OOBwSXwJiiqQ1RqwWVmh7RtPb8Bn9P
mGIwUJ+hR2+WznxicdQJjxB2TTwx8Hy/gfvNRwhFKd0OWxV3Ztw+w+UxH6qkqLbjqtV4yJNXAJCe
o03nQfBhqr62zpgjOz+xsqtd9jvOR5h+dXNBge5IqFfFLpn7LwgE6zV86xQiStfkahs3w9E24vwK
duLNEUuQN8Mmt4FYFwjXhlt+9/a4BspJtwZkrxkXYbmkL2BiGXEVZtDSXjFCqD3dJkeqrXgWl7uT
VYybqOvmV0jM4mAhySHfURBl1QbiJR+NbKJ9AcXtuSzap9gaf4VioWUkh7mdQQD4dzPqg7A43nOx
os/D1/EJGac7t7fRIIljHEy1Li9WUT1ZWcMI2LDsIUiLeHnW85CZCUv/6l2vpdHD7FxUIV4tPYVu
kTpUta2GMDaOl0i3HwDhBlnm/Ijy5Zpzt/j9MNu7dGrPUdsdNBAa+hr9mKKpRajfwFBL+FV11xYz
LEZL1ufVeCqI7mOnyPGwLim+lw0TIV8f0SEahQYXQuFhb0JzXUb9zDwVEIgsPdeFf9Msh7nTX8Pi
jZHYjCe4AAHr3P/u9NDomtdCf3s1k5aefhmFhxHU7LYlxE+/cCdj1zBdL4XxCQI4Oa2G+s5TdYFE
69l6cYT1cbN61x/xPFaZ+dSusfExgmHUvaRKNvag3GfllNsS5xnfd5HAKYtWe1ipHG7GtPbbRLGx
srRc8VXfQwl9myW93y3CueWNVR+tsFtOmGndT0GW2Fewv0+aodwD6N/hABA1/5GCEcCgPHTJOTbx
C8Zp1O4Xps4v4Cyx/pO8OViVvnxwYVb+0kzVDUlwPEhZ5j/ZeyyfVztZfUbFme/UpXOKnUqdakW2
DpwIO0wNIzoMGuNQMvXFy116fXFhpbMkui5eC0IQzOHvYMu2Vu0n9HpkbiMeYZIqZGNh1+dsdKdH
YyitqzDW4djrrfFhQNTfyKiatzNJnlPDvOHQknJ8wGgS/7Ggf9heVyzt7xrREFvVyKe+DhND71pN
Zy7S/pSDSzcAhI/6zXVn/WmysC0aoWmci6yKXxd+WdCRRXvmUZFn/K/6GWA2t3zdJoaPqVHuDIDR
V8UPGMQ9oS76Jv3/FQq1/pZ++2eIybWJDZm2JbkFCDEpadyjRf8SHSJGQfnWrdHBpZO81nZbjTgj
x+7a3JmdJFbmoDamCVyNgesJUHcwsXRwA10u2tj98OqMnbbFjoQsKdOOExYWVyAwZxAgVPQLdhJ9
9OEQzjxzkbg5pZ6eer24EoOxiQyp9VbfVSYbZvhlQVa6p9JfRUgD09oKJO8MHWjEEwwWWLy0bRwz
NJ+KB2eANxFMyxC+1NNkajslFmo6TBhNyeyXb0wZG6vad2S97Mo1DpFdwUvMOx3EabphSFp9MNxn
lIK3odrgECxfsT+6Hx0Tzw5ozlYz3adBUqUl5BPIEAZ1eceJ95I4HPzgHZO/s2ahQ8BdAbs4WE/1
3N/L6uewBTNT01d4tM9HLU9mf6XkxQKZgPbXhtWXzAl8Iy5OHX60U9hWZ5nw+rOAliRtFwF8ScB/
D+2yKUQBhXZyoq94FNOxHCd7qwE+JRJNcVgtKZNRZeRbGWfpU73CUqiHCLDOOsmdwijnD6vkqVp1
Rz9PtZBnpkbdORGaugxow69o1+aZADJbL4XSnyrD0W80sCY0jQRQJb/r+VzWTnIh2a8uhmPxvANQ
7H4znh5tz5JW/KfIQZTMLQCN9v6mLPd3xr2/Peb9PRrubxRAx+HI3gbrmmnl/Fg3SXO29ZL7Oaau
rHHABiWk6E82VyDnQdLottn9DYbLMBz1+1sdkhp6Ge9vujC4feqRDcbN/RxI7icC5CHnVNsVGxGa
8v4cNO6zez9Dkvtpst7PlfV+wtj3s0bcT53+fv4gREUvxIhaSHC1fshcIzmXjFOZDPVtgelvHQ4g
EtSh7qfoxAJPxF/mdp9pbi5Yt7X6qDuZvEHh5GBU/OkTBYjz5QDx280pvtGR7uPGn9YeBsIIvlEt
9iZJHJqFBegBAzAsqVhKV0WFkimDH9tVsGcRieS9q0nCGeRQPTuFb0RWu+wLOy7GaylT18eidk/D
SdWtgXknbu5JCYWMx9Yuqn8A42GUaoqs7n1yaFm/r6IWPwL+5wgZuUsQWYfeZR8B3BrirwwVFVP9
SCN74MbxErHUfGZpQbEKPPyzEMxNW5soGK9BWu3cpkdFZZnsxQVc8gix3djmCit1m9Ird2srMBOs
YaHvGifOsXi2hjv5Ie4fdv/V4S9rdJopcFXuINlKZL/NUKBTIYKvNFuSY/N9BYgO4BaH4n3kkbJ6
Ym6Nxji3Vm8+ZX3D51I2jzJEBFtBE230Dltqb5b7Trj6NpX9az8yI7caNtjrl7u57WInMb7TXgt9
alS2LrTMM3UGaJ4R4o6pUUeCoqonD7zZ5Olj+rPOFNCOFGcma0Z8twX2o3CShHozXaued9Tp2l+J
/JU3mmJ6HyacN4sZYNybzlZFOiOV+k7G1aOtjCeWS6hgzt2bEU7hPkYIJW3Q6puhseWpd2ZnT8tV
+EliHUNXe4IAzZ2XGNZZ4/6/G0S/2MXMNolIi3D2gaBt4+nGdf66GnXyLewJ7jt7M70JXtkpzeDS
zVPVvxku7p3UaJZvVRk8g0PEvMPvGImyAoLJ0j92ov5Pd3AXRNGqq777/5xl/g/x5/9FgWdLmXRk
/3WP5yXxZ/uvDd7fv+AfOWf3L0tnXQCtnf63oDPd1d9zzu69ueNfO7RpgpWf/5JzNuVfwtSx8RnY
chwTQPs/mzv7L76CZgyIlbCk8d+LOrt/23/8zzJBkpV2XQv7sS1oJvmW/KT/WiY0NEcdaURrV4eG
/ZJG9hoMS1weZ6w3AVbCYTc2xUecFTPGCtf9SGRRnDGPDQgk/I+9KwmGwZyzsx9pHCek6VbnYqiS
BULQN2Jso2YbI/u1jvPDXCdmExMMqXOY4bL1eNnLQ6YWZxdhrvyhyFZ+r5Xsf8QABqkdLLN/cKQ2
39BpwT52uubbDagyHJvmcW7Brg7d1JzsrqyOi9EhEWMBPESwIufAMLW7yLya9qnuu/SU3k8xj7Fm
+ZIl4cqdkNjaSU/5i3xhpyPDN2d02M9S0DdWKbwaoYmTo6rxJ1gNxpapBiTTb+SSvMHKpbQXy4St
w4r43laFe5M8CmbdKF/N3yoKgec6LF08th2APgHv57rCw+fggD521osUomRbKdT0ShYgzx2rfdRq
1j1gf0qWR5Z8pNsRuvyldO1sJGw7xBmQHVEg5/bL8I13QnsCYUz9lSfh9FkbbGrBb8NYiiDD0lzj
OSN83ehuUW9DaTNbimJM/d26LAcHuRaTAdZNjMzo3AQP2KozyOrMyhlxSClNV9xvgBgLxol7cxDY
cWbrO+7vyUYnxvZGjtVu96mWMSiplD4QRO11frvxoMzMW1mj85PVC9QMNltzll6vt500kFMrXW5H
y2p/L32eJHwa4bAb8PV/1ZkxfRj96BwZ90QnEXfVI4EE83XCUH+BwJwKdDhdaltR66m2mfGDYmK1
mTH5MnXEkUnKssegoFB5y3pDhh3LmKjs4riMpWTxVwq3te/1x1XU8mSl2rQxHIJtOJnylwJk+7Ot
26CbKxPDZLJqJHVcUghsERBMp9Fb4oeaEFziycztL6J1rbNoMNbqhmaypSYkpTB0q1l45cRHCpEN
24GhKRTqaJgsL1PjfA7BCRT6Gv5UbZkdtcy2P7jNnZPUlnwfma3Jx1QZ6oqaXemekCWhTKjNovJL
CFgkelWKcOtUlMNbLhv8FG63WgfKemahGDjMTbKM7ZNWYUt16Vj1KdECUTc/a8KVoAOqIsAhob01
djszya+O+jxoWzmElPaL/dBn2KdANmwLhUYTtvaPME42xUBrWlWyhTQgY6o7d2Jk3HyR/GuuhdM+
N239rZIu9EMLeKOCD1bXnd+v9vRQEIWWorbB+d83IZgOzjvWpT2EghgAdypT0+0ELqxEWelwEdrz
wvi2W3ezvsjes7HEH1s2TE26hVmHrRSEcda+OGNtcDa8huNrqezyoulsS2lJce1yepfhsXdI7Xos
VGldKmQtnrxIm92fAyZ4Zrxur93rwCj+wk6lAz13TYJfFTtw1NFd5zjeWQMfDga6XAM27078n+SL
8N1XVtQTWwJPrBG56kGLTq7MfidWOQBchFJ9JxnwWPTzDoKovdNHW99gCmHjCcWQP05k1Ap0r4RF
HGH4Kvlo/YH4EMoRmE9wbkUbkKdgHK3nWEnKtB+oUtL1woBUf3bTdv3pGo1jeSgH4wncNBkUNjvd
QtMNt/Cqk+8ay3aPX4ydFPiV9GU7MUjZAFmYZlKa7CMrrXH4qPHI7JsMjDkbFLNkv4QJxEhWm5Dh
6qR5aR047lamkj3JmPbdNlvB47DgXA6BfBV11aMllSOKjNG+ayw2O8qioVU0U4xt3QA0jc+/u6Vs
ChvhOtnDrwhbFrMVtV8jcWJksZx7PcvfWzPqGMrN+2HNtOehHjPgCm72BCmQiDRriR5MLfs39s5r
OXIky7a/cn8AZQ6Hfg3BUNQiKV5gZDLp0HBo8fWzUJVTl5lVk9X13i9t09bDRAQCcD9+zt5r5zu/
KKzrqjjXcXvI+36CWwHBguZs/xAEVn8GewyeREL36YAiz7gUTSH0ifP8dDVAmjxHmwwxNwV6eITK
+xwGQfvsGWn6pYq78oLbnN7k6Wy/tEjRU0wTYkStjNz7SkVoqSPia5KVVHODSQQ/7ICNcE0xKnH4
zAUH57Cj6xJ0p2ya7XU093BOjR74s9HDtQ0yfrp5SLOzbM7nu3BuQe7gI0wffXzctM1AUeWRbR09
GpEIkrJZrxs3Sd7JmML4RN446R3Ace8yKOxn3XJtj1LyuuUoeQbvYdpLU7tfzSGadm6oWPrQ2k1r
q8gKwJfmCB3cZp517jHAX/TVtD8HtntdV1BVTZdknXS45UjvqFVrKE4AhFscaMEp0tkivY5Duj1G
0c0P+EXl+QzmJ12ZuB2P2mZKvi4iyzwoYb3jW0w3gk7CG1G3VbqdEZA/kA/B0d+m9Cg2QVV756P2
kwvpN5O/alhb8fW8QlSPeYzT5JKWk7qyGGuioZ1DxfB5IMsFYiLcOHJbLGM7qaK8YRRitoehiuf7
UlK8rcZyOUw2tYu/Pu0fxsR8rzv8ors4bOCHK7RfnKbUN3B/6qxwkRbQ9kCwArMLzToto5FZiiW/
MHkf7mnDD68hrVgWXRhlxNWlAsSklzj6wZuS7BuRMyA7rBLTWhQDwAbg9xwldPb3dYL+o6002lkW
0VHBY/BLFK4zSounIFRvi4GIV8s/VRiltjlZeysSQ/ZFZd6Jmd95SsrhOEEVRIBbrQTYQFpsw8wM
Wk+SrARekn0XxM5pLBL3rmdCDxCykyRbBi2IloSiA/lH80auES0ExAIY2euDBKy3q0CySGi6RrIh
+iHbFI4cblTIMw3Vna01xyWs2VMeSJgi5peG2Jokrvo68+zxIQUbvyHKzlmlWeEyeM4QlJaOcY/7
aTvaE6l9Qvo3Q0OEVI05B2hqnDyaEylvfZ1327ov9HtRJyliewK6FOXWnsyE4Im2w3QVmm753jdy
pOU+D8lqcN3prl6cfUB4KExks4eYH51HZQcooY+qF8Lg59PIVP4DzDepbaFzpWUdn3Is18dCVubb
VEy/izd9SVBT33AonHpaqRkMURIaGXF/hKEYzmfUXvFmzA1ydNyahYQJ+xsJThKPUgNHGzD2bsiH
+NqdqKNIWgvOvNZEUp54+gIyzNJFKjjDh7a7qprxPXdnYDS6uux8q8X0o5vNZBI46bd0iPBEpudo
7MFddnQTbVzISVDYV1kvMbBplnXyXmz0xCneyPh8akFUQZLXZnCFFag5y8t2yRlTsXdbas1Zr9LC
pNNvnFgTAehjQYnu84p1dVVOYxGvxdAllBFBNZ88F0olZBbjllOjJZ4JAvC9Yx82wEJcTVQvIyH7
gyILSDr6YvMLm1S1GwekgZ4zqOo45xW1X+2nwTuiddNkhsxu1Ng9npHM8Yi66OYL0RgXZAk7txST
0zEJkBhYosF+UccB1dxi4/HzJJ5INTSbcDUgZb7PUpORQUMvq8hwZw9tcrIc7V6yIrRbp1L5uatk
D+pdWfGT5i/OZW5A56HOnC/r1kfroQWs2IzK+q6sZX3O++p01F5kPdTV1N+kBglXtObRZduGyZxc
u8UswVzbYsPs3azRNBfZ3Qz1BsceDJBntMX5udWQCbjGyudcWiUVCjk1yAooVnO5ipRbXmMrcNx1
kzehu4KhSzs7rWo1b9UsOM6noY4eRRqZp1pr0swiYRtH5VFiwKk5lGmWX/YwjTOC7fIL2bvejc/Y
wqIAs9DgJhhE3uHGm29Kdz6+99R7Rl/cHXw/QDqH+hXnIx1PZmZhAesSU7JvBXB6xwK9OipJsB6D
f0/iFdExNY6/7eh76LBbIiPsyiFsBIsh4mIEUwbaj/WUhPWOVeuVwXYLswm2duTb0S6j6Y6bu91F
Ul3LyvmozF7tw6I0DmMSAjtAmyR0tLed+HIugbP3rs43GQCfO8E4BiFcjU3YyYC7CqK4MjvdGcsR
A0XQnhsxr6HpFyW1IZ/kCDnqQ2Ao2sTK2Et3ZAaSUnBzRF6y6gKDdMnoMagH7FmRuiePfFqZmXow
KDtWHAexBCTtFadz0jYH/8KSTbXJMXRaMV4gDiNvRmgxpknIU3AWni0sU2jeL20pTwoHwMppABO3
hDxu5qGaVrTz24OX5ohAB7PHXhjOmzBmCIgNqV2naEA2cc/Axg0GkqLJuievhgCd8TXvK6xp0Z5A
imhT2sXVjJroemCktXUjMcNZmu2dtsIAfVZgYo6camJfGQIfE5LMbkPtpzsb6v9aVbTxKtGREGvH
iwJCw4mawfhQlBpTvxtNB8N86JjhmkStyUIH1PlwlbK2PnfpBzN4zLi/fg1TJKWVh+LS7ve24YVf
OlN2T01SIK2LoowDS9LiQhqbJWZhln1/kwlmbltX6eBLZufjK0rU8NSAKXb2dahXFDTOk2I+q7Yt
cSqQeOAbj/iHzfjW1WpEq29ZsKdHwVA2DcQj6Y7ZHZR+unAG/UaxM9KsOXqe11KD+oS6YAfXj+CC
76yJR1G0/j0pe86JBYbIqVj7+zEjhU5DGkdZ5W4JpSThtAmw2Ir+m5zIKaI6Ff4lUTX+njNW0fLK
6ex5Yqi9qDyqZFXWYf/CmxWvY0cTb5Ln0S6nP7cbyebbOnBODpJkCkyEcty3Pl0CWqZmsI1lrU9E
D9NgWPTAXxR4+OeSHtsudtuOJAev8R58Chcb/Rch9iA4MIb+3lP6b/ftn3CDv6slbMZX/3cHbh0h
sYjVa/0jbvDPv/yjFQdY0PcF+gYk674APvIDctD0paDyspzAWsCC34mDlvjNC2iyMTFEBBH4n2QW
/E8LJ5ABm+XT4xKm+29kFiYX/6yyQPvBxA6XCAdOV9j2zyoLDBNeTluIGh6h1UOO6+ep8mARUMCw
gjN9GJ9bQ7xhqq+/0a8uXgb07yBECDna2s1Qbr0eu4DH/OcJMXV57EGsglmIs3cnU93jfx/G/4R9
6eFUdCW8yP/7WdyVr597wX/+xfdnkPZt4CIaNBH8uF6woDS/Yy+t31yH2F/P/EPPswAx/xd76fxG
Jqkb4K9kumOxcP7ZDjZtnmmHJxTZm8k/xzP9L8iXP3KSaZksakYXcBsUTSbGv8+UP82MpUdHycmG
YQuWh+h1pHpnQCbk2jQjyE6Y2Y+f7sz1H23m//eJtLngcj83n/+4Hhek+Sy4H9yMz83nTFFiwTEa
trPdwGW31Uc/o6+ZBpQ8v74Sgqm/XovxEGjbwLYczxHL+/fpu0EElpYVRcNWmiJlPuPgvqxUZB44
uemLNFT9RUdu7i4DRb1RVR28I5Trr5tiTA95QDYC0sQUkuQ0aGq7rrFTunGqfrRxqJE47zO0dV1l
Hjshm7dpmJ0QyyDDcEg5Pvq9fM5GBEJWCTGGLDXXT817UifQDlpeXJkn/CqEOy2Bd4yz53DT0iD+
1rpRuUVBTu/CJ27noxuN6Jty4QGlhWdtyjCbr+Fnc3BoK87rVAuck+kn3STubJwqEYh+X5HHgc0t
CvgoHZD9R9bImZoqqgj+ilXGmEiRG2ITjGx4Oz1bcI9IOkHA3AUDE8WG/NCScXBff5BEQdBG4x48
xfNAZ0JuDQ8A0uTeLwY6DYDLCo+zMuZTjGH3ehwzEIZwuGwgEmsV6ycjh1zDGn2T2HOxK5ap9Qgh
Pg6ICKzoSKwtSP7nC6GHuAhaR6RkYaI2gyzaGK6P3Yo+8NY0RnqnU/MUByiO8tEmUAEP3IpJgY8+
1btsiyQBok9XPcJ1btEC2bIsIg0oJpy6aJRxRDTSuJ0qIqShQIDnGaOd7zn2BgH4geMjvSJtcfka
nZIw1UeRoHhzuoT/A/KlJ4Zyj5QgWPcZep8yasTGtbm4dHOx6X1xgwUCUSmHEcCB6lXJ9CIv0F+S
1fk2hDzqJuw0NDLGLh7ETUngnb/c0dSKgg1NlzsAO2pN6MI7eSXnZkogIxHia5LBd0KTxxcPZHnL
xrqh30pAfG6+J25+RmwYebRdu0MP9SGkm26RwT05/Jc+9C+Jgv+gn3eetwrkXWqu0z5csiGqOzAa
O5h7AB/6UxSmu9ZCQwzGa6sDwhj8cQkKrcKqUueJZQ9ikyBNvapa5zLGJVP0BHcPNNpW1pCdRDB+
czsNiW0kcz4lYBy+FGPwAEQsBELIH53FOXj2CWaIAwqyzvYv5RQp0Bng2MLmcVTSBY0y0Oq2mLa4
Ic5OSxFmyGCd4jVclQZ9ZunBUEvDYoVNkzM6hFu3lk+pCPgCIWEIIZfLhhjtGYKvAnpi5lreGkHM
ytaQaFDhJyv4HnBvyrbf1Jzd1vywN+iGg3VY4g40sgwaYs6Lyplvvm8NUtXCxrsfBN+08PLzHmIg
WixNR6cst//dXP+TzdX8o1775e66+ZZF8ef99f//0fcN1mOqGizTVJ/QmD+mqt83WMo/0wYSTc0m
LV/6n8S0PruoR+nnmkgx2AE/zVv932zktZRmLmNS/kX5bzbYZXD7w47HKIE93LZN17IX9e6yS33a
heLC0Tkfr9rF9XJ6rYaqve96NTxFfdtfWeNw3xm1cYtGFowJy6A+wSMmKlubLB/OkGTPkK/6V0xG
8SFMg27LMNXBGRt0K7KqEPZlMaINV4y3/PNoJZNBXyvSA78lrvtGxegih4cPXdHx5vRvl9fo2sJ7
+hqYllDaP1rMy2Cg0ARnqIV7KUzT66mEb1VmPbYe+FWj5Q5frMQVW4H9c6WigEyRtC3vyjJ4IreN
Uc9A8VCk4Hpdwxh2uBsxa0oZb5oG22Y3VXcit6Jt1KAFs3QbIK8y0k3XtdWdndvGtgHTugW8DUWo
hv1KPDqWShEMj6Q2IBzDMfBBLGMBLEhFb76bVyxdTfvWMSy7B12ZQxYMaSjYLv0Qu2d7RT06GibH
xtB8ARZF1Ww73VbQgz0fcCrBkJyJiVo3jG1eLNpTepVxHojxvffiGWgihspQ05f0FXChVd07F06L
O4+OUup/8Y2sOUWViUHV8qGerOag7IY/ypf/Hv7+4fBncyr7pb7+4hXtxWsTtfUPVff3v/suwRC/
BRz7OFcFVICcs3jxvy8JYOMd3mphOj5iC978P2tuKX8TFOIU1BZvP6Uxf/RdX286v7mm4wSBa9HU
t0zf/jdLgvmHxuKHMhj+vU29vajshQny/sdFAVyPDwnRGJmTa9lD9cMNSc/aJQQ+sj9U2gbdus3R
Im/gF8w1zyFaOHIRhXkKDIhWGBcTf5UW4JOfctaL4LLvxPL/UTTyKyZ3U0CxsQ4e9tMcUVY4gkP0
FDaf0EgyfePUcfxo0MBTd2Kyh/IG3nvWbOIkxnxJ+wpZc124IZld2VDXmyTSAQFws0tIFyJRWDpB
LhEPBjKnOz1ZIfbuElzLddEq88NMSlgjoyuDdcX87VCllXEr08iQGL7nPt/AAbYdvQK6kl7hUB3O
UV7ndNsy0fAF6uHIyN7xNzXgoPAyxI1IwKNPquWtn8on8tcmczcYjLFXzOKXeKGQJLSR5HMwC2Nt
J+esADiIWBsioBnpqOpN2TeAYzDmRfe2T776GZJvPMlMShjRDn0SJ1fAfAUYnVE+uBXIHENYkzpb
KG8Z6F41pEfyTjsG8QrjJ3UnhQCzpICaYUx8+0YyIZjWWtgdhEqcjG0CtZG2srzyEHqdm7UfEb2t
9HNjGl8dcrBg6Y5p2eHszp0t7cSmxeLr+qvAzuJH/jXY672qr0PH8MuDk2kyoOaC0LIzVyj7NgUk
pyBOID5bu1lnByvorFZzKKaZ8fVQuihtQhIX5gub+NOlB828kNnAbBv7mtbdooYcUGGA0gFGXY8U
QU4cEwngD9K5LoAPAArz4SWd+6It0xX55AzQyh6gkdMGNgvnBIYVPmbKdpWOORUePZOuxxo4FHs5
+m27YTQv8YjNWHs3bW+Bq2ckE4dnU5r2BJJN5cKxJXDTxM6hXcmQQ4/3DYA0yKmjZb9pwsYe8gg8
uKvq+h3XmTkeeeqYy4o8nEhHrtt2pJpHhxjVojuorKGxyBlnrtfC8Psch2voHplIW286AN+8p5mO
3jkaVdNvKoYJ03qqVXkkKpNFPKYdfU40RnRTx961V6TuQ9PQW1+3YWUcVGdGR38YPLFqiFB/9IvE
vDW6qHmZETOdoBrte/jF1Srl0hLZMFnUqxLaibwnR9BzVxxBSw5YQk93cWHN7zmD5IveEfWwzroy
Mq/wBTNtGVH3c2At2Fb2s1D5RUAfqN2PyGGrjUj6nJYQ3ky4wWBRYXURoQdMlcGAQafhHm/8klEu
c0aJPgCyFp83TBe7LSKHbKIphuI6GUBCOzQEHPRUbl/U2uyILAJzly2sovilDUq0EaS08bSbnOzW
JpNIf1NWwBJtX4RfjDkLd7NHxkM+lsU7aX5MnQmYPVOhPT4GPa9d1SQ+qneSPLGdKt4bHTTtlSph
WeC1LU+FyPr7BmxntMqmjLUgI9Mztm3ruibtHHJAYCX7rgfRW+DeIZ9C9DLfV6KyH8w8bU4EBasX
J6V1u53bFoZsOsacyVEw9+GOlNjhrJOUCqM26OonkS/ZpIUJAqjKqvuYMhKpmsd+D8iPuU3kotax
Q8/N3rUTwdyo58DC6gGWozNV8bXqyz446zNrVDusA77e5ClEfi+DP2FTyl1GFcOR0JYUSyjQs+EO
jF1YoyybRnsTAdIH2BfkFTGzOC6PzEuyjga0ZZJoP4vl8GTZLrjWkGcVilXVPPbJ5F0VvSzXgRcb
L0whveLBTxpDAPrhRVkxzBEbgkMdZ+OxDfpfGZBZ6MJma+fUA49n9Ehwm3hru8zc+rJMtnAZ6rOA
pIFN1OAQZQlnrlGaMZdkvljhaGpQj2EnClj2U9UeK9Loivty7CwKPFvPW4go4S1QVXEPc4s76soB
niuelXhAG5IkN6JDdgZ5QPbRajlbGycbBdyr25Onu8dH0KUXthXOC+R+hBBjWniJZIzuZO7q7jqM
we6ZPsscbKMRHX4DULHcmM5iCQIxBpaImPPhIZhm7AFObMK4abjz8XbWtnuTjZUBqxqIRrWOu0Lr
DQh2PogkBeWWQBODDWD2IJtG6LirdQRtUB5iULDIDPPYZWxlpwHpAvF4WmhdcBfs2Th0BaaUcSw1
embqg2ZxdtfhWVuh0SaGNH4HMFQ9FhByboy+hbE4olH4muJ0rVel5wBTG5MOyCSXaHE/dAk5vYWd
piibkU0tLoEKuPeiWcREtNyEAn4iaYl5As9inigQast69THs00WBync/gSu8KIUegGimI8A5e0kC
YQhkMYiDxnOJkzy+tfyo/zKg3j+mkwqsM2EY822So+Oi9dM1/UW6OK76Wfg47pKU7UilNby30e38
b95go063lHkZDhE8vtIY8F+XiEYAKIBaKTd+7/krzG0RMQhTArXY7rDLXE++2/crgCERbKE6eHad
yblJJH0pK4lHJpH5bYe8/gSloo02YWHGYMVIcaYTZ+yTOGP20o1viYbmFGvWTPITUuvFgfWQrZWc
/cc27qyPRpPBFdlj+ZoaMwHZZYWESIzMjFhjsHjFKrlDvdOR39iRYzrVOSyJUca3uF29o1l5Qu56
C7ptDkFrk2VJveKspRB6hpyfulkFmPKrCFIRgkJmsyGBr9WMvxB7hXtrZ0aevkRmq87dPoXoXeJu
xk/fLaJz1JX4HS2suHzoXQKAnBhQU4IZjNRwQpSmbAK4BnCSXjx5W0hI3mVfGfXXHqXPO8iP6Dlq
pnuE+5CuJNLcGP08dNN41LB7Ixd+GgK6hSfLWgTo02Jud8B45b5VBlk/O2ba0jjCtDmY9uTswJz4
kChm4E1pbN7TEtEvjonM8tJKqv6DWUcxUBukEhNOGwFujpKBwBdHkt0iwZ0BxzOH0twj9R3flFRY
Hm3iLr8QiF7EO7c0y/fKsUR9M4QSy7dMODgdIYep9hy7GbdRqaCD2NOH+h3OTE9Ehk3s+SEUgOLZ
nVNUlJlZ5sERsVd/h3J1hr6YGvkd8OPSOpQjoJhbq65uiZpMyyPWtH4x6Q/TzeRZBfrbObowCfwD
KTQ1mLbHut3VEVtWm7W5Xns2vK61rEJeEwrx9joGn3rIfeUfiwQsbAiq4IrJTDRAHmee0o5jRzdI
Z9tgEeOtUmqQ99q2xgen8KJt5w1y45VKUkWX/hfDKEKoUpPwEeJwKC9ep6IN9I6FNrif4P6+d30F
bEbZNbjFoKm+dGPmrhNrgm9npVN23sjSo8kHlvsRpIP5xaVWu2xaR+2CrFf2psxrN985uWsTM7mo
l8ZJazqmqba/skFmG7YsHy6Kj+65DZtXWVdhhPYlI0+ADqT+0GlVPcIjpn9tBmQfrJ2wo+Aw4qn4
UqlO3ZMC7SN6dYFYM6Ny7gboqY7Pk1zJp3nANoqQJBu+YoxHimnYrMZ4n0Zq8ldzJFkD3fhdkkrY
qtJi5W9HxwqOFcMzl3Gs2c/nqcmQmik5UTmXcUl8Eik+hpdAwqYtuJea6TJ66jiHxcVeQgvYLHx1
FlfdIh4GXQwZwm/vG0iXzjqWSt7F8MuQAdps5REBtLe4AtUtz/68n/tZmth72eY3xdx11zG0tTVI
FH0SGW57SewGzRL7m408vyFMmwk8SQiJc2iShkAI0laBmQRSkyyQ63o51lvCvNBW1cHpHzcMQzQI
D3R/2GAYe+cQECya1eu+6V9SHIPIKWGRhGuyYOpgZUXgUqoxaG8HI5x3im7Ik+beHgqaIxhqyKwo
97EBAWiT5naMKcSNYNzYvWE8R63bGceE2T80MSv3HnAcumJT4MeB2Fv35VeR+R4zZzbaS2Uvh7PS
A2u/4FLGuxj8foboNkj4CZ35Gc338CL5FACvh0iYa5/7jV+T4fXOturxhV4QCpnYTO0riMvingKX
FTYhCOOMMNfoGKJ1/5aH1XTmTl52qM1wjiHHlvYFhwY/PFaAJd8SnCiw5jnObCgyZg9RZNDBK07H
8YVRPPoBCfhZ8isSa5Chr4dLRfYM0morhSlcCLNa4RXo33h93XPAEcT0RqZgd+8h1e9DJAu4c6Ps
bED5g44POfGVFBRD27CCsHNsgiikAU2UA3nKRHtxquJ446455JJqZAMCc4gNqwAPdZxfEZfBqQUG
4QKddAN3eqjDxrT3RmuBM4+bInrvq9o59FFnPudj4W+ayAHBplnmZ2zq4NAml7WGLti2Luis5Y6v
EIyiA8FgOHaQoHLpNi820TRXyuudnWvW0Zc69pkCqElHKWO2zL2Za6TPR5JPQrFpmNeEK+ScLnLO
MaBVPqiEgpJkBEmkRzFe+ZrYwzU50MF7TJLendWoBxCk9QJHIY6nLMD05Xr2lgGT2CFi9I9TAwKb
XMzioMdYX3t9JTYaZ0a9ZW/GzDXFXXNbh4O5smoEXJu4iJuvSRvhd2Ou1tZ7ry3AiRJg/q7bub8a
66Q0+W7CS1dOSZTHSo6TeLVbxgQZv8OHDQzvto/Y4KlG3XObKfdNolHg5VE4XJRoZBFEOfTnHbIV
11Xe71Pb/dp0FDypq5hPyWI4IWy9i2Uldk2SUfH2rvU4z9E7j9vIPY6dVefG71kf54cmtNAexT73
O6FCBjBzaUOPOuYOE5qsL/W1zzZ8Fre1eqGmwIDJ4ufe2emrkI6Ddj50KPQLa4Nds9iadukcUoTE
d6Fuxa72wQ2xcG7KsrF2Zlx47+RtmJDna/tg6RRYlo8+jNC7ZKNHXZwleW0BBjenE7lt4i2o7eLk
9nJ47WoNHxV4Un4WwOcCsZaWrsIIBqho7ly6h0VqVusmdPxjm6L+X1WS74583KhewQL403Z2KwfH
p1XvSfI1tynzjV2S6GGvw4njfq/RG/nWdOk6NugYZ8im82HsqQr9oZ2/TQloGBpGhcb6kvv3GL/d
80miBXIb+KgRXrb1oFOxkVTy3xDB17u6xQjOZvJE8E0HXrV0uosGqx9xf0kJhhcLVLiDE6P2rTnt
qgwJU9FGI+59TfMjdXX7QLlb0aCYCM4BN8CZg5C2TdU46YfP4Ovg1OV8O0zJ/Iymy70FKdVBqIqI
0KgkaXyrgtBndDssl3Rudk6ZHQap9C4Cv3bVpbbJFwJdSwYXMeY7aeT2mdWV4Vp5rXPeZ5xPO8+u
noZanDxzQoMpmBLfZsQB7iFkjeidbBpHIsr9dVqkT1VmQasSOZEZXV1fDtDXtnYxyTPtLO2zZsAu
CTmSisa5Js2BoRWi7KNG0lxZU7e3Ru+Sse+AX8mzT5MjTQqpAD+ng22xQDfIGbmPz4FdGduezZhc
QkF556J2ZKFKtrwy/mNhVATTqRoYa2HhCZCmuoe6E/S7WPTjPfHXDYpZRKE4hTvnylceFAeVuNPF
kOFuYcWdcCwU2dnULgLOWWmJaDbR7ZZu2mEKo+bZSHxx77hVC+W3mpuHuQ+o9lRqkfyV4HDMUwwL
JRBd7fL7ky3Ski6Fuu9YjQNlyECUR+8wSt/Z8Fnf0Pi/ugZfZCxN+gXtnH/DixUi7UrL22oeBsqh
0LgEjOYzEx4e24SNFVY1A3dGHeXOGZ1+nWQML8rMu9QONudVy3EAQWLE8WYVDk58EmldHDxR+99E
a10bIWV3AxSagiycrsEqutsR5eeaEauxUMjpHxnlLoK4d3DHmd7UVM7uF1fmzrMDV0SA1uaE2cUn
r4IrAV0MTyumpfgyHJ3pbY4z6wE8nvgY6s7gPBA41x3UWwxHc3upjSkdLqJeR9TURrRnyP+1cswl
xseCfEfpPX0AbCazoXHkvur7aluLHMs/hJKV3U3FWe8TA7OapgafzTg7SlIOe8ze0ySeB0R9Q3cj
rNyagBCabHr/HSt8+08mjYsoR1pYHX8h4+kSBgvt51Hjn3/1p5SHVr0VoJoB0oOwkX/vj7GC6wPg
cQROiO9aHjyf36U80v4NgQ+FLxwdf5lO8kf/i+0RvxFra1GS2lJi/DT/1VjhJ2jPIqdBUCYAAQUm
miLvp0FjIOOeHFvU+a3DGHFFEtr0GCGp/Ydo558VQwL5G5olLKqeK/leP12mwcyQDEuR4uJSfOlp
d54B/VJwPtu036lc97tPv8LfSIb+qpPjilCN6C0KETB8+WlYEuRzimY7hAlrLnl5OheIRTojYgKB
JqbY5G4e3/nEuuzbEM7DIAKD5TGfXwpabDtRBcmxobjm6N/LLYO/5AhkerjI1Tyfm2OqL/7h8/5l
4svnXTRdrILI+4S3/FCfJr4JNqNpGDFBEguXvw8wfoEYmPxnGhTEeJAfRSPLcxcJUfleY0J7h8A+
fJkU8QtOVzL/Qf77UJQj+O0ReOuvP57863PCx1t8yIzGLZ5JnsfPH88LiJlNaFpvO3iNF/FsoiiJ
nSV1thkiYIsjoonC1CWMBGvcCkOwwSs6wnxmfx+NtsdUVuVX0xidTFMfRGTcjKDgcrIkO86RLu2Y
Z/qZ/g4wB2YSpgBvnTLTXT5V+vbX38Ve5GKf52jLw4iIndm+ZQGEXBR0n7+Lz5IpWvJOYRJl0fmE
RXM9jKNUG0xHEQBd8GdLcoazNcpmeC/cAYJ+lhdBSnIfg+bRDYybbhzbZ5ehEYdkUPx5ajhPI4aP
pnEuvDqWROHEPc1eQ0F27fpDW0ZkiKvkWTtLhl7oPFHPWpetgTOqmK5Q8Pd7TZrfIQWhcclWBx6D
IyAHoGiAiixjMzyLcvpPKOK9LZPAJUNjsGjEi+jdd7ETkITHqZU9GhcgsQwcdVmNTnUu0KnQTgva
TTmPydOv7+Vf5HLcS4xOjo3F3DItHOc/3kuK4yZ1IAJtTWrqq1KkxVmZwLJBV7HzLPPDSIbxqpvi
EWARArd839XZ8EF2R/1m66q9qNTAzEUCvjvQL8yIC4N1sioKsuFQ4etrAJIEjuBbHU9K59N70A0m
/r8QJH82Gk+mlarzhXqi1pmGTTcpMZ77aZectZ0r/uHBYWX9y4PDm7lsCf4iDvz9f//0jmpf6N5b
XoImrfpLsrU7TrzwWQ+aZf0aMmtwVpn050Mzm2/qylcnSzsCK47vk+wDHuwB2/T0DeeT+Prr3+Fv
1leftdyX/AKuQET448+QqSnvM4dg6AEv8hpt3kfUTwe7JSrCG/t/kGP+zW1A+imXUTlZ4yzpP16s
ZH8Aa9s6W+oR70lgBFve4uTq11/pbxbEH67y01ua+UnsNhbZN6kVx98EKAkOMoWhVwymprNfX+tv
VgRU1ezR7Kg+4tqfbh+PZKI1rhXmEpY8WUY+v3Ny4iBaW+JWjg3LboFpBR2KEMV1UIT15tcf4G9u
KXpzO/CQuKL3sX++pcaA+5rmD/nwXv/FHCCHjCGY4F9fRS7/zOeVz/FNCgfi5VjCITp4iBU+r3yS
JdcnKgF8pVPfakhHaNwIbY77mzG/L4P4ikPtGnXR+6J26aIMFpiZYWSeS3+TWMNElwaaXBvZeO7x
0u6gJ7crZ7xtpKYWnSKx1UhFV6KLDpr4x6XtOtcwS6tv2OfWv/4yPz8fDoLmxRDq2Waw1FWInT9/
l5mTRAXO2ttWbDtrrLX+itmN2swuyNlfX+ovty0Q7M22hbEL+QdsuR8vFc2hzLwOaaiXueoYTrgr
SSXpT6rm0GSBJtgvBoB/uCil4M9vNc1T1hvKJVZWxj4//1wD5z+Zm0O47bPhHuUsvUMFOzQIx+HJ
IuqAAfHY3BoqPtRqePaCIjnzhkm+JoqmZisiTrCEKHm+t7JC97rRWmxY3BZRmd4xm4eUHMbPoWye
SyKWY9SqjJPoepM0yPE047zoDePBSXsbNUgjrgN3QAudM/qK0WKiWeDkFItJnNHcW/K/QyCktTjX
0gBHhSp8FYTSQLqV33QVhI+iUpoX6BY5FPIJdjrbv1NB2V3N7iuTwvdCzM1VMdMLLBxHPYG66a6M
KpFnA5lNm3BOaCFVPsqUxkN+DVEdaHuVJc/IFwATdnEBgW5s+neZBfX/UHcmza0r2Xr9Kw6PjRfo
Es3gTQi2okiR6qUJQkfSSfRIINH/ei+WqyLKLzxxhCeeVNy690hHDZnIvfe319q5iUszrOwc92NK
7WAbmuWzUsOlDXY93yfIJ+s7pkuwoXgkL2zI8tMXdP1WHVOYrWjynCFyyGwLoR9jDRiWbpPlF2vy
0NraWdMxh0GaBefO/tVOHpxgoettasGNZiRJwiK0hngDlMov1zFPqU/2WccNPUIUmKC/VOE9sVqE
fKVxsKtWPdqRaGmS+dg6iXuNk6GJmPZsJmzRIUJiwPCQIAtnjwq4B91xGxHDaA7/ziOramP/3Az9
b8bt8jW1AZ8gTSo3YTC8lQmKi5L6XxP3PsVEll+bLHOuQ97SsZ9VXfK5CnAk4RKuQqe5Ish+nSSb
hAMk2X2nWkT3vQT1mgcT+CqD9GE7LWALlkJcIBKUP6zY6oe+ZZMGf4X8GwxduINaoPcE59SVALP1
XjWqeBtTZ8cGfU34kKj7pa5LdWW3qyf0x9KuiEq7meGPD/NLIZfu6sRz/6JsqE+MuphuJbHaIejM
z4YCHUlmx3jMuWid+4yGQ2ba5tpqSp+/2VNoWDCO5eMEWokV8C9QmC02nhp9UYs+I+G3h+287K5J
X/xpB3/+k92+w9EUxo7Nrwthmd1SP5sWAL+AvWNGfKfY8PUuM7PxUFt5/R3HVvJcm7wkG6dPuYAH
1pplduvO8Itl3XVNt15CuJX1JMXVb1DD5E29rAlywASc2+pvYOppawzufMfYAPq/CH5pD31UJqFk
wiK1QsVip9MbG2M1W80jWt6Z2VjiMNDpdbIcSPvj423lW6v0G+lMIu6dsNo/RW11rzLIvT2+8XIX
OnO9wTFts7k96vu2bAUJkNbbZ9Cnty0ppY1w+KLY96hemTkZp5Svaq0stHBtXj1ywk40vpoRwZjj
MW+o5I79j3s0Q7+OAInGuI34KBhJGm/OFGVpwh8wAHsOUxhshmkwtrkTBA8xw7iNVRs0oPv5jw5E
/Vi0o/cgek4F3oMLs4V0OBSluCzKdK49JExQ1D16nESPN0ipHnlTdck2CceRpQN8Anat7v2McX2O
rmD1D92tAP350jn/SMmr5WiaIMxE3eiITm22Fa6eeUAg2GKimX3pvurvBynGM6sUoNXneoSgYWDw
VG1HBCPbEe/8aPC7b0mdVGsG9OCMTNgbQzisJ4Y7ZxZ+mSsYEwG6MetXY9DAawuJiZFLaC60F0nl
xpR23tYp3VcnbsiwgQJqN0lSrS0/fzA6s3+U8XxkfgItQAOmyJ6J01Z8xyq/OubEYHhO7R9zmYpH
NWTc9AMyWbtM2z40+QW4Jyn6hxY+8LpSzJXxyj9ZqJRF5dpgCWOsL34PAlH1m7C1/1RDc0wssWbF
9k+VMlJN4fjtRtJUu9Ywn6CzMbaYhlMlhvh+7EEcrQT76e906ay1asYq/pSUZ8MqiUsf6sgMEFct
7bFjuh3ZYHUnnUv4gzoAxjZaiCQZOEd+TV/OaNoeB1RYQaOmgUwzk1l1PcZ3XDvqXZ1l+bF2jOFi
WMzFUrOqWOWv1Z3wdP3oes01yS06lSz4fkGvq7+W1sx36OoBLUE/YhDrpvckaJx3vmr2YfpcgJlK
ix1K9mWXeCr5Ci0ju2sC+PI+TdHH1p7JdJQq3A9pj+INGe/9XMzMbWRdHuhVg3qdRYNsIDdPBUus
RDg4vLO0vbbW3zyhjwCDd9bPAVBI1ngSdbFpoT96Mg+O8ERuHX0/O7KtPWMb6uK3itzXe4/AkJFh
YT1OEocedguehYmd7dy2Sz8BQSyRcnWzHZrAf1fSNA9pAoIHkiqP2wSmiZcn6yl35IXOTkdzta/v
cZyIYwdE/D52erFJ4sF8toEQXQmTOYdWj8E9+XDCzGEmT0MZ8E86HM5YU0CYNhh5RGlGKQOuPS/R
TdPrP0Epkm1VcF9c+e3tdAmTxEKZqbj3L743H7TrbBwWfVT/gKV8U2qvehgLtmVJGgUd+S8v3hh9
4J9IltaP3ZIKRjFN+Y6/RkQIOl7n2BXrGv4kNwNccWBxmYB2S5ftTJfFDAPY4G2s4XGGuZinfYN5
i0mb34cn9GQIkDlcTItw2Prkrw6NA6+eXKpLOKCp14tb8sKPu9ZQ66ny3AO2HvgYgfkWkG68BHz8
ijUp41qFWXFa0uYHKpIFEprkDISutnqq2v5MPnLva/dvFbR3Ml/kReSht0Zij0YQLdphcPg5Sz8F
C8qAfkU76gR7cTNI5glIK7ZtXI4466w52QwGeIbRCvuHrmMCR4npAWguUmsLmMhLVr4e2jNrCfGr
3/rWY1l25snuRiC7Uk6naZr0jwbug6akSZLnseKLMUxX/DqTGX4HuMTv8jTNNnbCx1ngA9ctPjuL
gKIyt9jzHPxfkzN/2aH278tBzwbYo7ragNWuHlXlV4ekyYbfAoZRjzDBUEeJ3HunGdCqlW+l1gvI
sCbKkjwk1Sd4Xg+0fxigebG5c0fFjCPom/jZVVbPL7+AWKbHUu7mxgFSqePGUyviMcuKwGjxWotw
eidGW0i2athCh3vMRs4mQwIGH6POwjOuzWFr58a4diiGEE3EhviQDY8gX8XFh2f34E2FgX4hH5mb
jmMZnkIUlHzxbGggelgyZzOQ5GMvrDGWhymnQbnuWq0eFMjRUzZkjySo/rh+9taXbo/rarbvWhnL
fd8v7/0CHEDDsojmJG/3vbPUG+a0cLRujxuT4Aq323Zpbi2iaV0RnVyrIujvmfJC2sCKsPUBi9+V
7L2RuynjiaHwuMU9x44B1G2erikjr5LRq56r7Ii5Vb1W03Ls45/F9R+D0X5mjvhlNckhmG+hRf2e
2K67L5FmX5vBDPbarPyIoLZ/XwxB3q0L8ODr2rQ0ETL2PM6lqVqQWuGyLwuDiZhf2NyTAlFBPW67
J0Pn+dqqA1h3rrL7c16hWV1pT4ivaSQ4HfEl9JcmFvJKyvIpnkqHRE9VfUyLubDcAGhrT2tp/B2y
uHtaSr/ZzVMNx0Epf48VQwYrwWPvp+8DmA0lwwvp3gbVlaN2vJODJuraGpJFNu4H04KkUXfYgIja
brxaVlMkQyRmubpCVw2hN4QpDFCU1wefsPCr2ZKLo1YZnIbVRBY0vXqhZjVThEt97KV/+RhMvm25
IKSdcUtGXGMSl/0XbdzlY5BtuP9rUtZkr8hizvmmtUOWtdzEECtwsv4WQgqD0tBk3pW6tYMi3Ta2
FeaGJ2O62XV9moYvrM7UGBN880iLombwa4e8uftwx4okMKN4uVrZGA04yX46mo7byenML97D9mZ2
AIDm2FcuxmD2m8kPSf5N5AEPDsSGk5k4MYFlIh+nIiEL0HL52Igkh1dhFfWujwMEkCz6HksZvBSD
ScJZ13+WXqY7BKzJE3mQ+mkRkMd7xRQpLTlOdRl6V1jQ5mdCiPCxx3l7sn2s73xK+X07Cj9LWSdP
wJWRznPJhUeSCXulMiN88Zeue/Zz8qPrvku/OViKM/qI6WU0ySytU+Z2W4u8zec4V1irqyTfJxJF
WdGl8mwtsoHVP9V3kJ6cg5J9d8ZudIsIot1NVR8D5cHro0ArHUcvAM/Dhe2NzJ8DAr9HKcKdR0Hq
G1j6uYUcmJD5AzqdPkHBqOXwmrt0BidjLu/qcNAh4LtRX5nY+bRTFqC52KnCo1d03u9oNXazWrIq
vTq8VK9NkM1VQvrQtg/Cpz5OCqrJPaPDCg93ipkHHlK1T6oxe9O6bD+azDUtIjwMDlZ1s5isDskx
e+ktga0e6/aGIAGaFeiXFDYBnsP7JiFvY3jI1i3SC/uBlPfKcCxFGZi0Fx6T2bZ1lsLhXdJI0IXB
/GpYVfWCxqRgshcIOLdLTHFYdefcnwDeBj4v/iHv94pvwVipQFV/+b+uF41sGbcb1CHEmkMEiBBg
ZSCIOgEvQpXCLSS2czdq4Eu9WJ1Fw9QEHgWlJm2+CxWjFFoG+8EaSoDpBheecwyb7EsgI/iohFG1
m9hipSmqK3ckLpok3Q4OPJddY5n75li7mpNBztilsAVHCj8aRRXMUB7qM9ICr9znDjsSr2Uc678D
cGhKazqH1Z3tEleLKAzEeAznlGD/ElsESwpkROOam7RhPJjC64KjBfblhs0S7305lXvoRM5jsTjY
vo20QbKJ4heUn9dkNe92oYINdeYIa2tsOAqWpSf/lKdhsi0r6M9dTbpQkLpQm1m3s31Pey9mdSBl
To+5FAODGInxT0QrTrkT6pd0EKyOGISPx4Z1L20E099FhWQlqb3Hu8Woyz/CUjfQXMEjcuYJS7Z0
HJz70i+XN8JM+i9ZcO9kLsL44VtvPvoYGhaCW7SpPAo5BvjduNVm7tn6PpMPms+69m5xu34ptoNA
IEA3THKeD2XBUN1BWNiQPnxIh9A816bIPiktKRf9sQn+ZFmL08zm4H5rLMDSm8AZjwR1AkA0o1ER
rRw91ksaEtMFmLZ3Rkq8r4biFixL66eKjeD7uBUy37IX8KdgNcMZdRK5ncvwhH7mjsWauzwf8Xkt
tMAwpRnykZBq8Tz1U7d1TCWPKgmsB/axDRofbd8iPQeGs52rpTvMZWNvFNnoDsZZ3b6xLsgcnsfX
q8SUjLYjSLyM78TSd+2S5V+sRlibEabxnreqBI7WWxelM8ODvdZVLHXbuMajbuoQc2KRiDHY+QlP
yWlYTsBKKQyohv/YogkOdFfl0R6mX20Nv602XkxKgJszyzo4FljYoHbcrTtyhLKj1L8i6JB3EKTD
+4zc++/glzIl3JLOZzpbPBlKLtYsT9g++0WuRRu0TdERsUnwq1mcVARwiSDbYtTft7+CWCR53vBx
StyEyJk9mCw7Dymlvcc4c16ZzuwSLx6cCK+DB6QrpgRfXkXbEk/Jl/FPSsoP0jnrYA9T7F+GpBOn
jjNY8G3FazBG6A/D3OmPA4KnQzu6Haj9+cPks5C9MlhgpzDJd143o0HkiJjW7QwysqcPR4y0vNFG
g/Hhlpl713zrdyx6woQKgeYy46o3dJec11sg0TXAAyD5m8XZsCY0SGzUg5/OAyQLyykhVX8MwaVF
MbC7n7mYaLeVaF9iRa1rTKyEO83YwQOtZnbBgp73gWERreRKi9KRh9VIOpRHcpfbE6vbi7GrTQ1O
r4VsiqnXVmfW86ut6bb+ofZtiZsokdaTCkCw08rIQmLqAcRdI8Nrb+nHMm6Ti2XTFwwNfIC+1zun
GDFAl/E6nL25xh0e1POe33iHv9BGSkCtzSs2CY8sc7yPhuO/JovnEZBvVYSdxaI1W7JPxLP3rs88
5wRQ3QNrnjbvg+VlR+j9ZcTlQG3saWA9amjYLQ/D8TSNARDVzjTmTegkTOsq6qurP1MVQzIajq0f
pt+yXXgAFyyFOIIxWp7K6qX0RP4sZb88Gob0X5nX15REaVzekiJYywJp1lHhsSdxk2vc9k5TVnRU
YT91cxVSz4I8pwRSB2vRGoacE0Tt2GZsteawjd2Kl0rospy1G7lLQietIcOlkAwQKQpUyWHiSq5b
M+lVNvM7yl+BtDqsR672JDy7A1PoAK+qblS51anfP3bwx/cF1/ua0zRoRsouO0W7JkbjmiLSOTd1
Hd8F2Hp3SU2cfByFdz+5VbMfc6vCq7tkazFoaiBdeOs2ztQlneqLLh3nxZriVdXan2ntfYUs45Iu
9KZ0xY2vAaEFAQujqRd1c3Hy+ljspUzMR1ULiHhITe7KeSxOqc6fqyS0IYQNCdQy23ryW9d9RjMb
H+BnLhujGZ5im00BFsPGRyh/5r5HFHqeeJICNalui8j9Y4wp5slbynKnO6AGdkmXmYaucxorF1Qe
wTaSvsiwGYZ89AHpMlMWxo5U9GEoWn/Xw85iZbL721Gt/MwA5VCxTxGOAES+CCPhP6pVjjTxYNo1
Klu4wHDlNb2hGFYbr3BHbhaS7c9gbbcL81gHuPEBJ469MWf97eqSDOVIcj3ouxb1XH7bRTQ4SSv6
T1DEzH5bs4XWrFRnBxtbPDQC63HT5WqIWqGxwkL8SlYdo2W1YfXyGLAXuihjE2YVkjOj/yhD8YOS
Tu7wK1kHUu386YC0KvqHqNbevb10e0NR39WdRHHbJA/0fmtmB+UOz+61NoT5h0j2yNFEOWyP5UQ7
f5iPNMBe8hBiljL9iMFDZKcAoeXQqwORWvS1rJJ37VT8OB34/dxpP0mw3bPNi4tJpjUL61j+WLFR
gc3jwBAk8yiBFpEefJuM4aoOkTWtuopJFlcP/yjAhkTtQoFMBtEnGEfEM7BKdiNv5QTuiemzIqsO
SzF3105NdNTpp63kzF2bvswHgqUYpsvKffIaWfVoFO2kXY0GTGPWXrp9Mc9wjqkq0GQaae7toCiK
j3awDPmFxYcseNAqj7o3tJ7xEIDMHNkkW+Uz/lXetyqilt4sQTAjrg0VrYwWDnhsuPFToxyWg/qw
Dnd+YB9CQag5AMDaCBuuIeaQcd4P/pJ+xX7MU9EnK75qU6vOno10yRg5WuQrvyQqSLGyBCQMROxG
fPRS6pNI5h7g7TDM8msofeEcGGeTNZ175iMMaBEli5sCluR2NDY2PVGvwycreR56JiMEztOQ/UKM
C4/ZOORPfedy2nJuYH7PFnqayLRZfvRSz/9QVdF/zbUtfjDeIzJ1wx7PV8i9WVPXRTZR1u0CHhcJ
8Gx1+0zwuCdGTDcilQPVIkBF4xoY7TuN4naD+7VlhNn5dwhT6OGDt4MeB6d4Kc6eWUO9Vc2Dk6FB
LNVXYt5clN74gMFmJesKxYU86qwznlyLpQ0i4JW8Ci4kJ15xyUfcZA0VMSF0Lc17f4YnK6aerLat
9myupEyXZvBxWbgbyvBzkMOjaKZ3wCgTWeaYa0aGnuIwgdWTgex2EMxxfcOtiLyWF3qZ0myU8IgI
2Vj9I8/uiidkTpeMdeySbe6b97pDD4t0bBnK32UQSIldR0dce1gZSOD9+DgsA3cwSZl4TKXYqByf
wrrqXmSvFhagHZrUhWjOGQEGs8hPGlX4xpp8a20FCU0KXccxWV4KmQ2ptGZN8h4hYu10n6mVaTTf
3jwdl06bklW3POPimzIWbjoeumUvOfKSKKBfMGcy3M8mWxYmpY7N+VPWZ7OoxFMD2pCLFv3T1ATR
Cgb3g7CrtZtvPD96q9MpZQF0bePQep99qrYyYpRFZ8PjxfLgteX7OFrOVS5WLLe6c+ZPZab5HpvI
eHLDzntHCwSVsWGsx5VoEVGdzaF5mgrDhIDo82MgD4ZXDO1M/ODQGvqmNqUKWbL4nA6yolHBz4+f
pJH41gaGYvFCCQekom13+WxHY2mZRzc0mBfoIX8pu2bf9mrcinJ87TTQCV3LFwbIO2UF/r5glrTp
l1ZH5jzj2xWtoMedGQ+OZKTIuZK+dKz3kBhRVCYDLzSYNGb7t1rSs2qIz7vpvPPtdl0h+dh4+cgj
m0Z+tAQpHfhEbRLbGdaapA2SYFvJLZJbmxqfNIy3Zqvhj93bpHBZvBv3JfXnu1mF9FY9tzmIzG5+
4GiyWjfZvEBGVhbTVdmEw1NBVnWKGqvL9ziNqRrwhN7jSipf7AkByg7nwBBGLEdgEB99cEGVJ69J
k587H9KUxoGDBKlh5GCXxX5qQ3YDWrOvoUyX4/K4TGm1J3g26rXN0u0+yE34xNXNg2sDNX/POBW/
F6u1oopwzZOn4oE+8aQwxi8uR5jwh0uXMzYb2JPdcG4YxyK1UdIFTe0eWptVkMhDLXseucfcDXMs
sTVp0OarJJkIjC9FzZu9A/MAVJYfeWTY/WuuUcgFwRJsUm9od2NgZVzr7IPnI4BfseG4E5obFLTP
zj5RwdWrhI1rNtGaZrkCMdZZavzWwDSj1gcCn99uvONip4/k9dikCwfsoeCzLtmyeHveSs6Fbczl
1U1sfwO5VbAtuRD7FSw92ItmlSOvYbdm0ESY5eX35JywZ/kDd+e4YfWh4feDLiHY9pzSOw/eE/nl
9jYZa2LrraDdcBczBVrjs0nAmjreIxHlFAZvLb6t0PdjJHc1D4+cLfp1795kwyO7r0XSj2t6SM7a
ZA1+pXKje2fZXTxZvD6vibJ4KUmno++w1I+CqBboTNuDt+mAQOeQpUE1uAezMXO6KfmcroNclE9p
qfIdjJnurYk562rTYaA/ViTbVrOZ8R2X7MgPUVFZTJbI5WNSrZNvlxzth4CU/jDbAFsZJxLiJ6i4
qjNHRAFx98g22d2BuVnfjEfzEZc4jxxZD/x2xroJvozR+KiC+VcOvnMC8HjhBUW3nm5SVBZddkkM
q+zXfdbeKgdES9M5XBhdw2Addb+rOTxZBG71sOdl3XB9RP61GssgQSqeyhe/wUB0exANJsbHYp7A
rPo+kYElvK8GC5mqX7bftkQvRM899p3uoTHK+YAD3o/y3GBtpBsz4jNJl8ZXSbPoiVdX+pZXynpH
cwmHFzb7RhpCbuM6Xh68qi4QjfTUl/GMpLErLPOd1GX3ki82jamgRLqRLVZwSFq7iYiNyd9QLsFa
xWa+Cb1lfkJErO4rGMI4BdFAs0uo76rJVNSjLM8zfrH+USX30eRUzdHIqL5sWRR3Ypbs73UhNGae
IViaimDeakyRZxot3WFBxfmVs+jz6mgu2hVF0l4biaYP6yPGAhmytTpvU9hT/2OwNnhIRzu2Vr49
ekWU4OACSjxdeEUWXKnd9gPwb/bthDc7XCKXJ9+3BxAi1DtqPTM+JsGwpmsMySPjf3O6JM8zCO6e
PfgqmBAxdvrJmkp9dsEpiLMZVMNdN1uQX4Ux9qxkhOke7zkT9CU3L7OTBFSSXmnt0R8WG+V1ZFQs
RVcPgsIzsnP7zBYCFxHLp2lT2CPvZ956SmqGmMFSvCRtSYTEIEK16Ppk1MaLXxm/DtHO51IZzWPd
u/HWqKf0dqsFNMYm36tptMPDDM7h2Zny4RFsb73OsutIq3Vrs5j8zu6PvgjLmd5RH3ebjCDK0anT
gH2VuH/nWHn38sI5zcbtfjCW+dnJXfsIocXcFTIpL2yA5VEshvxnAOe9bUYboVc5pJQqJqcDAas9
tWEqo0bZXRIR/xCHwtfNboD78VHKhi2Rbl7s79IxuI9pZRospywIIFMh1xVcShiCVbnWHngUqTBW
gBQkGlHhfBkcqQ6l8uj73BbgHL+/U6i00dlY1rsIi5qzlq8KdmJaWlearemRNT9nS88247P607ZW
Zg5Po3Auym/0pgSCuTaSKjj2Fi2NrPoLXG7rTTwzCijXO67R4W3V2W1g7CZmBEyv2jceXWMvkB/4
zX5IKf0GdFtBPPrbNLa2k3/b5saosFNN/Zt7bEaG3o3bzqbcTRSv8hksQzmg5pT3o1+/Tj3HDkQI
lF4MhgxrZhtPJhveslFvuesh9a1DMagntun2JIYi3xyS/ZxVRSRGdv4RCHELHCcGWQE6SVVqrPC2
sV/M5q5wXJj2873b0P2eLY+JEJ9yr4Mp27qdJI+slpRisu+zT1/N7dbwZXYK/DR/spl/PYuKirFe
gBF6ZW3t/sdSm9wbGd1vgKXLLyNJ3BMlsLldAskClk71yz8Sc/+vQVT/H9m9LI+387/FBtdf3dd/
+19bJOev8vc///vxq634d/n/Bpj650f9cxMk+A8hbFp4oRf+iyz3T8CU+x9m6ApMXRZuLUCt5EP/
BXUFLEdRaZpYMyyy3Q7/6V+AKes/hG9bUIoxhvEP3v8V1PW/ZmA9ApVkDT2HiCN84+D23/8t3Oxp
YSifE31DRnk/k0n34vwvAuAtKxprI+6uQ53/bVyGtf/2U/o/bGqg3OEz/3sq1fPAGViCPhDjRb6X
/7JbIBPhLN6CKdLjTfsbu+ByeoQbFM1iAKRhmwv4nhT2lrPyU5AUk1ZTwVsrWZgjafXXFagKiZ/2
RJGqPAje62Cuj3TkAZI26eyWaykF/Vkez8HFLZoJ5ibvxa0jYmJRLdGTxRv8O0N2AJR0SF1U3VaP
Cy5Zq8lrH0ZJ4wna7ndmMqaiv7XN2DiJqAiI1jTV41wivO+kufEMEvdsM1InsvL66LBYOqwm9inP
BJ+sS8FCw9nXxq0HPmU8NYLsWYYBf188T3oHMa+8zqLe5CqDoZnpU674UUzhYi2sm5ozftA85YNH
OEoRM7Lh2/EM96XzNel6DXTmIfXD9l5UpWBgOccr20s5qZVNd5UoabbCPCZfU0IIj54YJsj/7LRJ
BooWs97rjK5wHddd8g593ZFR3rrGTfri1JEzGMHDaOjubzxhmuRuHraS9cou/OnUiE1qHtnTlG1o
oqVmxso5xmtsHSsnedR1E3Obd2eml4VN8mmFimbcBWaQHG3H5O7KYAlTHHW3YwjvPKWIn810YTIL
a0lcoOn6gPi0eZ9qQAu9mgDGylH20SJvgpal4SFMypKtd0XObVe7/XQ/ZEG3pXdRRbe73BZC2XKs
pkG9NFXg9zzhtIFvyhH1qw0Da2130BBYKh+VsWNeHdYXaTusxyZuTgFXzH0Xr4eqKSNXqxCpK8/v
vWearKMTX1le4fmTG1nFtzQ0JQtsCZq2wfzAnxsbOlmV9SsMUMMbyeiD6HUX4jge6d2ZSF1E1DPe
jQTRygOMFfJYQVVn7EQNJgwtbdoOWdabqrSWSryKmQbOZslmL157Q8VAfeoCgs+tpvFe8yg4xKWG
VAs0SZ36Puk+m8rmhZQ35juN4eQ37nz1zU8mfdRIrR78XLDi2swQcDYpa9fvPMHhkaR9KpG3Vo67
gkQ3XIhb8LcsdmKRD8rDLmK91P0k9aHvPIzaUxS7AznxdMhItSH6mTdkF+0t18X5ya4X57GyAlBU
I1SThQREQ4zlpgH4JrHp4bKUo7oOsRV+6gBxQ5vy09u4QVuT6MD6Qd3FRXLoyH75fW9NNzgs8gRc
yS+gfQobRkDrfTVpBspOsUa1tqwW2KXHKNSkaG2sX0On1lPSqfKV+V189SbHf6/6wibDhhnPWNsj
AAMZZ7B1XGvI1aavKFNqr3E3eu4J/0uiy6wqZV6u19pB8L5NkwBXh9ey2b32Jt8GcOl5yyZBb7Oz
koGuLRdVi/U2mt+zvwzDDgVH+0gvr4HDJM3iuLAuat1mO5wiOfMkcCLFaDzMaqatYuVB/gp1K8Tw
ZdKCj7zKB+BgthUIYeGU+6UxuJASZ/NnTkLbhzmU8v3gTCNTorIguxhlkVzszhc9GClB5nqprPGa
Evl45VfKiF95JT2UQCFIc732CR9CsnaVOxIIFeW1APIEI0l73kp5U/PuaM50DjNz/hiB5n9ymPMb
ZfSMaI5FNTJd1BsGad1BoiSWkwLFYDCtX4h8j53DVI6v1GDKefPvMQoMstCILNREVTTEsajXcHmG
89hBDS3MNqOVyCwbuO4Q0ksD22h/pJ0ecF30QtCBtoyKcp1y8ZQhIbkY8LVeArifUOZwfAcbYDPu
+0jH9qeRC1OFMrmVSSlbfjR08IGTsSuSRdB3a2d5sGJGd4DAnPxMLWQml9ok37XhTuvc1YMnk50u
HKxvs9HrGwHC4t3V1gCg1qTCja8RGh5KWRm3mqXtKt7qij4YTUGfaY7TwFxB5SHZksGv5Ua8cFr6
BDQHCInUgIGIQJIjYIo7C1YYhOaPwJVMVlNLoojEUsmHBMtdmA0qUhjcTryS2k+fRNnJyFv/lYK1
vBvoRx8XLn8IYrVX7L1k5gmaV/38VgYWh54M0vHMRlCAhwIO2MsCrI4rcp40zYoFL/+nrjzvacrp
3aYAL+m4cuUm+9X77d+5HyDceY5KopQM92YAs3oO0J2QiWFA4BCXfKvwCxOSC+o0ynweO9IrJOTH
asE/B3XH8HuNXQiTmcNX/kXM79yPSbzqfROC2MJF6o/E/3J2416Pm57qgBoEww0RTCV8cx/L2RwB
qgfxlylnmky912GHq70ZWzIIKRw6zmTyiw7QVnEvnwICnRbf2xQn87uzON4zx6+6TDQodmyJzR81
z+d7z5YTYSdM6x9lP4XOytKkG1fShJWIjBgkRmT3FjZxPd8sP2ytt59jL7oLecSB3e/Yvpi+JoY3
j0YUxOnyIngjfVM5xIwlmKJjkC92Nm07FQU1EwooTF37s9BaBKrQaF9EIe0eUgLas6+p2+AmqtH3
wEPLi3tWwf0P0SfJXxgxZYIxvKGnAx4n4AeXJQtIEfBDtntYJpd0Xi3j4H0mUvLF0yW9UlwlE8cW
8SsIGH27FOu6UwSOV43O/QcTBEQTUbO7E4VeRbIB/pZLY7MX68kpNG8Cyp5JG9lXY4fxuR7qN5Ih
9I8wfZOit+ooLfWcbLkYwFbrO8MfjnPietTsTjJGDawQLypjDKUqmchhlvwkrH9QGHtlQL0r7eC7
sf8ne2e24ziSZulX6QdoJrjTCPSVdrnk+xp+Q/gSzn03o5F8+vmoyulK1Ew3poCZi2n0TQKRmR6h
kChbzn/Od6RzqhJfwDyjxoLGuxpeGn4P/6xc6xcs3vY5HyE7wn0KC2I3PGbb0O7xmVo2hwSGnoH8
AROBjaVVAT04buqJB9Px42inhoUgKfAS9JsEvgrfTgfEH25BbHrcOEuF41NkYLNAiBn1SQ2u+6pl
yxNVYsHhIESlDSY7tr0OzijuP5DklKXJ0frpciaarNNF/JZ2tNmuDeWOt/4FiGlO5bBNUgKvK/wH
FDhDu5yu0jY1PqO0U5DZ8ZXTC0BoYk2ho3x3WhyZK/qvjffY8Gt/7fRThhHPYRUIL7xUC1vSYyUa
PIDx0HA2ca1ZP+ucJOt6umA8p4jBwYpHAJk/hygQX9Pf5TyYFwBooX1goOlctB0mczxa0reDb3I+
TBddJk50jm+6tgnXzkIRxVubvOrRXjx8Mye2LkqAJOExWw3m1OHZoVBzTQoOApwETTpZMErphquo
RUQKNKhCDWexiqUod26KRZOYEamFueEPW+im1GsymvMhnpb4Z8kRTZsyHatDDMWRVodMuMBfDGOr
y0rs7L4rtkEYuWy5Q3QHegU1L0Ar3Ymu/Apn23rlSXR+dNpnW1gZDt8werbvAnAc9DmOmuREVgQP
szWl9daUYfJoTBZNWkrz/vGleBldzXJVUENU7UWfTa+RK/qn/gJ7TWdvnDYKgKu1sqZG/aDrqS83
QeFewdQDWlk7kUm2ldvNjyPw8K5nbtfYYKFhr+redhGHwTJgH6TRILZ5Cpni6irZWGrSP6nBDKiZ
W9hlM4vKqqmiRgGNWui1URUzN4zAldoH5TqjAGU/TlcuDyKH3oV9CwQFPEmeEHbwXFQrtrGqLW5K
TvPlBjzfYB69rui2seWnj1C9qBSfZsbEAXYDHJszFfIt+Tlt08xehxlRZq9V2lxR3YdNsogG9vsp
xUQWJH74VEfD7BAkoydpxUZZtIS9INBBg2xh8MUMbfFKNi0nJMOdeGsDt8ZjBruGXG5ObjxvzBPJ
oWTYyr4KewZbffE6KRH22GRV8hs4JiPl9oIdroySI6IFtlauYm3XL6Zyiifdm+LbxqV40NM0Nkci
X9Vbxc24xsvcZR8ZI0VzxzXWu6XNdIJOZFAVRyGnCQA5XljIYRVOmI0raM6bQUeQXITLaINtuG7v
sbxQoCFLHkPGovho4GlxzemXxg07SFvrVIiliGPqXPMpqDqHoW7xu5qXwg6QMiTiOmsp8hhKI4sP
3lLy4Xfaoyd+4AiZSB2Kq7QU5lXUYRtgWfbyo8y87o4eSwRXGEg4yF3on6thbLJ9Cnb6qMVibzXq
7Bvt1+xQjlPrxC3Zu8cSeoJ7aa50Wx9L255vxiTHkuqXG8nla1s7GmHHLfZpzWwKJIy90rZ/2/MF
uE2hCeB3kcDuClz0dcDxowN3TPlhIHPS5QDbMXNkGwJSiqoMbZLhoZ+N/snqHjNReVdOHdk1i1Mj
Xuupi/hjJrc419AZwaJwFwmmBTU4Zj49a15PdVtxIJRhrTPOl3Gf67vK78wXsyqhqrkmenvZ9a8V
jri1TAEmDgC3t2GTTTsPhFWQGKOGiaN8PMhjeGR+TcWDxjUKABok5yaMWgCRVq6ZP6Ri3ppdUd3g
cguv5gH307qOQhyULN6/RR/sWxxyP7jA87t4QBGUQxX+qo1BXAVMz97s1o+/BRvoOuANIq5e87+4
imlhk0bYtfgdc+Nu9p0gQBVvmIsNSd88lZ00D1ADserpcGJ0XybMoSK6VYfQaA6BnwzPSJf5e6So
8GRUMRk/gwqq/t3JuQYtCMrB3lURrSt7CjA1TALXHjdyCWUcU9UU31QSdueJkEm6GpKQDSwbLZPT
QANcZlcMnCbzTIT3AENEtrNESwmspwfuOGbDlEUx6I+4ZnJS2OTLnoltFCaW0xA4weTk6HzDGam/
ai7LjuSl/ZK+y0CLZCWcsRF0TsTyb8/ewSu5JhDzd/Bp2zUNN+smUFgPnMry3yV2vd+NB7Ft49ph
Pm1EL8JjOIRjeCBGRm8N9mAO0dop/N+C6uVNipJz6nWvb8BIwIAzzYSDqbIyTFylSwrVjdsUE7Nb
H6RynAdXmgPgf2GyJEYCpwTtpDGRyqZn/pSWweTtU4TsBkIQMFzY47Z5BqXFRF4uaFcpkm7a1cYo
v5Czhdz/P1E+r9Ovjsj6j/y3RVP9AlvWpegVl1Kmv//q/yt9lNj6X5S//1Uf/d19FP8gjl5+5E9x
lEKOEA9qaJk0B/uBhf747+Io6zF1Q76F1wHSBPHr/ymO2n8EJrcXAvOOCOD2/73xSvxB2tVEHF2w
NiHkmX+qds32F0LNX0VKyuDoAPBMGyUWrc9fRMy/yKNUCBk6z61860QSobKGYa9qv0jXkFHVucrQ
rzBR2SefqMgB07M8AuLMcXCXYXPNOEy+upqTJFD6JHvzGzYGHvSqPhZLq+0qFDkp7RZBaxcz47w1
E+mL4+D7GviX19Zf7uypU1+h710p00deUHWqhl2MlyRdu3NCjY9kJcTnnzYZvhJucAwrivi7ajyv
ZJoMan0jnKzDUlk4SUvN7ThWJ4269myyYBN35rJw9mYzOs09Ob0rkZj+aztr+zUKbAFk3dC39SyZ
fg+LxEf8Or4a4O4sU+OETnZRqPDKtihbJelcjSsMFilaGY7C4QqmLGwAfDhg5f0psR/NikvULqdp
qCChMWM1y2MLiVZ7ZkDOMk/G6DYJejUTe5gVuYfS9YkRtbrQt/5A1PpM3FH2HEXdrlg3de4GK24k
I6EujhFE2bCp/bSU9J5tZaT91kyn7lxPmekRpe5hU/uA6Lg86Gzi6GWXDrZwO012nLYKua5SuUyA
Q4Mbpw/g7is36rk5TpYqKBTqc/4AN/bFm8mZ8zY3ovDAJ+M+cZUYqEiPphuu8uGdTUsavtsw68Zt
35v1s+04CtcwLSPRHjx9foVDHt+MO3TjCyPX4B6Vzv9iWXPSrfIxVq24kvLWCKIUXMczv9gqr7df
W5WqVw4G7rDThUvOUpighDF0Be0pK1X1yOgaa2YmWvqLGk7o+uiOkj6TqIy5uF0WTu+yiKplPc2W
ldVb1tj+stwOy8rLzsIiTGIL7TjHiHuTLat0uKzXUO393+5lEY9mjxMSGg2Lex/N4ZHkSTZt2svy
r5adwF32BGbUbA+lb8IqpVcGZ59/2UL0ZTuZLlvLdNlm1GXLUcvu0142Ii5y/VUv5jFHm1q2KkLl
bFuEm9SPf9nM2JGqCPPQsslhLKCFwl72vuiyDZpOFd2Xy95oX7ZJJDe+g/qyfTLjWLB5NrtqC9Lz
W122WkQszFKRp7oNCiKayAongKBa1JHlYximhEO5fYBFZKZtc9XheJi9NHN4AyFi3ML01gEWej8E
IGsjG9ASi+Mv0NnB7M3spbI1cTkaF7ZB6s7nOOwLrsxs/O1oRyDIcx3oawjq0lrax+qXTjsbIi3O
wcIMxDzbkU125ZIoeoyTbCuLfhqosUGzOJbd4tekmPnaVJiB2OYqeqvBeCew/XHQNJ8OHtCzPVhY
dZgw0IRu2FE+vXiuaA0u69NAEtOZRj/fDQobHNe+IUN/LLOchiyjTR60qvzPvGDCv+FgTjRNT0U1
36Z5YcHR4yujdqHXwJzl1EoaZxWG0hFHP6TxGX8Tp8prwzCyFzlJjEytIz1OKCN3hWzlJbYK4KgC
aBYUaCWo8XEe0EhrtO1HPTanql9CWxTHj2gW5O+wHDSecteBR/Q+Xf2rRwmZqRrVbvNybO56e5B7
q2nyv3Fi/m+PNf/rbe40Rv6nw8/rj+9k+viXu+7j+3ef/JWGZ/3tR/+2yQv7D+EJl92dfZSlXACg
+fdN3rQcWG2wkGzGgX/f4236uJbjgAhdCEfs9byQPwegtvWHCU+OnZn8BFCb8J8agFqUZP7DJu+D
OfCRGhmDBq7peAuQ5S+bfGoZ4Tjnc78bC5W4G7ND+SVRmdzy3JoviSetV9HGgOW7OSjO6QXKLSoM
L0Kn2SN5+/S2QwBHitKTS9wZpvd8wXtHAMD9M7cBlbzQmQkC3Fho4EOUMb5obHszGg4lIWbx0HLV
fw682gOzo4bbpjJfkGBGYl6Vfkq9pnyK56r6Vl7g3AKJzA426yJTmDkBAlOquzIf6ZfhEAXEnGgt
QHNMvLDN7Ql//QV4Xkk0WfCCGv+HEtN9CCIARFhKjyUbdftQjQtAfbjA1BcT/WNzQayTeh8eywt4
fXY1wxhw58u06gJnxxRElMpZmO2GIcC3T23F2M+5YN3pQwlDOuRtyGUTt5rufoLC/e12bp3u4xC7
C4k3OPEEf8ZP4LbA4+0OV/ZWBmwYRETBy6cLsXhj+At23rsg6Gci3D9ycb9z8y3b9wKd9qn27XLl
LAR7WLDeXgO1TzjNGVfNBXVfF8L/5CTuDkfH50i+aqOuxT2bLJD8ZISXj9mPKOMFos8OgjLIuvJE
ri39pRbavlq4+6PZBzflBcbfC2yb0QXR75WNBrgDt3+p2KFnyYPmz7tCMlp6oBWLvsW3CMN6PmDC
0esYXsLZuRQDzDwcD1lGchAbYmVeGR0bTm0U9lpeigWA9XLPg5eYrhtVdiu4t8kGGc9HLyDHSXeh
ZnzdZPHZrfIvgnFQWqs2jzdpWTMnXboNxNJy0DPOXZkFf29kdKDylyaEeClFwAdNL8ZSlBAXpXh1
u6U9wbo0KSQNejgjOWh2avx0rNpkfrVUL4zYfsKljoGCN5oZ5FLS4NPW0Fx6G6ouOXseVQ4BIeRf
XVek1zEaHaavaU72rQwEtzubySepg+KNI5CiBcn2sMT4aTzSk+LCbGZOT5Z0XcB6RawCyNFc9ZVj
YG+fGaNREtOfdTRQ3FZVDwLs3DatLbfdu5kkN+OET4XrDr86F3Ox2aBirEMtvGQNTo4ZPrwi4RxM
XP0fHtOh5FUxH6Xxe0zw36JIk3sZOTrpoxlIRnRazURl6tJMq6NlCxIsDaU1b71ORxzeVizrXc1k
YzzTsGqEmyTXrcZyZzvJzs197Hecn63bHr99wECt8385c9DRXwuN14j2dEi6ry52JePGc/uk29Ht
lajduPgmNu7Q29M695GDd3oa8Rll5GNymi4qguEr4oDVCJ4IL/N1NCBira02M7FZhvxfD4nQ+YCu
E1lwdHm6qL0MinzcRTElUetUow6sq2lh1ZC94IadpPLJzArviEslbh/zvp7wwGL1y37rYWpAJNdE
pxz2+Wo1QQcDT57g9XLrLIceIMOOC1LUNdilWnpnYo8qKx6kGR2kx5JfkJixomEDAfenCzFFlb6j
obFnTd4feTKRR5uUUZwFBfseNbe6qYBBffvGWNkH8GlheqVcr/vEC9gZ0MEZQaLJcOzH+ZCySIz2
M7AH67l1S6QxM7fcXZG7qHEm1KB1IpqAIwNC/HoGx2Vv4MFnTF+TOcFmy7EEg2Km2pq8yoIvT5uI
Ct/EYaJajHnVYTPr9K9hqAR0JK96rYNs4lzu6YlRlp1fIQlijkBpGLesQ7GxGQn/HXxL6ushbMO7
yGA2tRZZgiPB8Md7ogLT2k0q+wGyAPF0jUcD30UV18eIiUuPi4AkjdVO6UlKDdAF8MWTVdnOa8mY
dGd1CMtzFfoIoRqhtGSLLIEam+bnGA8Fdgp7zGgnM+IZtWRWe3NS4bmppbGumBgwf6hLhcehaoDQ
1OqD+dn4jjvEfekhfRx9NWQ7sxuiB3bLVOxbK+ifaisbP1tEqW8cHvpJd6XeDV71SEKjG5Eig7Df
JkP9mDEMoa0Mg8lV26L87rnExwerbJ1NyRR3P1RU5a49V5JxJEDGzUsUS2UdEa9fMTVa7UYxQz3l
/iR+QnwUZLFrWlCi0DxkUsLqCkocHDXXdc1wWDnbYoCRzxSvPpRkgLcU8uobr28dHECQBbLdBIOL
xTVGm6pT46yizCFJVMVWc55Kh2BP3831c1voIsBTUS6WlaEB7Oiq4ZTnSQw9MxAuXY4mjBa4E+79
oCbnOmvz8LbqcpupEH1KbM3deSbB+ysbmNKv9Dg2V82Yx6eSBBGvZWKh8pyxeyhTm19LdwhveS3y
vdSh+ZJbPUoxfLL5wQ44X6fe1MhN5Ac7kGe/fWEXz5grs62OKAa64dOrfpngGDajJ4191klvX2MV
3RA3/MYmMt8ljGFuOLkQ8gyrkskgIkUbGinhkJp6pMpShMXDeuD7FuD7tszUvzeb5YZUqnC6t5Qx
N48VgOwr2627d5ueDYQ3F7D1KqrbUmw0qjFNAX4vPyG4uvg3GlCCBY2IR7oH8rdax3F8O7mSCYGZ
udUnwXz5FTmLYZJaT9SAvo8mZj4owNmOfEzwGMJwr1hfiuCqEVisVngD+OeUeAZezZiA1co0goA6
3jqt1p5Nh80qj6R372YUX5GwZWXmw7VeMPZUciuZnNdAPNBAGg5miLjemO6nWcsfrw65S+QDvzad
RP14uP+PhfaaswYruISzmvu8pnwAf8PUktUohuy5qNpqn7Rlf0oTyCemT1lc2AX8RtzXCkZRBZjh
0O/ZbJDIqfAK8oFXOCT8xyV3Ex66rOyZiE7O/NGGhNe2Fy5LOhnRl+zHAMtJP1TYvAV1Qit6EpCp
LcPrQAllXOdtfrwCwtdUzE+DvrptiVs+cDAFCZTGNsmRVMSYhVSBuYHfExhXmNXvYa5Kvm9OpXfc
tlMLuWMg9Oa1zULe8GOCdbgb8Vt5JzeKog8HziNF2OS1OeCRAYvr1vKIJDOyCHhJ25g1ExCSMOtX
KeL2azZr0vdOHVD3nHgD0H7EMfDs07gYGCrYkorX1nUw2GqRDim1ASnNg+0cO1vbjes7Vv1p05F6
nQ8cduoG20sUPwNSXdYdYJRub2Pw98uQTEAXYZrY0F9AFsgZp/Zd0EdG1M0I59sOegX4MjWqDylr
bxtQDFCvS3h+t05qdy5p8tLKwSy4pskgPRivJdQRd92juz/HswyfcMTnAtJdiLsQouUBpHKFCh6M
7psZekPymI8qvKNeDL88C4zAAmewfSzOGIwf7Mx3FTCmq6SoI5KzpRQHB6iVxFCdcCeOec8OZhrC
O5LSJT9idcE96TtSaaLS9qPPrrNp/FiRM5bpozPZ4k5PMee2BLfAPa3z3rAzw9nrOZIY5sTJfqDJ
shti/3HwIXiSyKeeBLvvdOs5bf6F5OM8tDDm2ImcOsbbhctu6w3wB1jxAEYWPWnVSWS/GdmQbywT
7xk5p7Z2vWn4D6bS/ns9Y4RYh4lD03ZrdzmTR8wwCaCUX3kwzHel2RmftSizR5NMUXqye1meKpD+
PzQbp815xhkfrebeK78dlKgXzP3ToZipCg4YgqUbN0jMbG0GQ1btfNT5pVGEVejQtqV/mHDYPPvx
VAzboqd9xpSePJVJF66DKTVxeHmNs7XIyUJStokmmHmpQRQUw/Q6C7RawqV0hgRYRgIU0XTcEXpp
zhRUBtha47Tb6ipOT9Q7mkfSH2+jCVomiut0M6eT4oXY7XtUk6lma2quxgRFA3wmK48bu/cpYs/W
m+w4XqUTgV9zKaBwjOTFzi2xcjtGizyFKFJ9+FPDU+x9pzuOQIa2rZDFzjWScS9oUdxH2DV/R1i6
bjGtsv5NIcV13cjt0JDuvi5lQkAmcd0NMXL/BmpmfTeSlzy2WdPvrMmoDuDx8lMbB+pL57K5D4wp
EihzHI2YT9ZPDE3inc9Y66CLMH7nONMz800e0oqluVe80GkmBaRRkFbBUEenxhvSfQPjCD6A6s/Y
JtipDVImOtVf3B7kEXpQToie7oftUGn5nbcoTttMF+IIPke8E6q3CAa0vrzSPCAwv6aO3K8tOSzm
4NT7fPiYRfs9N5BFVoUbLdspt7EmqaKjP3Uddit7Bh4Sx7uBUgOGOzgarsOUQG4SXELcBpWzMepZ
Go3+vYRlK9btOHYnv83l2WwSNFtwkSS3vM689WaPdICR+Wenjp547O99Nz4No3pxZu1i6MkRsb2C
6soc3xMVOOGKjxOjQx5nXNzmLLlODAl3IaMC6AX3EJaj2A/X3D4RwcOqffZNOX6kTT7e+bNNEYfp
y+x6mv3gQOuhe6wjMkd7c+xdljdGXVCszNu86btbypyafdTLg7KcjhOgqiruaY5659QZravc8976
qR4+m7m/LpOiPfVFVm5ay6SzK4X1/Yk/x/yMOW5A4Rrr3QQg/JqD3nwasNMs2q16LBP+bMBLHpZf
W+3aIgZm6HaGdyzn0r6p/UA/ERcdNgjcErtGYchfjDO9K2nZFDaWitHZ5ACGgxS1K8JgPHlhpB+j
mNCpKaS5065gd/N9ClUMy6dNsl2I6YAzhs3QDTMg01ncFTyN7ZbGI/o7ayo9tq3RgmKrc1XhnbUD
yRYO9YoArBtwGzYon8NDYJWbxFDDT1DgX30K4pFUj2VXFTcTCdZKspt8d7ahnXUOjuGQzWn1ToUv
8oRybIypBDyb+I4uLvMlSoea43de3jHAtN/txPBvIdFYJPaMGpeLWxD1bvgcjorbzc6H52muAjKK
LzSVaw9PI+2Tjwwbq+oAv09s6YuSzVYU7fw2JI13DFCAjqPqbe4LpKbusAjZ/mERSD5izwAYkYPe
WLnDCJbKgWVdrsmeG49WT7xY6sFds780j/SByQ+bHOPK6K3yYHvpOyVKycnpewnaSlHzbmp0Fu51
BQ7UqPae2mCSDCJmx76Ox8nqGbR20IDs3p4DitGJ7ewcitfBqizGmpesTW1z37BrOhh0iuXISK5F
N7sUHARvhAwVxvQeP/cqgy3z05ijuhGzG72aY0lUL6HCGTOLDLI3+p+6KxScCsU2a3Hg2Bj0r6hs
c8onHcn5ET178M/lmMj+VCdjPm7mZCq3qTZghqBK7KUT/ArLtgy3Lde3vYM4RxhwTuFOOBaNxFw6
u/ewYsfaaY3+n8fQQLmaGU+NgFFj+HO/5ghJOZuqh3e+cml3w5Lvu6dWldktcHr3q8iUeEWZwXHE
fsRJuvH2VV40N17YtF9uF5NCT5lwnMdWWTsrTIpvEvIG7BVQ5MRbkw6TtzXjxFlRwAxEweoQDJig
251c+432rA3WZX2d5SjtXAtVjB5RYLVbCdywGGX6SulV08SM/pwe08WJeCVDntQd+br3FM4T7qT2
xTn03MSyHZNsUewJJ5qbLvckif2uUW/wGZejcl+DaEoBBj3lyIFLHVWhbiuuL/zbsmNxB2sZ+yv2
6dy/apnYf8RGD8dZJTFRCewxnHDYoqYAu8yKedF4pcNmUfet5pXkm3gjbM4QD0uOcVeLwpnwwWCL
WmucaTvg7xxhU/gNR07iYInmhkknwN6e613Vmu26yWSDeywR8bvbTs2+8pV/gxtCuFy6SmHsSAYH
Gy8V3peP/mFsMrvIT1QW5sCYOfO8Zb1BsNjywUplre/clfSoHIoSNwBPsFM8VASKDzpy8LMlHXeP
tR3GsuAj8auzlS1ul74t+ZKUpOCIeJZ11+4juzQGnAcyKpsjDcmR2qrSyvb5EEAYjIpo/MXElfQa
Hqf+RU1YyNY+plD+1sFiB7VzSSEDbDkEtAH73wf1EdaTCASeJlcKn3NCHjsnvx+w9zDGzT5sJpjo
FuloWDsSk6axLgcSNFdhoObXrFJL2LbMfAHiagw8a+WaI3ZCjM77srL9KwSRIN1VwqmIaJjFNxEE
+xoLE4PSIr+M1PoA9GuqYvnShl722moTOLSaIlz1ehYYCXMjwFmItd/CmsejQu4xmquV7ETLrHSI
w6cy7bjNjzbLz+Rb2Wc0aQaryqaT4cw6AT0G/1TDA5p7pXUUI+iRfSzCwTnpclAz/e9j8NUxL3su
fDvhMpYCvVnlNpLeKpUBBAN64WijqCcj3+YgPwgq1JYTf4wBtI3R7tBKGZKKmwwIIhlL1k8W7Cxu
id2x/s+bvMICs/EqiTeETDCCjZ8oGumGdGhuwCmOsM6wxv3yoyzazEGrfvFN6uxzZ0I2iUllqnNj
2jjeKZF0wg2VS/F3hLs92Y22yjjsRRRordmWWFfGaizK58wZ3Ks5rGd7ZSrZwlVjm3SJhIY0U/nk
Awx7SXwPjTmdp8pgqMst0ogX4hm4YfLkxQLiTOd7/EB5Q6deCzotzsN+09JCo7ZD6kbXejQive5k
Nm9bM2PSrBldsaCaoQQMxNo5rLDPExPVpjpP2oNEYFBEPUMDBi27TjsTMakPqP5YzUkobvpZcrov
2Nm4gmGx31AMjUlBADP1iaXGuAxMHSMWTTUvODbGProGgOxFu6K04McZ4qETgYXymOH5d2HDjKS+
M0llHy2KBTy4poN1w7JJeZ1sjfuYq4Z4sdN52sY+aUfYmFSZC22BfOZa76Y/LpPO94IDmbfNUrLv
qLhuxXsMUjfRQfqQk5I5gCpJhl2Sj8FLg8/pNE9D/JKVCSdp/K7ZXdEWb43hRNs6DYL8mLGJbCNl
Ywxs5RBt1BhVHwx0jO86baanjIJkY5PUWMFXpGbkdCrYCoEriqKEFgUK+ICJAC0bYsEXh7nu08xE
+TwDWwRFTJgJ45yRXBkWw6a1rJe/kYyUs3J8H6daQhOoZdBmh2rh7EYEhROSjks9q6fuenOyF/Nm
7dB7F+j54PDgPshWNw/RzAQ6ubSQJkshadcu3aQS99FTTiBuPCUt5aXzpcd01kunaQmgClmm6ek6
jdyl91RcOlCTSx9qRDtndoPYQE/qPFt0pjYE+vxDP1IpdYWaST1MmlOxKqfkMWkhA6IkTh8mPayO
QSFrYwIPh6xESysDGYzjZLDfOJONQOHzLPEf6aJGtLj0vKadHz919GY8cRYlN2FeOmFNRlEGx7a2
ffUDs/4JbU7OTF7QAdaiN8vfdp/RMovjpNhU/ojYj2uBIs2lkHaB/RWcKDt6av/bfPV/UlTmYG9i
Yvof15Q9fZRp8S83H9/qr7PZP3/sz9ms+Yfj0e0k7NAToXCXWqQ/Z7P+HzYDW6asjonqz+zw7wYs
5w8qOELmtg5FYlSVkd38czgrmM16Nj/lYjzhsTP/KQPWP6ZTA6iGS0WL7fGn2ab9D80lHUKL8kca
SNO4ubMi3M+50b6XLkHFbpbckvMrtx/ng+qZ2f3lnfrfBFR9Z/nN/+r9AroX+F5o8544TI39ZWz8
l7Ewuzfg/4DGP6sw0KcWvcxY/DTd2HPBx0wJQySzCSgOyV6Bn0FdsMwvpipEFRquh9sEqYddivnm
zeAJmAnz6J04zTIt8FLnqu0AtKZdH147aS82qiP8T9MDrkZaQ5sN45TgniO4l183JWje1vefYMYh
gNCwdYPSi1w2j0yXXFiuJm71/jpOS6BCaS4B6sh5t5R4Azug0fgmoKD+yTJbTgUNwvc98Sf7bIve
eAoIgqzBXoa32uEovESRr+PcrPYpN/fnLCUNhzubMxZX11VS+GrPmcE7hayk+6VkFSKU60Ll7wyD
GwBqV35wAw4Rgdf6/aYzUqWPXPZq59RiJ6EKMnCifZxiMemoGSYFRRr/XRAX4RbHTPwBuyAZGbi1
C0nM4F3rnekwDVl/lnFnQIcDzH/P5XegZngyf8HW7Mn4ekY1rZk38aPYlvQbCnQCSIg7z2Pl9K8M
cD2ETXvJVciTqNxTSL3pgVwqNVOdSPdZa7z7ygyx0bijT6sn471CoZCs8jyj/tHPnBHQSzmON6pp
Zz6sPD8NYmTWiwlvb2PWUuusFfW5og/vmBRQSh3gz0/gtjOqWzRT2U7N7JDC2M6Kj7u3cvMDzz35
4arpaQ4JynGfG+Et3Wf6HEL92+VN11w7Ro6+H9AG5umEm5/Ri4PFQZw4jAiJ7EhlnScGes2aA1iw
ZgISNbvGKPj4ISHvQsU8Iw4E8V3DDncDFe8bX6r+FaO6eAW0ZV43EBm7MfZOwmq5FC7PuYxTGCOE
16+dqQufBr9OV0mp5Ebjtt06iBlIhmFDkK6lxZVPsH8KbKjsK8/r8kcR96G1GTyclYjwQBeTDQQO
SDJ9n+r3TCjH2jXMNcgcMOkFtN9Tz7tNLO3lO3eeySc62sbmVqbpfCOqwPms3EiS7qlI/gSZBI4A
z+VRO1HwmyF69xjoPnyWsgfyOyXKeOfYMZ5TAN9PTk6SdTPWYxvcuFDMyy2B4LrbRIMXMUszjHaP
vzQD72qmyHlj3jKGk3msP5tpBA06ZLZ9zjowRO9C9NN+DrwJ0A0+a77XfvbZj11xpzFLbehIL576
1PaQjttjX6XegYLOn1ly02JKpumbdpizk9b9phYtO0yxl163OZ1JFDuTXo0aDuhx6ww3fpg0J9NL
4RKr0ZLPvrbDryxyoqNR+/NmKeBZV71G7oz70jvkJjiyDZH4/nqmOBrKdAVTNSpa9AJt3Zj17H1E
81DtmDClPzbxMLRPXXGXGsQj9VbWB+2G/p2lmBVGScRbOIr+GX5GvS8GAthyjMu3JPPaF6QT55n2
AfeY9MhkTTORkKYoCFuDUrneN31fAGKpCoLpWLGt7gslo4pPidPFPY6yQrjPdp3WZE35ybduZgIO
DvknihzEMhcr17y1Eq+eD7Y2Zo7DkNCYqSIvTAlDT/B9DJ8yhX1yHZsYBVekdKghQbTvNmM2pB88
aSPIIaJ/LEiMhkEUc7Xf0qGNXzEB7Yjw3QCr3mDJLLcKbTg8ywaA9OxwXNy1LuCbhecqmMQK690z
vPCOrNBwbM0geu0dDK2bzBg0F9dKp8Y2iqgR+R/sncmO5EiWZX+lUXsGKJy5qI3Ok82zbwhzNwvO
g1AonL6+DzWiC5HR1dEooDcNFJCLTCDd1ExVScq7795zz3AQo0/O3ssOsQuHM3uAgXRm1flHklZp
tKFCCCg4gVB24jZTYxSTZK6ysbnt2kRZJ1qFQ5oCpo8JOq8F24Y3BniO8VTR7fcNO6w/qrlOtoNv
kXQztWadP/VTJzfeVFbvfPnJ95Qzfsc1Iz5iI5sx5i3tSqY7OZBDWUNqX8a7DrQj9tdGfIxNTxim
o1tjVyZmReJby+7DqAblQAtpnDe0SfNdpphPTDlbv1INec925nATdnO7MzFh3NEaEH4pnM+3pqSE
fG9jL63YiM4R48oc1fspHsnu8n9Lz5KwYA0gxrefwR6AehwcLvpV7UBOm7KWX6DM5zxmuT8PCNIC
JQEzIOaYVa5yMOCzdrhfsH6i2aPO4Uyi1rsakjTO63EXXEP8pVdjISTJofA8k/Ln0RPFG2zO5GDr
hQOQL0SAfGED8JExGS+8ACcvcG8sDIEUKStcmQtZAPQicnyB0tSBXCgrkPhKI/5zOTQLmUAsjAKm
AdodwxJLVtajz4uFZhBLi17IqR24m87JmTaegQy4xprpB4R31vQRUOgTLowEqiHAJQxIbQbC4GAu
FzoWnrlrrW1M698XPgO+t3rC4MCZO1S/t5MZ3M1XOAOaM/PWFdkQLvSG0qG/h8VcR7tSvbc7b7xP
BhE+zvkQvwosBqt6MfVGrYlK0STQ4cj8u+tkQUeoJE7ulL/wJKwFLVEskIl+wU0kV/IEgC3iSWKx
S2E6xrFmY8a4CebkQhUywP2eB7KWau+YNVQL30qe+wV0gT7UIhg6EOGsKwiDtuRb50rHGHwjfRwx
poBz6sxzAh4PhiotF3XxSFsrqPR6Fog7OMAW+AYH2F94jN0NK9q7fAF0lAuqw8kaXo9/6O2gCPmn
rh6AemC7wRHcYMBZAF6MpxW7tISk28pTggb4/EoIqT1aS5l0sHOHzkCsjy8V5yAOQr+XC2IERii0
kWABj3hWBoOEYQweydDzCx2tpCRlbUFTRYzT7TcmVxIlTpB2v6g1JWdSXjMnPaaQg78EUfJrJkVi
BCGfcs2qFPgnoDUTjB2OVeo1/Ghw9x15y8XJ7UyI/VM36zVZO6zefrzYvpvFAd4tXvABRWHrXw3i
y1HFW3VX4zgZCyfdZoufHG3Of3DaaHiFlISKJfs0P8WB3ZDJtzh9bdvFmy7jUo1bcbWsl1PIglM1
822O/+PQLt52CmhDnBZWhpMX5zsdP5jgx6shnmYNwngRNCssJXRq8OFxA2+ocCjYgUg3b7/Dq7m+
vxrt6UmankAMLPZ7NVowdK+2fBM7wEUbYaK2U1zXl2Rx8HdXM398NfbzuWDyxxyM+CGu5v+0H1xa
qq6hgOoaEGhjg7AA2ch+3joxK7C7GDt9taHtjU+9uQYNsmvoIOdA7O7cJYvQX2MJGnyHuc16y+pP
kEr7YEeejEMHdUMn3ftFwLHHHDkBU3hCFNTBvR9lSINET4JnrFPWG0tM742LOutPguJILB8EKuZr
tqJfYhYT4MLqjL86kYS9sIeRGlwYrUEathxZG2zOc1UYn5ie03EDT9inZ8LkGLUdLBBNa4vJod+R
KUeW5DMhCZIQNngrsCW8tqxH0wuDP6kRtxviY1G3dJq00vg2BUUk+TVlYvJUOU7jwK24XmIo9rAk
UtIlnMKn3dyQKQbpOi/hFZA8jCCqsM6zQyo7dKPuAgsaycm9Zl/407cTvwRkOM8ZbxvQo8nGT0ha
kzsAmrFpQuk+A1WUyEX/PI+Jv0dxmDJprMbyS3QwEI7DOPrXcayydKeL1EEGYgF2BCdMj1X1JEXz
boflk+VWPFj9JNxwyPxBodz88M+v/3dc0fLynmkGDqc7E5vA35JAeaSsMh+MbttGSq6wyFQX3vzi
/M+vcp1o/2Xo5GUWTJQtTF7HvXqV/zJ0TmruLXq+UAvjjpmw1w2mSMM2goOTzOSvMXCUmIfDKvmC
3WdYUExIBa9EXwzvYpxcVp+0m3lN2T3muONulrds7TmmdWsMzfRuWQwK4IfjCs9b5nf3tunV0X/7
5f9Afj1PDcivz68yrTap6tr0V/dXYYXoWUgU7f+sx9x9pSr5/E/+yZ9ajP+bw1eMjYpnLrZ2h+/Y
H1pMIH5z+NKBBKMEi05FD6HkzzCcZYEDc13c8L5JxwCl8f+hxQj/Nzz15KWdUISObbvhv12ThvF3
/acAov72v/8HEeR7HFSd+vd/872/CyLgGAIR2AR2AlZx3t+JXXTGy8CpERYaTghUJJQux31M6uZN
4jN4tL4Kd7oREWciF/nDKsroIjzKUqNilGfoBJB0R7OEqmTDsCYKDSfastgJwVgf/HZvVRwrRpEm
/oozzbiNsXGBf2UzeWL9Id8pEys2GhD6MbWL5FDmGR1NZQ+YROnFNhJXdyn1FN1Kxl0fcmpwuGeW
7CQSgDsOWzjLadvqaAWFc07HFHYsw7FCVraNm4HODG7QkKo5g4aj8c2Br6VwhTPUT+7U+JDNgeW6
m6WnWoeLVy6f60vg2t4b+XQqz3GucGRc2F20oaRtD1/K1vEGc0v2ysj6McxmepO26XPUzvPajcse
9q7XfsIPSs6ORdAmarsFouEUN2aaWfuxN0iw+QuXibKaYz8ZyzHRPHb4aXdAqudtyFu3FXGWsCIA
do1penhsK5wWtHVRzDoWZwv8I1Ni/mWBkYKdUqeP7PazYyWQtSDoTj8o+fUuCQFADlImwfl16uUQ
ALLAtk95nULkUaaN809paB608LnB2UAdaDgPGU66KgohcNeNAxuVMvGDFxHP5r0HwPkx7IsiPOIb
sBS+h1je5bi2MJaR/f6s/WSQRwjn+kyJNztzkz7AO7xE7OJLCRSSkTnzmzOTSoEuxADHHsZ3dAF8
Pg7vVQ+pa+11vhPsKs6gJ46u2TpqyGaRegpkSloN8WDnOawmYfhneGeUBdjZyH4YvbZ2kYJAXrH6
X/6knvgFQLaXplPu1u2C8ZKrsr/rhF/wUZLDmlbOGCxI3qHtnwKBtWhVprb1RtDae60b0Q7rBmLn
Q+iG3p2HclFu3DaqD6Q1ikPJ8bJZDxpjEs/F+CcpuexBpclSo5fEkhXJNLGB50/qd7oQNbNxsbg/
PC99TMicHYhNmQePVeEOgadk4ZojE8rGr28wvna7uH9iyGQ4GajEw4NUD3Jcc5jtb3XHeyzwkH6w
5dL3LmRgRhiOIUFb3QEzuQWTIkiFjzMRRBiiaGC8ZUZbr6HzSyhceFn3BSxiruppxIrUtgDl2XyB
wGpaq523mpQjCJRmxK1OavLbz6IP1rTtBTtAdTPIcDzGDWkMcLS+RKQtHdKYNEJVs0LYYwUS3WUK
Mh6u26g6w0GhPI/yyBQZy0z9hyot1KvI26TDbVP4N6hK7TtnR3Cjom2YZH12nWe3Af0JMsFSGmth
7NFi09vB9MMx+ZCeiGoMG+VW9VcRDjXSlkBHbS4B3/2QvT7rCfFGb+k4HpNs2cVSGBhItkFObv6y
vSgC4lvjjtq4E8uYzmcMIxPgB+UpNfjxa1P00wvZSrFxdVe+CWt0ylNSp7QtmyiH65m4GztzzW2a
gg0bAK/v6uIN3XTY65D9Ivxs71XLcLgIu1M8pM3qpWhdF9er5eEYCYrR/PL9zN+rMSpu2qXnt4fk
tuu7DOoEmUL7rubB/7NSkfgo4NOv/bZzDyNXEXdYWODs55rnIbWwhhTmDGhiXTiy/or7rn6YHS/6
zgw1HXJ201/tMOL5sUx+sEC/ibeFjTq8H2PbVc+pQbaSuKkK0AeTOhgfqfvw+62v1OjtfMn/9Rhj
wd10bIwoPQZ56h0ia8yjTamHsripSr+xjiUb7HK7dBPolcjj+RnT+JLeSRzsR47jOclGBQ7LS050
cc9WKcxvRszAPF5ie9dAWYP+BxYVt8miMLCuZTdV81EW8V2hyuLSBgzNhjOOI2WSKNo2D55VOajm
pL0MW4sG9L+fxrFE5m6HF3IBMcp9iCQxO1bzQ7f8OWvkXTbRahgbd+NraZ9jAk7zTvrlkjctGj87
5HE1lOsoLadfpkNBKOaAKfyZSAOvapNBe1k1fjJTiSDNKtxjMLCtrVlOE65WQEA0GCYMu8r3ASmC
BPeTc+TZSbrxtI7xnXGDT+/82mzZtydDfcxmdNyhsZzhpnDq4WC7ID+EMspzPRUpngiSdJgksIJl
NbdJc0i6R3/U3U4Vrfkpu/nR6f1gCTxH+smkxASx0VBkNcCSLSDsqocfaDE8f1LlBVArb0bvrdWu
DtcO02l8wAXRJ1stvRnJjcKEmXt21q3NaYCsDcn0xRXd8NThx8g3NeLUE2ul8Cy5hlejYTmPQknn
zVBheeaG7ZzgjsKvydqY5pfpZg4LthDaS9hcuzle+vlkdVywiHvF/FUWNaO3th2wTmDRvcVtXCpc
FXyU8Qq7KBO3aply9lDx7d85OE0aCTwopwebkukXN7H75aebwTkXpRfvU7y5L9mYcb/zceuRVqjD
rt3iIu7uIJZhHTN6K3xrirA8CMzaNQYxU9oHjFwLe92IIGF5Cee1VUna390ouPELP40w150a6WXa
Br0q8NHl5l2bEXAlpaExfrX9VHGGCHHcEsfRHxLs3J225oVjHc02RndXPSnw9p+gEVzw71r5hMJj
TJimWZIVSQpLyrUFn+qOv1qeosQw1cFrTHIieaLVtyoSEzcOpEwStSi1/qGelo6sVts+nQzMmKyz
zYQbtjcLA/dUVw43/mg2M/VuHTGE2BXNlwgsN1/7VV+fVCLtZu0M8hfrsuLA7sP/paGHkWgZ6RtF
TDDcBYRUztumRuJcZeBSP9wobi+umfVv9BCha1NGk930on4JBkm7YIFdX2x9FohnADDZNiv7TG8S
GhNNxwJXAlnvfa7q+tjKnM+8156md6dhZ5TglCKFgJWs1BkaZ+Fhed5VuZb3WcqibQWy1hBgnbIE
I57EFZLqvNWYWUIhgCxYw/uUlJjSgTpk8dYI8IIaThC/QJFNvnXR2VzS/dKyUOtFgkrniq8eCrjc
oMs1krsyHj9IaizXfWF74SaysnLdU7j82uORWVGM1+5b6gFWDWZH6jAIfc9TsudAilKfe2rVZvid
ncmDDGfOHorP2NUnO8BHjEHP2ZIy5BbIIk/RnU53mxN345rnPveTnG/louFEhy4umkvdx8MzXs1h
TclwubGFM36E0iuKtWpN+TMmzUfiKUnsX2NJ81vEfJzX80cSed89hckYW8yY/L7VA0Wb0IjwvcJj
Wyz8OJOjEu04T5N5P6GWTFuja813FM7RfEsk+EJWj7Z7b/coDzM8BPJfbYE3K+4aMGoDvn9QfWGV
/2xid8QAwA1iMzg12qMXJAaW/jpsDi2PizXLlvk4pkXzWIfp8Bp1bN7cAbz6XmWcMqF9nwFdJgat
RHjlDoYqA/anVUXOprLC4Rk3Mj5ilo2onn5e/vThgL5baU7LMGxE47t1DLKTgQVhEoBZ+8AdyLTW
2rQbUiB5re7NZggv1DuS3LJwCt3n5L2eECLcfM9+EsMqCwP5w4NJCJi1ySqx4YA2fQTY+34Bbufq
8DtMr2cuPA6GaZXUn6Gn1bMrKAAE4WXdl6NQL4EdYCGyG02uDDFt4jnLooA+XSPc4/4eD3x7BhoK
E1N/Od0Em34heZ8BDpVQglgbLUV6Q4AjkQVPv8kUJaVszJNDUZQOvY3Kj99ZPXpAWgcq/gpd8AF2
tQ2cliOb+AwDpU/CG+KbAbRcsQLoxRGs7zAGFuUMEa4w7QjHy7R0Y4STumAnwwYuSf8ZMGAjM9wn
lVN+c5OAuTUM/k0RmJm9mUZZbXnP8MrT0kAfBaEUAvtpFUUstepX0Or9mYuV8iOMn+u+scVJgHLF
okQVWuLqYctdFX6sb1iCTlGYb6wQlpxWPE/xC80I4VcMnZkPnU3rz1G72aVtWNtDhWb/uupVK35C
2KDw2UxItBi5RcyGuXEg4ratrfHcRgANJQXrW7AIBaU/c3Vf+15mrXuD5ghgDNxYgOsdh1a1a5eb
JK1iJiT1QLs/oJzMP8dCliQl6eRdKA3Zz8ain55i9vgJJ2H+bkWl+UQYj/nP5xly24MkHvbkphQO
Ud/q8jUXlmkh4kHK69K2PdPR4m7HcqC10mSnHXAoqKonwkFwbSHITg+hL4idomD3G002/jzFFbWZ
tCsWxPTs5DDOHC42rVfMCaqgSr5Y9XNYJNy6lRRO7AklzjFtNFVyjrH03nsiSo4FH8AzYZbiifuF
vMQ2fwYnI/q9+5zVMqgyjvcYsZ5Zv50oSWKiEsWHn3G3HUMnfpL1/PIX+eM/MVn8b8n7EJYqGFoP
L0noe4us8VdND5eaLJFk533eiuyhGeaOLa0nNkBr/RPcQn8vqjHZ/POL4mj5F1+HF/qmvVheQggD
lrCRbP76ohZIrDny83E/JHFx4ZTR3RPdrje2mSVouiiojGTekQ2r/P7nV15AAn8V95ZXRjYhs+07
kIWcReL8i7jXuO7gF6Wa9+BMbI46vgMovPaMczvZ+bwqwqj6ur7if6Mr/m9SHN+of5Ti7nWVff78
Fynuj3/yJ5fK+40vJgOZZYOpRx/lo/zTFmX/FiDrhNCq0JI8tkP/IcXZSHFC+FyPgStcb6FZqFp3
yb//mxX+5jp87vxDvuyeZ1r/FSUOxe9vXyQ8Vp5r2fCPHZf/OMtX/C9fpCUQ6ZFRqvZa9+rQilx/
LkskuMZ2dA9dQJ0HaVKki+uPRFaQrLgTxMd2DLIztCixhqZMR2Q1uV9haxIsdHxj56M9IpZk49nI
q2TLKdTDp+RGJ6dEE4vH+dPTDvGJdGNra1p5Y3k2DEiQAA6BKNekAtowRVPgHsrx8NWqnS8sjFDk
3fKUq0buqYESCxeaGLpstL/G8J0yJvripXBTIwBjkxQnpsjqhtKN+Y5bQPmLPkbwu4EHvyHlWcfr
DXdAXwzKUQyAGw1ZnlfLZLNBYzHHVHBCmzaM8h8UjoIsmnlV2tcBsuYcML560+6PzL7xm1MqXElV
TceaJ6AyV+VDk+Y1UcikO2ViKnkWBOOdNoKAmkIX96JSTNlkp0d9j7lnPBi5V53reND0ACiXzWGF
uSjpMutlYv6L23F8SmlnvFUJfEfqjuu9Ufr3aBf9Sxea8bcs0vY99QbnoURZXNVmEN6ngVyMVNSG
ll6UPvVZaR1Da3rN/F7eJy40c6CB7lHzXp+7MkovfRJUrwOaKmqDaQPtpfCZr8a6BQH1OcgmvU2S
gJlKpkIAiR38/olFVXlLpyOFCyTF5jTXdAh48t0jisbUPDW/WN//PmVTMG/8cHxLrOaQJ+5Jayvf
po0QDz1NXdsUfu595g/hu8Ma8AIk1TnbZUt8hsLiL8QTWvtyWNlLwMG9nSrbuK3mhhMHWrX7q3G1
JIMSl0c18uABbD2cStOJbgeCtgfolKRjREAIHs/SjZz876g9C+vdznjlBf72xNxbnwpXqc0cVb67
sjKNRSCe4hgLbVPNKz4Eum+8Or8Nk1ntQ6qqXzAoCcISaMKxU8s38EnTbTGF0SY26VeeLNlvYqaq
te331F8JPiAOIlZ4U8KLpeirbtTBTCK8+xX4yMLwftdkn24XI+BWAn3aYY8e1wknjmPHUwEbj/8S
OzTYh8Q4dmnqBzs1tf5zyDEeBb0sPr3EkCylgdeuXcjRzOZMRVnLjCApeN3NlWGsx0nT8zmZeD10
bW6dGVNSnE7yBrPDBHmSHpkC7ANpLv+uGtt9aVeEFQLWehGmuo2bBWu38xYwZ7OfAWdSN84EArac
UXQ9WPVPN5n2nOup1HSJuDTazB8Y/VPmZ5IYObOOI3I6dsSiyERpdca2FXzk6Tj1DFVV/yBSOTxi
YftwvPJnhRHFndUFMNqvDFru/RzlwaExWmeHphhx81l+YtkG9noQAwi3+XFQzmNAbwUc/LbbSNwu
T3EIQg40ZbVCXcGjnxIgdetb6KzjlsmqWgvtQbX1Gv2WUEG7MlnZ7tvcMxFMkCTqqRJnFOfuVCvb
2equ8b+7II92IJbtGyZhLiaK57YRh80n27d4V0cHlsUUjmvVL0BtLEg7vsdLA+jE3IX2Mr7FZRQc
qSxLtkVOha5l+vVpxMaweMrVvqdf8JjXLoZvjFgcHii33Ec6mu+DeHZ3jAlA7e2YdBPuFxC6fNpT
DpTEheQAzz/p9nkoi60R+TULa+3sLe0SWXI8+2eTCTTbKa+nCzOYWJdYP4i71tEb5/p5jV27uWA7
6k+YcKoTYaDgkJRh9ZPsQHceEstcw3k2H7nIG1YJCXFPWF5euh6twX6h79uHNzMVzTavRo1kCPbs
lipGQKxJGti7rGemH0mWfI1h+WIPUm6bKd0bwL9Io6gDYpS/4YHhvveV8aAXnGfKXx5l6wSOx6J4
QDmfsb68wymaUbqCjCRl1+3qOgPk2RYhECLLpbkWK9RKhZrrv2Muorsh3XeVa94rv9jmJppWEodr
A1gsnGn/ojMaDugugJxhO+dsBgLK5uypwgV1dmue3SuXUuMncn7pIj9+5Ywbh6GOxQbTFh3V6UNm
ezBRM2OkDgmAc6pMZ4eDZN7bdAbgZeIO7gr2HyNxIxJDc/+NtvWQ9P5LRq0vvYP8AIxALFWbjNvG
Ko7KzD30HgR4JJxobXY0Q9HiTAhPLcuVaPqRUlb8aHokoPnp6yLoDxjIPrqcu36RPnNkvYVzvK0N
Um5AHMstM56Jf5d282RUyaU1zOw0Yog4+pknWQTYzhs2TPtD2dmwSWWQH3lKHKouap6oGW73k6T/
mLqFfliMVVXzDmiVAnVv6u78cmrOteF33ywosPRDU+ExOLHRyctqp1yUDX9W4aPywAaQUNl6pn7X
FvD7rDzrIZtvRRnf1G1i8ZgtKgDuVYfXWaa1SQSFmyrIvRMctwX5qi5sftblSFOFlXTknTJ7T1hm
3wrBiCozm86InGy/oByexDqh+qChGyaIWc5k30QkQ3fnVWhsCEdW+2THg7w0wTfwClja/hTdypEQ
7xC51tkl4lTt+yHtvA2wzu5z5jH0nc0m9XeEQ4hlJg1cHKoteLxhEngm60QawwxtY0OcqKTZs0jl
w9Sb3WZqWEfSRQoDoluCfynG51duPdkGu9i4VxIDz2BNw960EAXmABSJXjq1gfV6TwYwy2MZTHMJ
9JG2j42dqGcaanlIy+AuMFyNLTQwXukeppSi5ogSm8130Yzjc1P6xZp53ttpp+Dpbdtl+MDi9XWk
8rKuoOBS8nrLHLnzNNzhztbvMIJf2rkkhV7l9oNww3pXhdW047EX3lR0CKRbRF3/PXOh+NQcK2I3
/5Ulzh42wGFWkGZS/zB0g0aNdap4MztlXHJl1YA/em4YaHR15oLIMuWhJvQyGeZjbia/eKC9shT7
Uq6zX3Kyt+R+5S4WDl22xG5XLqwgnrucwqJk61aev8noH7xplLOUs5U0KU+OvI3cZFcgGSabYfTV
hrJxfRubDlayRg4CaSNrNhlJwGduv8FlmhVJpq43HOb5ECyT4NTpJBhd8/RMvsnY4BCyD3JW5gOn
uOkJ/8q8w2Dn3otgKWDLvpyYA2w5Ovqs+aDXstA3HsCIk5HUxkq5brHCZEWxc0OsJrLSbiNsMR5s
g0Jd6CWf9PA0AAqK4sLkziN6qWZmNQRXTHnjpp4T96KGiOYnw5EnNk3WoQGJcpIRzfDGKD802blX
IHDBxupZBK7yyYC2zrL7sWUwvAsjIWCY1Z9BUfH7hm2zHXj60JTgHVnRkcmU3btkdSz72t2kFsGx
qcTH3BGvj6hIeXPhjb9X5WBsUyhwL5XTbkpvWba7E4tCeMjGNyk0ljCp8B6AqsfrEf0G6Q8x9kSI
vjh0knWd7r2DPXQeb2oZXyBHNfd+wEMqrouN3VX6rUk6eSHNSVNjWrNJdOWiNHvS4MazcHaGHEpB
JFu+O9TPE/2N1lT3GKSr83A9u467b3odvVRTIh/M2Ao2MpHRo9029i00MEjvohgea6uo3tqY7ly7
HNgCu+70aAGKX/VpV3zVpYDsnXrV7yGiy36knGgdSE7QbGicCwVqEK5moyo/CaJBJuvnjAAvu8Iz
LRfpUxxzykMHlekrED4eGUXD2l5H8S2JCnMf26V5K8jj4sOJbfKHSh2jmYJIaLXxj8qZAaoguW3I
M5dfjtThLTFx93USwlixfKVmx9bqI1QyfsyRxjFbj9ZpCAKYKZlIe9565Dpk4nTLFUNjrloerlXy
oDJnN7duwoFNqVedRA6y5zjc+pD21t4gq1tHEakuTdffzlH0jZ0bLvjcJN6uKiaObqMd7fLZCz7E
iCMtrkr7cZg9tR07Ic+xyjzOn557mDrX/cHIKjFfxuF300XWJmQAPGLor++8OE1ve5GkB9fpOJA7
lTzVBH54ajjhDtIcGpuV3ufGULGi4GSOo02wFhWIXNBnbq25vaNUx6KrxFWr3u/KUzDn1IM3Vnjs
EM8v7tDmv/OHym1EpfkZVAquyqIDGjIU0+9uNP/qaA1bBQAZWbAHMVtfupN4lRQjBAWgZVFF5yiJ
b/sc/70U4Y0F7nWDjaVfk1tN39IFSzvMxUcdUNUBEM+/aTTLQHfOdhW7uHVtqeG8DPlkTapvMnt7
YFrhue7CaRu1mMkaOCSvSWIZlNCNcC0SrrlN0SPbe5LSK61bcXE4gq2lZVUvMQd4apfN/jU2XW9l
SPOJRo5oR+9nMER7kcv8RIjpIRu8jR8P3FwmjuSmuTNiMd0S0ZU7ilxHRNjxLnPUT76eIziBktIc
gETsoFuypB1Ek4H81b6dhc1SwKyolLH5ohYRfXQt7H0Cyh9zYt7G3D+3Bbmq5WyQ7vDsGNu+Mawt
c150CAjRbnInbR/6pkgJfSp56LGSbw03K6lXV9lJ9KjOsi+DOz1Pzp6OHLmu3Pim922osZxG41M6
ajGsYB2AWckJS2zgzSuoL6H1RjvBelxWxrJYuLl1ERO1NBBDc/eQ1Be8t1Cv4n64lNwKES+NsX9S
blZ9UFDCxWMnIvrVRtVsrKLEB2ZlJhLnv9lnD2UrjMfRccuuPLZOD8CjS0ziWHzw8LHy6jbrMvGD
J2B7SxKGMRdL5LrKckmbWSqwyRMZeNf2HL1aQpNv6plbSBsQY1mV1Ug3b5uLPdShbk/s1cNTM+an
CYvt0aXfg4I/x9nr3mp/eVjJaeZKdPpRs0Fkz1KCjWoaLkYM4QfemvAcSUGihF/yEFoDuywPcH5a
q27DD3DemaWH116n5ROJUec29616n4iqnlee2d7ZfKYPVmnxy2Awfo2t4bshcrZlEkpPidmLu0nw
3wjDsqW17R7dwF3W1uj9dzxtxRZXeM7IkdDWMBkXmGB4dQFa7nwOFpiPJV2uxeKRtQAPckyHpXBr
NqH/5BejgYvLGjhw1+UNoOktfg9MULHLHauP04M39TkILLglYVc/Y2/9bJvhBnu+QQ1t+pXnTnb0
ZXtT9i3LS5YEzcoe3xTDT8A17NtiugE29qOWlXEilJ384db8f617/n9E2udB4vyjovn4mX2qLvms
/kXU/ONf/SlqQsf3PbD5Vy/gNdD5h6bphb85AZOu55oCh8XVePinvdA2fxOEH3EPYFxCDV08if9L
1LR/w6uI8xD7PTh+03X/K6Jm4BEa/Rd1XFgQ+02Qw2Ho26Qh/qaO13ihDcxFameWXlnsjWjJqluF
y2lPhbV3rK5pdvbrytuH15S79Ky52pRL+F21ocGQY8XB2epzezfYo33xYNGkayYdzOP+0LLknpmK
5TrTpaUvITl7fU3c59Ifuv3U2ihxfd8AToTZQqhpCeyD9m5b9rGVd0xC1bRbrcuy2Xu08HzM6UhD
iYDbEW8hcHICBK4I/c2sovhCW5L302YFvY39cMDOFwb3cy7mG0nt5LZs5nwdIm9uG6nzx94CRtJb
pvE5XVkEZhF5P8u8q94t1v8tWqleHHZulCTQ/0EZ9KafvRVBSVJdXjEHzQDJaO/35fikFgRCeqUh
mAsYYcKDvmnmafywA2cEOVCZDZQztsRwO8RCVrhSFmDKJuamuNIXvCuJoS9TfIV9SyB9FVd2c8eN
V3JDETr8aK40B8iibOHTK+WBaKbGjoHH8haai/sRQGCEOTEkhKqckOtcKbugG+DKjzBobrfPQQ/2
b69Y9YtjLap2DRlHv2ndITpYS6DvYnK/gps00q0tsVL+tDuNPyRzmnv0OecrEWJ8CTWgz4V/gdNg
YB15aqhBqld2M9B2WgzNa6kqkCpXMkbpUhWAbUqyAjVpX3pNrhgN6G/xRs4h3clydupH4cWZ3PIb
jK/90BX3VSOTB0CNWbuLoKsc4KWqPTnI+D37g+EBqscP4IZp4B7BwvlAdurbkycGYaxZd4ICYZc9
WQfDgRDiXmEh4RUcIljtssBGh+czg6KwQhA2n5XsWapTdDI1Kw6HoE4aHhoRMKaFTxLyqHrVV2qJ
LobxI/O64AKuBvQSZlUIJ/2VdpKEE3YKlXuk9QAVVvZ++AOJMjBzb7srKsWkAwd0bqgvzGPWouAE
L3mmmAZILPTc/1VZrsO+nO+jK4IF+lHNah84fboQWgTAuvPYg8nZF9ANcKJTHvyBWT8/+1fEi6hb
71fTmf5GXBEw6G/dKY0mD7DnuNR2udWwhSHkfYQkPgKguqlAgtMGPEPGgxAUUGNBZJJWewzssct2
iA56Z9YwOqgVMGDUMOfHj85sUeQpkyx8N4dUvmVmEfz0+sA5+0NPY6xp8MOzBYHj1MGb7lNQx7Ql
MTt1wvn03fR/kndmu3Ej25p+lfMCLAQZDA63OWdKmRosy5JvCEm2OU/BmU9/Psq1d9mu6qp9Go0G
Gn1TgMuSmQMZsWKt//9+2ochTEKHHtXC0/EXtE5dzMOERLKzT7qHFYTjm3PbjiNK96TKqHmNkpAz
ZfbO7NHv/B4rnTt5SCcLrk/oCK4coEfsVmgJ0Hjhi4ADBNMCNXKE1bnHSOGTrzh+5wa9M4TqmJ10
mkfb3GCIhjLke0xvV8x2oZlQ50zQGoQPlQgxjv9S2kb8kr4Ti6wFXkTPxySpGKBRwRPOGVo00Zt2
nPLiLuijUYj5MfI7B7P2gkfSCyjJe2cmje/8pHBBKRlzIeHe2gvEt/SvPbQyH7mjkgXFyF35TmRi
M5me027KLrDRITahOcGpA3/a2iMFK/xFX/yWaPSDbtjUwDhBPxXvFKguMTuOL60JHYqQ5fkDi43K
H1AtBy9eYngX6x0q5VA/nJqwSp8gwDFeIg7TdQGk5caneqFS4UAX9ODp72PyqsBWURrjweT5vhbC
Kr+0sgZylb4DrwDRpt6j/Q7C6t6hWAzOJndvv8OyBluR5gYgXVpnvfC03IWs5b1DtswB3lbOAWeD
0xwIV/PO4wLMFbYQuuTC6mqtqnvJFn5XN0DyshamlxqVgY9rAX0Ndo3CDgwPcs7FHbXFLta/oAKT
ziFeWGFMBJBA90zemXi0sMQWqlhLskS1NcvB25qVLIuDDlo7/iDsfFT8bBA/0m0AUtZFXkYAgy+P
6WgBMUvtmfqTwAnzC31M9wY1oPxsGH1+a01muZP12D1moNTi2zxiiMSLp6aDvDoUn5OFooZqc5Tr
bmGrQW+K1lGsS29rzIh51z0uE/cBt1X/DYyPhcw5B8GuvkPbGoj56yAJiSRhOtOC1A4UM4LSzcH0
LuA31U9Ia9Uc3HbvYDg3DoDEea3LqmUv7LjGgSI3yDQ4wLcVOyv3s7W90ObShTtH7IZ1CIkkfQCB
G60q0+u31UKqC9K2e24mWi6rMF+osTYYaBRePIcG+lm34Nyv5Q1En/sO9OdGOvWnMkRGCu/RgM+C
CKOMVXAVS93BqWnsL2OUiGMIXgf3VUVybF9NG3uK4fJxfA1q9ys02dc2tI29GZMN0wYg+NcdLWsy
LcLR/tSmHLi2ZcVKjMKlgenMNHSQRxtRkVzT8kqq42ADkCfHrIRwLA1HMXzKJonADGHgvCMEFpDS
GHlfyKgrIcKarfkYVZ4xrypYxAoOQuaNF0RYxZcACwH6rp5Sx46AZS1HufLabolRm32xCFUTY2v1
NVz1iNYzIhJvQ0YDnbZMxglOqkxsI8xA96kCfaf6IMMe78MQ9WLrmxcH7XPmyWYzzlPzasBWXtNa
sGOMqyhNV7YKnIvLZGVV+EReM0XIyIcksTh1rqekNIyPNhDcehXgnCzXHkK9YmPVcT9f6sUasM25
YcJNXqHt2oZBK81tr8PxWMWGvNQgbmIYNgTNbklHleibOGMe/Vk2X706YJDkZAP3jldlxzxvfLlm
RehdeHfvNlnwZYCytX8e5sq/FmQhTIwVu+g1rxp5UlobKUHDUftaWS1Y89Yvp88CFmGywZSKzJfp
L4yRDmWmC8nMhEvfCsRxRyJu530+KUSgKZ/y2dTw3lddKl1nZY3OKc3R7yMR4nhbOlbzSBGFgSIl
suqtqSf91OHXPWW58shUtTzMkmxK4yXUPuPSjHm8gbJQBSbgCzO56VwTupZ0VAsf1ojmjZm22rnm
CJYflTY9dLEsduDx9LL7cUAHyzgKrof7Zj7DU46t9YiYYZOrjGafP5ePEk2Zi84pLo8eTOWnZKi7
5EAQVH3XA0wsNx6OjGmLZ5migPnQFN9oMwjPY9JAW5Ugfl4YD9R3VpU790GjXaw8ltMyASEqkq5M
Z3Gf9ApRVSqzTkCtSzaa/sdiN8dAYFCY3qlQDVddwMezJmV0XsJ5ZvWIixvkbQgSpGKiDQ9860Xk
S38KVVJ+tQgOAB6FNI4fGZbqKImwLzJla7MXCoXgnnArrBQelEbSDWti3nhsfMYoaR5jqqSTQ2uF
BXoCrp1E7WMa2CYDL/bom45A7qui6/stj4D+mnfKvB/SPmo2ZuVnd9E8Gh8teBiPVj+qvdX7/teO
ENOPE4SRK08p43kibYeRTJ3Md0OZdM+sv5QLdt1idc3JFwXttsiXh1x4RwEq+FMZT2ioO/YY3KMC
4DdJkODnw0wkAD/ox+PQ9snjXYek/2RUyoK5j2Du5pHYUAQaugQuBMft8d+UfSSPcWM52a4WNL5o
SbC7AfiL6mkfMCSLT3PrpFeqw1h87OwFjRUnWW1sOj/zv/XMFN4aTWNynZH2Y20bzlKPNmgGiJzR
MGpzL/A0LHFBOrJPmK9wkkjgmslOzcPQE59clL7xUurGxcxvZV65IVoAn1FUJDPy1bnnuLNBZFN6
T4wJTO9eAUJkLM+dVtkoYE3lrpKgeyH2kbiK0El2w8LNIJbL3YZQyI39WNjOUfI8cWPOSLuvwcuR
wogovJcXTEEUrHCokdN56kGw38yYX6fgjtT6OrvNOhM0DDuCD/WG+BKiFyKm+tk298Jua2Fpd+Ra
4h/mpJJhQmMMVkR1XZ+juaQ8gh3fIY0xq9y+tOQfBidlAv258Qa3w/ATB8FwSBrGBNAOijv8OrWB
M4ya5GGi+zbv/XpScgenKIqPjBRj0JlhpfMDJiHG/HCnp+ZzPk/ixY+TlOD1qVPB58WjCRFvDE2X
IqmVAUEe8YDVB8UjGEYL6FwMDXUinXITTpb4LJ0evaFuNYlRdVARcxCryb9m+66HQ+qZ3cmechMy
qGrMQ0nQ9L5FWox2InDGD1EBb/U4xeRf4B8GK7Yq7C5MzqXtDi7eYLMEqp5aMDJw5xubNhyc/YQX
IjhJjSZmV2EYq9eEA7vBqai7qbZWMFoFMqHSgRRMsHPWPI8p5XZVj1N+zqRludjWcJ4hCUYHWZ0K
ATrpEHj+IkUEZRM9skk5zRF0dEGZI4bhmrkO5shVDHIp/whxw05eTZ7h8i7s2gngWIVZjhEClgPR
OP1tUvv+c0JxBwFzQgWwaXg7EDl1PM0HM2QycxUZTAi2XqBcmzmB2+5cS2Onnz1tXKHBfvZxwOcr
TMbhbZQSCZfbQfXZkCMNY8w0t0kT3id9LToYoCnxlogJUXDOsgcvOToVOu4AlKWFyB4mLq6dbwhu
DOtoYpQyNrQYlmDKLJreplBLieLQZMyAdqY51XXffejwKq07J5Ts/wpNUi9rwwacASMhbFibyNNN
r8KRJ5aqJUBpEngT/bnQCPvXxvW6JcvFE7ANHJ0vygPONYe40Whem34KH5tQhnwf3jITyRDk30yO
zKwzArE+3PDbgjZ70QtjUyclpKoyj0ZCbbRYDEGF+wUkho63Y201HxsEJDxeSaVfcsMpjlDsjHXm
uME1+CzAGW0+mw75NYownzlX8kZlobxnVmzvyS3MjwmT1ZmQGT4OB8QDktWx/c4esP2QjLu2dDHG
DXNzrEQxvoSNCB+nKW4/TTg9kz3kT+vUS9M9dvhEUbd5yFbDtHerdYoIXqxdwFz5BgM8SJ0CsHh2
8bsOsc4s6fbvDN7YYx2m/pXHcDIHArTEPBZ4Umv6/y2Och049aYlm0XTP05EvxlI0mHFrn1n+39X
r7k0SN/+FSuKu/f3hukSy/nTH7bvfLm77que7r82XfY9ghRj8PKT/+lf/tfX/4RSZzp4hi16hD9o
ZZer/P7bl5ccT/XD1+ylCF+Kn8zRP/zm7wZp8zfWBQdhpsO/x7qMQ/l3Vab7m4W00gZj9+6B/iFJ
zPR/g6NCU5GBouV5wvvBIK1+w0fjo8QlfFQykvmfwep8BJ4/dTAdpaTpWPAy0ZpI2/pFzhynXtwg
xQh3jWjvHVb6Q06O97oMybzzjXz4mnhTwbzR94lFZvzEVKPZ9URVHeBnyJ1PtoHYMiEQGFugYd2R
C9LuTCRux3bR0kUk+FzcIHTOkvygI2yOcteydn3RVlDuSKROyLmBfvnakN3bnJPFL44/O3aeHGVG
j21VNOe61OCvAGnGAaYg4V254wzbfhhajhuh8rMDBh6cEeFA2GhnG0QtF8NbEM8a8IN3BWinf3Ks
HCdpWVmoOU0nnlcw/+2Ddpgx1YAR0nWubX0EFZZ8xPNnkzRUOwPFWDZiucRtYxTrgrrsJmWQUpIN
DWcW0Levzl3gxQUtCld9LLTon30iyCbm3nF7rPwkeODkwxzIwlkJ3LZ2osuEg49ulDHiA2sJKrhp
4WI86oIMti1WbqLHYcKteqJ6TFprByBZw1sp8pwlnGAucmea5qZNRwPlQQEedMpM9RiIQV63UhoP
UeqKJ6MsYAtSMvfHqe6Huz4Ii62WIWnRE7a9deiMywvP8CamvPYuAtRWevpQYlS/BtYKxo6vuXh1
ukodMc4x4oQhY/EiPZ9uhgSzlYrEvOG0C5IodYlBCEpcD8zDZEtcuhPvLag01K+mPtpR4G36ZjiV
bsNIprPICwiH6L4bmbsMeFfNFcoWAETM8EjH7ObhJYzq5DSQRXnmhuqSYOV4lcFwq7e3YeYytdP+
ph+bcpMKlLD+rJ2Di7X1sWrKFo+DUV+ZBkZFw3BzCtmxvnGp2sgmKCdoiIO8iRCXbVF1hQeny8UV
32hwtIym3uVzKj7X8zyfIjsMbktZQMVPuFE1QtTXFrnZTsixQTWHsBcZzkNNdNbgYz8Oki66TdOR
vGzEDx/pfgS7sPPsl9jspqtYaJuimMA2h3BY6ermkxDVMxqXaQm0Qd1T94+N39OLLroWR5Xrq/hD
Pg4HkhVuK4v9AT2rUyHKm4GxIJhbdSNNPFis3UEVbVWtId6k5HUhp33gOcB4jGvw3k+VUxxEOyan
jK38qSGj+IHzX4nfUZrS2/NDMdPtUWLYiXU2feDEUB9ga6uL4OOD/9jSwIXaFx8RbeGqyUvHfiwS
z76onFAyUy/tqyln/h24Q/xN9Fm105jCWpBsQfNK54tJQNd5Pjn0JiChNmahoMdIui/3yXQb2XF0
B26J4XKCEASvpBfeVsCJYYrh2b8fPW/Cio4BbgvXs3+u4oQ5QGwPp4lMsQsUaySvgyTaI7KzmjF3
Z977Vu0eyF2T/hJd3z94PmFbXe4OB4c4j1c/i/OHqbVKfSDVzX7l/o6/RU4vJUZOk3lrMVnRixlk
NjxBJiI0XSLXZbiNaWgSuUXVnuSy3qVlUu+HsKZdugw59lWXFjcc9uVDz0znFGhlfUjzRqKBoxHM
MQptaYStOt9YTm1uhaYbs+9EF97MQ4JGmSJnzxyyvW6jKn9LuIX5VgNpPcIvbK8RLkowMnN9gHZB
hDxkOhLHco6hOLvQ3ICoFFcO7pcD+K7wCidXcm16KalrnPUQPmrDNB8IVIEb7DqZseX5dS9u2uZ3
eI/FvQ1Xmyg0Ez/vCUYQMuAsF/TUiB58G+bFsJzTbnQFusE16oc1Mq5TwhmBZz7h3ErruafJapTp
Ps6HutmmsRedJAzpw+AXF5ForF+moYxNJYnbivzWPIyemd85STusFQ/uFhRvvNf8B7HLXHxoeloh
bYP304z9mz6Jw3M65t5bKv34PIRBujOtcgZI2vZXoZNbSDCVeE3nOj33PeL2pAiIkcyVewXzjO/Q
Ckm19OsUTmYCWo1AoqtimtBKog0btm6ev5oNFsrMNPRB2oXzyYjqneN1nwgzrvY8+tHRTJ1tVFvR
xkjS/guRkF+TpnK3TmNMuFzNGF0rPNFM1ihKyPZTnbKhVsQ3lmFDkA8c4840Ck6bc1gcQyM4iVDT
xiydUWzbzJiepmqBRQZmqO9Ii5YSXbxRbbVt4S3KHubcHcEpgHsqo+opE5N1zKqWRAUdvy6Av4zo
K8uVq4oJ3WYIbeYnwAnHXRvY/b3Z28l57I0K7FzVXrRlXWEI+dyN1QE0QbUqGpoYECk6Jo9QFrzS
ujbtdqbLCCiAwb72QZMOfslJxO2SK0sWHmd65nPRalRBto8j8nSIGbfzfS2Tk8axDdxCTfVEfoLA
pGF6LWUqHMXq0OvsJZ8yGgGQWZ8l+iWfhsoUn9HY9vsiMmtijaVR39dtpvdzPXjkMdkedQIJKOTp
hGlOnxUXNnEMEl+9Ib/mbdjHW7Z4hfm0aiOKGSNEqj10MeOgqmEfAOkBOWOyCGtbw8B13oqy6W5c
px2IBUbGWxVoId2BTcz3CbvjsHcuS+LNJxx8LFVT8iAb/NTrwG+Hcm0Gw/iIQPCLz+3+PCtnQ9lz
VpHX7dIGIwMLYn0fOzTKSs6FElZpM/KmCN9C5G3dAX6cnzGDCOas2XhKpMbGhj+9XouhndbS1zic
vVS9NlYafObsUK8I4Ry3ni8d/NuGu9Oy0h9Lty8OtPaIG3JRwWlCVaskCB9TxbQ3Z278TeLZfqJ/
VO0sl/RpWstFHh8ysLSHofBVBRleV0joOTOtFBD0W/YAKA9Z2l/oBuBopyB7jJkCnBApjqcaaOyG
+bA4Vrlq2ZBcdQ2ms7TW9AS9Y6T5rBSwxTerVuLghW2zkTTPd01O1uwmN9UeX8Z+btOPk4N5jOPJ
xlUDIQxSb6wGbIEYAkzanMZhrpB5MOiv0h6o50puRU6n9D2Aw7MQb/J2yDd0RTZ0V+4MWcsTByD7
iLRZHeI8KF8U6xlJEJQUqsk59BEyvavauGSHgcie0Dm6c2bDvA4DIOl0V4NzAcERbk2AFzMrqg2Z
YmuQx9Yl7Lsry5q+mWZDiEbPNkXAIdX+ly5rMDconJoWpdbFT0t7VyD0vSIIKNobMxj7ZmBX8bXZ
P7Sgcj5C9MnwBozEoZvjRYQczsghRLVJiCcN7JHsgoGcsTTAxzTZlb/DiTRGaynHZ36pv45zd37V
Hp6CIBHJzo7CgvCgVH7i80ZWazsdoT9VFbu7KkrtrQpxahaxHZ3cwHXvKiasqwDsMxD3IL2xQL0s
Aq7gTjAAvc5pXuLOwYu6iqpU3fKEwnCs4JBecw7J74rQUl+hzxMD3wbFjRwt86I6yzl1OlNf/Sjw
z07neyu4vqSBYee5UsLBSJTURfwMYKI9s2xmR0ytwwYIxxtjEf/gFlDXQzvpLq1tes8Mn9ptQUYq
SE42euoimVRnBG0MfTSek2OZIy9kPlFNrB4MNsJ5LHYZ4o+Dr5GaGsqd7kkTaMhi0N2JmWWwKQy/
OMkxnR5RdRc3Yx49lRzzb0VQpbQ8vfog3SreTKncSzoiMP2SeufGixJJj6A4IxMbh5uw01WkYVXU
TdsCryZtSCdGl5eqT4KjDB+zB+CgY8GjfiyfUOurz36RpSczLLiBdWMzkqShs5rDDh01NIHoLrTo
OeSdQz8Ps/BbMGXp2iGrGQyCxZUnIHoNUWPXo4sEvnSJbWr78JO3pDFYOenl8BmetQ6Pc5juUX5V
RxOHDqzg/pYddYR5Scm7ERAZaNAYGyEmwiOZjay8anjD2dwxvqzyU6IXjVfS90epTPPkjjQZrSYV
mzFnrDVE3toXiCkQfSKPyr4MvcDdjBn0mJT8U5SwJCYOmX6b0ApcoTOEm2vHWbqzBnqgQT6gsiS/
cMdYmo/PHuwbQ3lQiaNU39K5Ldaks1Wvghvm0qVmT2MFUT6Zk+6Kow/lBDGQQGym9pyDsFqPYTx9
CIK4oV5IspfU9GfeCmSovJijNw5j1rFnxrChWWWvejqpHw1jHu7TfqblXxfSfC7c0vicwwPc1bGo
DvB43xUIWYW+d8w59ADwutWoVIAqNHBdkMcwo/HTnVdN0EgXIg/pO7Ap11XD96UYBT4hgBm4s2gw
luBoofl2Z0hJRNCxpZTAI5hKYjWPSQil4O9b/5qcaf79CkgQOr6Nz8CD8lScUkeLbe7myDrHA7rj
Bw825xq7X3yLEgKubFZMh8Zzw91k65rmWtkeGSkTfyVKIsp6WqW+GziPhrJ8sEVl8IYOmu1z6gqw
nFr5e74eNOh5754xblfXTmvnz64XdNRGSh1LQUnLCNJgF5yQ05lwMcWBDL8R3pFpjNd1UbDE13Hu
7y0ZMdofSmZ08JG8XaAT7034iCRAXypytbPA/ew7huOuDOGljxUl0rYiEubSIm+lp05q2xQFyPIs
Ob44RZSzd6SFSed7QhpjF/MdAJv+lKp5vDOaBi6qYr6xRollQYVw5+NMp+LeZ7r/glsh3jt6qJ4q
9rcFuCKP7mTnWycd9Nmjq8ugqa0cjFWm2FhBXd61WMyQPJe9/iowmT0YhTO4q6a3m7OjUFQwQieS
FU2E9wyMvt7DvPkWp4V/YkJBX5tWnsQnZQrMFzImWhiAvRYw3TYVPonz6M7WSQeWtTOmKX/qVErl
ShL7LelkDp7LrLwEuleXTOtF7Y2tb1NGsHlInLCa29RtqxuKa2ASzBEngjgtlpqaTfQ+LGvtY4lS
2bFycm+POEt/SCpqWDJs0/yQW769QSXpXVuhCUI1K5qPjoBbUy4DNALTliEJ8PhABzTM/bkHIVA4
1ko1w3zKKc9o487DE1Ox/sGnCr3rrIHdZE7kY26N8cnvCd4J3Y69KBjmC0l1Fe3fSoTX2k7Mc9EQ
ro4YlLzvJFNHsqxBY8zAmEkqThz10pPWUSHTkeIld9AW0zyYx082fU96LZA6aTy0tqi35AZ2V8bc
mFtJphNuUCCjuwnI85l9vHqOxqB67N1abefK5mDgtQ1wCKu8QSzmkZeVuidPK/i/XQ+A17Dyi6on
SqykbSDmuUncP5kudhtwL9FNYI/WXjfm7CJBSJ3n2cS8pBCkrUiGynAWK6pOPL8EOnV2vXXxRNBE
d0K+Wu+lGuiARImxn2la7cTEGZz3gcqcjny/AN8Cj9UVCGfarIul92DmfEtmC2xeGwT4yEwgUU+b
DogV865Xg5B6xtYJ5RJ5WCheXKMGHyPNKhCowYs175ry1mD+EQdJdo5txYu1RmIeRxtp0v/3rd0l
GASkw/8aePkhTgl++lGQ+vuv/N7P9X7z6XdYtnIEVZ7n0lD93s/1vN+EKRyLagnSxfL//4W79H4z
abCiZ/HQECoOYX/oUV2yR3zsp9AVFqUqUSa/4C3/Dndp/pw9AvXflrwqJsSYBcG+qoWG+YPHnrGp
AJOP5sSmkDvNekjXYRmf7cCq2NdZ36KaAGkbrcV2qMLxYzyk4akw8XPWoo02JhI59Ki9h8+qwXVI
uXLPgjUeS6Ni/3XHfwos+Rlr8efXywfz4+tVxuS0sTfRs4iz4TDZ2NArWuiIO4ONqNgF8CiTo5mL
4Hv8DpOEP0ChP4JBpf1PHxUa4R8vjQs/5+hDTkccNjFkoDa5wE/zdnM9ltukM8oNgC82CBOiZmqp
m3FJCUOcm2981w/XLLmak3yhViVOmhWxRAAFdHQD/qA7WhWfniPHm4wR6DloOU/GbsluogtxaOb4
vuqTrc5iRIsC+SERVRXKOLyVT2lsTPNmqof6toxydPVt3n3oJctrynSM/X+Mt1ll5SeKofIM6Sw+
awqr56gbcHwZVXkds2dvpxxbhq7arSjepj4Sx6wI9zAQDRQvEaqdwRQf7aEcjxwgh30mYUYHVFa7
hFDWRPsN/ZzS6p6qWAkIOkaym8uCaXdYx1tN2AHhHslH5QQ33TTcIQzSjAE3Q2Y82U3hX7Ukfp6m
xP/UzJaxJ7LwSk+2oJB2iKWYw3Oes0VX2Is3HhT9FVrpvRyI7eo996XN8Yxge6Nf4ycnvEMAg/rp
BkyO2jVEpW47OmJrI0KPydYy7rArMzTO4ksJiwwFkgDQVD4AZjsF84RLXnOOw9NnEXlGtw5pa4DC
UYp6l6T2uKlAie/i2er3GHvtrTXAV8JLQRbfJMotbyyiTq9ATGtHfB5CHW6dcKA5jlZwwrAc3w2d
L088NavY6K6CySem1LNwykfjA82W/m7MRybsOcz1yukQQdP9EBGhNpSL21iH/kr7fCdRWUY3fsfB
jx5kdo2XcKtSwLON5wTASB2xb4nwPtp25XHOJlShxke+TmJHocbm6NKPcn7ApHdCyLg1yr5f91F+
nKWWmwwhE8mj3M2jIlVzqKgEaMZi0EQFeTWEEWj0uCVWvM9fbbd4aJcyhoSsfU0f1I+8ByGYJTr0
pa2Mz1IxmF4BWz04krZdWkt3XbjscpnlATPsqs3gByvOdepAn8pdMXneO+qxKBr4DhINKAc3fHh0
4DYkKRL6myUbDvuYEF0v2RNpf28WQlwZISGHtGqHzYi2Y1VWLTChsko/QGo0NpPr7sfB/rA41zep
N3KCmiK4X11ycbzRIk0Fe1tborRtyZPfkMy7Nwa9VxZOItsJ7zsLZgAWZOAB6ZFo+PvYQ61fT+ND
O8ZXqorXbRtdeubn2EYJEQYXOTaPc8YUoYZH6YruPkLVhrYmjXem63Ma7F7SGNGyE+qzTmlc58VD
Y6BaGP0dyT9vwiy2LVP0TeYinmX4HK0x+V8olaO9OffIWmrymf2Toc2b0Q1PSVBYsBJqw1ohtnB3
YeAUSwFXNq/4ERSfeyE+jKRbNlZm3RtMlndBPAie7X5EkB+OYHW1kyPskv5LlMGtEryt4zg3RBFn
vj2Bdu3AKtYVGmW67GuS/mhLwD896CoGNpyS6VB1TbjRHG/vvIDkhYwwWKZzdXfIQI+eJOsiSjLx
EWQtw0JazleT4ECpfY/FosWdLUNDQCsysdsj6EJFVLjimlmHOPp1p+/rgGbV0MnqEJcWsPwh4QeR
qcJhwYZJ40/ghAhuOHKdtCWnrXLSh6lIWiQyMDed1H5EkQq/uXJTYgZDc6WtoiHtsNIXqybXSHho
TFpSOleWHoC5pvO8otMSkyvEOC4xtNgTqR1vXYFX2C8b9ZSj9neDmfUO7lc+e8jLBi+Br+bMBz1Q
nxpm+c0Nl3FK3O6VI621gYnv0Pjxs4QWsbXj4M6NJaiHKDB2NPyY1PREpwxGYh5RCxYXfIP3P5Qm
t985TD/uYz9Pb983UMg+ljJxH7kUEb/4T0zDjkxKS8QxfnlXxoSQ5wkKLc4H/wB5/wVl/+cr/VJa
pO1YRLCA5aEPO3WwA/+rOTdEdqNaJvbZeXUsjLSjsmHGLitv5UKn+vv3Kn8223x/CY5JjaNMCxCn
+wtBiIHikNCoxsvag2VdC9vCptAxE0UwC9BBu9ioazP9QPZpe0iJyrwEy0oSobCErRHUV/6A4q9s
Ssgxib5LB8yScFxY5UOzKC7KnYNDaop4k/RZeKBRUhyscWy2Gkf6pinESdfCO2Cv+4Yr3CDJrSkZ
G+d3vA4D8HeGUODfZed/+N3++HZ/mcwndpZBzlXmAVplcN9oJM4THooNFvx5/feX+hny9fsn6y6z
df4Dyn35+x/qRnNAMcRM2TzEnfutRcu9mpT9WXpDsdGqevr7iy2Khx8kB3++2i8hdUaMn3QsE+ug
4v4WP4v8JPOoOyZD+MWMcT3WTtreovuNTpzc50Nr4E+xUmDgnhO2Zz/pDgnfJK2sdp859bhLmq49
QY0ARjp2+SaO+QpTNYgNbCO1saayuOWcB9s21RAsRpN/DXc3WlXjelyKknopT2zqlL9/nz+D4t7f
JhU/0EVyNTw+1+V2/uFDTWkHCYN95ODUxLmnpHGsc2mllG6OcQvXG6JnV9NB+vur/tWD+tNlf6mp
rbZkcSuhCRi2WrjZ6oubmuzMOsBog1L3VEzjJYCUcwttsdy6A/Db/42XwKLkgyEDWIeu5Od3nglz
bKo8Ng8yJl6oYUuMVXPGrgeItlUYOCvnRnmCelM6n1n1693fv4C/uJ39H6//y5PTDT7kqyK0D23W
fZZNPF7aIpCnvHa4sY3w+u+vtpwU/iDkff+eHU8ovmOT0Ef1y7uNBhjgbemJg5INM9chpX3ZBO32
76/yFys9n+cfV/nlPTVSyD5Tpb3Ic6CV8gbxzNrbFkrCP3x9f3Wl5a0Ii8mwsv60GDBALObZEYc5
GDDeeeanzPGP7DP/8I7+8k798UK/rAOcP7o2yLTNbgLuKB7am8Ry7b2PUI05TCc/pGFLB4SMneiG
KHGOAlVbnf/+Y/2LI7MthGstKisso5zdf75Xg2gcalwd8oCtsjrMkEEeKss2j+DO5YFh9cey8tNN
2If0o/uJ8g1xyhrJuli5ufFiQFhlJkDE91JdFFdpmH9ytATaEluPiWZY9fcvV/75ZgPrijWGkcvy
itUvtwHY0TTIZ81LCzsG2GQ7m5GI9+WcwZwz5vPoO+MWIhbk+ohQ9IHUAw6hxi4eU8p3VWTbPmc5
1T3xOnkRbBMgGDkT01VjIBLgEPGtqgjlEXVOCQelyHRp6DF24ng2efiojbjdVgS7bdqK2L0++0qD
2FxNQ52vhdPb103TfC9x/k/bos/xm2br/ta+6wf/rSd876b88af/h8zT0sbV/MPd8Sf94ce2fdH/
datfvnxtop/6Vd9/8/d+lf0bKH9LoCGEVerTG/pXv8ql9+RLDgy+TXiPRezKvztWOKjpVKEKRGWA
qBl05B8dK1iSNo8MnBrfNtG//4+wkD/vka5tcpY0bRzUDi4VuKa/7JFt0fqO7lS/r5LW/wC0brop
aBRXjMBj/Wr4c3o1CL+u/mmTdN6jl/5YtZcr27bDXFOhyEaMtsQB/7g7dw3H2FH1/d6xu2AXa6mq
F+ABDLPi3rTzVVfBXVrHKNOfMtJG5+1ocwRde24mOzBWg3D2IqtMa93wuD8HKLiRPHGwX9nmFLZr
T6MtF00VROs0D5ruMMDW1eu6M40WgUtLq7YqvekVOtlKthNJ9RYsreccq9zLVFr+Yy5IFt9ik+7v
Jlx/1SZlLbyK0VPGzO+CKln3Ji2awnbjHWRPTGn5f7N3ZrtxK2mXfSL+IINkBHmb8yQplRos64aQ
LZvzHCSDfPpeeQponO4fjUbfd10clAvHJTuTjGF/e69dnr20TrEk7WbQKRC9ql/0Y6wTDZF3qZ16
00f177HonAvk+ewZn4j6ES6y3bNAACguGwcpG80TeF8sozdrLNIMQqFVH9HWsS9E8x+mWfmeLOIu
GjNx1MJk0JeSa5AMajcaSBJM1/K15VTvaYrhcmoYHDmTeBlJ7RDzFZAnW6TqDPpWUdaDWYWu91Q1
E4QFMmWc+mPEqYHf2LX+rmokUKl7P6NsYFR1RnyBxqAEIPToGmU2lxQFak63r6JiR1R+ZExAigjf
115K4Du9vxT8SzXTUspTnqZuaC/2gJ6zRF23inB5A0/jwFh3MD9xndAvFffYxadUbXPKZDbUV+i9
9mMUPbt3dl7q+kfPJjJljaLdOt0wAC/q7/JVItYLZcNASitxyDED7mgKolWjzMn9Q0PbcIdI9+wu
0EzIhpCLcOLiWFWW9904Y3wYPAa0ypLWI9I/fCimard5Kfp8U3nwSmPwUdkKen2CdSGz3YwoVFLG
G1wxHneYgOzMdnK9/otQbF6DKMR1vwaErn7Ggxc8EIdyflWjKL8ZpOL/xAPku3DNIIHGdX6xDW5J
Doh2+piJsKWKHeKO7VknOMfNKVnK+keJ4MxnnXVYAO1FJ8u286eUop0QWt3KtmspmU7I+lpSTXMv
tPHvAfo6JziHYQ72T77cS/hQt4q+dPbGASZJc3ASvJS+1bUbC41s08pqEVsKC7RNLb0MHuzOTZhr
tfP4LGgk2HlxMsenOG6YmeFTVD97HeC+iMgvP7bKRT1oyW/f5imwj3ffbcUENi5ptqvFMXcoGSaK
HMQH2iy917rrcEMEGIBnPsw7qQCu10QsSDbwtst6fA9J+CYrHK+EOaUR9z4Nr5u2gY/n7zRP2vlT
t8BapVs677mbtMNel47H3ZBiix0M9blbuX0Lrne1zL51C7Aa7cig0ebZQyIlHiE6F5sxtICVW4Bx
HgRRfCbLoJUbm7Zh/uNSupSq24B1B8kOauuuWCwGVvO3jPNffZlcsPntG9vydsNMoK8cRXEYk9B9
kh7Q29YjDKdzODXYbS6hTvMVDQrMR22YUeVi6UPWtI+VXPprm9nfSU7iAas1dQKaC7CdqeahUopJ
fszfSM0l/tNSpVfkDb03Vh+c8ZeJrZ5M/WuR3bibSVI82nMG0pWyy+kS9bn5W5bcwnGFiPSMoAhx
NssCxLKlojqcjIvv/FK4Hk+FGIpziM/SUCqNH7l3tLtx4JHLP20935lXikKsdVBZJe+l9aGhDtIJ
xlSNO/QbLHC166txeA5dB7dUkmI6xl40npZh+dO4LesHSRrvHhSKNiG1og+j62HjybGQhcaKt1MZ
Yy/RSXm1bABg4IkGIDBUPN1gu+Z4Oq2l0ysGfEzcY7pGtVUOj/1Ei/s2Ie66Qkadn4JuTNazrgWl
PK5RPFlRh1Awxr+CMes3VuUHBzfg/EV4zF7DNufTMEK8BUWdID3a+GsNHcmz4QGOp/xxjIizY3Y8
DIUo15SXnYjeAIQSMqEZxv/L7pQ+kmNr9kXXxrSF8qT0x8zNzZrjGWowvV0EmtIegWNjzW33zXwB
zAQtMvZFSfp3iFIxFN0mHT0sOEXH+MEk4y2d4/wHtL58Wyg3+GMnzrBn4E0rAneUdO+3IxzIpsE9
ux3HMXikord8V3xP69E4zEUKoOCg2Lxrb9ro1wywx3vp25JlVi9Voje1hkPBbRQYEUrR3dNl4Xrc
Uh6+UAhPq0g22L8aJg07/44eL4QznlUabkxXfViE1ss7XFIg//a5C1lqlK6D7/QuBaGRB7iI21S/
TrSm3u2UmfeoegVXY5YdPR4js5U5qJ4jF5s9GKRuw13VuhYalq+xyM/kNJungbezyQoBgLgjDdqY
pG98BNyWbafA684ZmVXL70Z09DTmr5A8hKP93SrDuEV45AiQJTm+z8d0Cak6My0QDarjV2lMiEqI
AhZkYSgI7vx9MDLVjWIR4ZQEYFgnBjaoH7/HLjXQrZ54AKKJ5ZlM5WrSXk/xjbUkt9I0FE1n6c6a
oi3Cn7PT8yAuCS0GMLS1s7K5m3ybmGq1aBj1Q9EH1L1YjljVxgC06om7xT2oz0ZhC+IbmracBd11
jwTPRGF5iwqc+dQu3MnOfLBFW0UPMMno2eibt8lnjBHWVXfQIVBTjhqMh2Sn9zWawJ4VKEBebyDM
5J3c2nCYNz5hyIPMXPoTMtrQrJnXtxTek+F7xz5EDFB0o/H2QKrTbY4Mvu+oSeEO0tF/2zPmPnNc
6H+mwf1LTTCr7Aiv91eZNuE2c3RPdr2Kpp+hsoub0guKX1jkf3vj4wpjyzk6Yzj9yGDIbRgA1Bjw
fLuG3UISbRMrO/prJ8twkP4c4FEvBPDGjKGjNQY+Fs7USa6xFbJz5vFon7DQkCcTmfsV4n+/jLYw
T9ivuPfDcQ5TPm9ccXFY0sIyjszCYjHA7Qsd/2wHo/NKqDf6U/T0m+O7DMo9/us0Z2FyomOmbf8U
81HbeJGycBu7VoqL2jChpM94JMOAk2Zf2sJ5dz3Kk4gJwnXGshuuE1HE3zjQ7ZEUW6hqvoSqvAIs
s16RsLNDmvTzmf6gZV/Z8/jhwQc941arKMrg+ADuugIQ3NN/ctK2nUPCSBgq5dk8/xkyWfKa4iW/
dRBwbiFYaYwbqUw2HG0HauiF2mVR3r8Hc20/RklVnRIKT/czAX7MLeQ4CNp1Mv5IvdbblKVdwJK1
zOs4ld5hrNLx2QpdzWlSAoLv6+CBwLBzpgJIfViE5blyt/WH60VHRA/GTzp+7IJMXvCiWsu2tfxR
8px54BVxIWPuXbiQAllKKUhxF5I4XYcri7AXtFW6PlTLzWI1YI8rCCxR3bXK/ah8jEKV7ENQ3swb
q7u9btY3qa3lqBr+BFVQOW+EVSGT1Z2mDjyaZLxdLJE5V7YI9jdaVcaZBYx27LKnw6YgpkMypQKx
7VbLDvbd3d4GMVEV4VcGlJxZhQNVDaD9XozQDVtQx98cWgAqy+begEivRkzKY672pT91x6Yd+5+8
tMvNohcQFKWpaKDghwSWLbYZbuGtX9YxtBM3vtamE49Tb4/mq3aFAQ5r0rZ4sahSUdzcF1yx7cAF
b43ZPJvgCHYmWntiJD6pBg3XXgYjo1sKRm6lN8WvpnHSvwvW0D1DK8gGy+TF+6Gz++dmFs7PoQ69
18FMKJpzJ8DULTFMviyl6zYureTbTDI7WdJzv1pP6Hil2jTl62ikudkcUP90Lk7+eKpxJJWpaW9z
57BWLNSSc2DrHVY1X7cxtNacJbvr3YH4eWl/5ZHyGEPbsnsNKFXWj1Hdeu52yWgh3jo9BfVxSeSe
IEHmrAM/pus3LGNFjnxw5vTYODyEmwEnfsa5ve/Q0mZJD1PO2+vNWeBsavbDc+1koQQL0DbwDlRC
7MrCG87IXoF5bRRU1nps4mNbD+7PYpmSfeWEzXuDD+CL5H1JUUHT3jrfe04tJu+k5zZNHwRnPccY
/HkOCeBK+yujXfIzrsLsKOHavWfLaH04Te0HWxnO3k9Q9+Y06mnegeSqn8TiyueYhCDo7thEBy8r
tu3c5EdO1MnF0Lh2aPthOQx8hF+jikfa4ix59ZKm2+Ee3zukU59Slc0nLWmwGcYhu1We5T2E2h3+
sXAD7YbFT5AtaLFhqALWQN0tHSuOih7iJPgc4uQbQot5xk8cgSBpu5LVWoBKJ8Yc/oXyq9bJUKY7
T0gqRSeRvHdBOPyYMt6cwqr0j6yI401kpPtQwRQ7pSD0n7FQ/409ptJIfeGt5Th7pSO75XSVNn88
F75uGk/iwEBZvi4YH09LbNtbIMzTe+64GSpWnjz2kZ9da0Sy7dy1fbUtnUZfTORNWK5AtMq4TJ5H
BICN26R1A1p+aq5U9BS/2ll4zwnhpd28gKbog7p7GjEdHmvV/hhskzJGDwSlA2npDltTA1vBOyt2
+aCXr0QWhLnMYK/zwuUMRK/Cx5jUgjgKKkYh8/AjxTv2GWEU3sOS6I9sq+ONCnEg25zFHisd07uF
cvwwqJwpFqc8MhcFiO8FVNIJzB2A/J5HfuxZ71VTD59p2lXbaNHp1ywDgkkgsTC9Vbg7A8VlDc2O
tytlV9lANgckGbKnBBOoUaIW2IMJ0SxNkj1UGC3ei8DvTxRTZu9WzXPVJ7LkJkjLEb5XHBGJ61xV
aItTdK8aoJG0eDVzIx4Sq6z+epOB9w7+QkAgyvSjXbLnUbsZud9BnHPDGrqyO9txD7dxgbdzsHjQ
8PYVI8VnWufw0zB3xJva8pof2jRtyL3LOC+5PzevqqN9NaNUy6zUPywWE7bVRw+n/GvS9l15jVlf
zj3QruvC6ve+/ENyocsRqgtYPq/D7QGmKdYT9yvsJu6vUVa0oIpywX+o6i/wDg2uUFv9qCUijV/q
+hJzUgNzwtrBHygrN3kFsygdlXcLLVZvR3YAbfyxhzPSjw9LPuqvoRzGs3OH1vQiiLZ9nRYHZGyQ
Nne4DbZdZ1XHafPRKUYfpFism1/k/jrD3kQKcK1Z4pml1nX1XZM+NY8QLRL/YEkifz4h8Xk1TLHz
TrcncJ0mN+nf0aZMFvrKvKX8wshVtODoWNXkmn7k3CE3MTiFA3V88IX4y8ecCf4B+Iik90q8imN3
me0x+SnC1HlVWcUDlOJHQP7p69tcB0RWrDiu3r2y/dv/gwdq1Vx9LSAg/tacQY+Jb7EMYc2kB6+t
N/5okdIEM5THCFtOncO1moFM+fMGAwtOWa3pULhzijiMvZMTqU/QYV/saBL7mCbVc5zBNQpjCEcw
PvyNJSGuDk3EKT246bT3niI3Ki92zMB15Xp3YJKJ8qOvq+o8Edk60vDA4wA0zT8tZTdAvU3c+zZV
ktXTlFqgYrNV9bxp1nI2wxw8pPGcbBA9ur0TRvavhMfnV0NX+0LIsi75/UV7lontP4zcoHaycPUt
m9UV64GzZ2/GWB5ZhBW0A1R0sHy8VFYIHARR6skX9tNdE/ppg9cHMdNMDB5zq8qeONnd+9FYryih
DuhYnHo/gd5G5pSGcy6epG8XD/1t0RuXFtl3MOiFXIVTJ585GhQevYl59CSyFIvqpPqDpoBqneFD
3rh322oQzbyXBV3RuqDBYqcJ3FRsenV39jq0xLU3iOhHG4+CCsqm/5nNrv0AGImsoEwwnfTe6D+7
6dA+tPy0dU3BxTWhIOrBbiywf0S41XnAhn1wa/DdAirjGVhec069NCBCTgK0YvQZb0TFe0qIQT8h
rvV6y3yMI02ggGu0ozVPlJc22Tb25t8hFuENVC93vcTC/rYINBxHkikvkpVpJdUAkaZtFoz0S5Dv
4myId51vL093R8c+EYpclZOVwYPJdfO8WAZm7NAyFkksPC2SggRSEYU6NX6TvYGbZRU0NXw34Up8
d4hXmBZIiT1xJxDvMpk9UhP2yJmLiLjbs5npGioYfSRc92DZdMJ6C/TYr7KZJDfNOzHfJp6vbWYK
86wiQW50DqyjLmRzsmpKySi4bz9tZlobCz/mpi8ZPy9hf+C6joO7bJ9Gu9a7Loc15hBCmFf80ofA
CzOmMGraYdADBVIlWTPTy8Zs0XMT3nGsXqQDgjnaD3nbOWw8lB04Rdi/g9dy3hnfx8Qd5yxZoVwt
8XqUGY6XAkjRymMy9EpndGnvmM0aYnoETaqdBUO8Po/Qo5Fkm5pIaIn4AREsj60fGGP6U2DD3SIQ
gTiwTpJsvJEB7FLSKTJ9SdQCjbQISQ6vyMT50yZr0+FvpsplvwyT/MzFIm+BCWtnp6rCokk6IxC9
80H6o4S0SQhLu5ACMBkDsFuPnTYnXp1SwpAHYfNj8Nzs12jZ8wJfcLK9o7ljLk4LUv9r6i3VR+tS
YmdlVftkBvfeAOW3/TPcEMKNAif/tZkQ4tzxXkWa65++QwNfFPQ5AMgw/LRqN9k1tEavUle5pz4Q
5XvW00QMV8O0u0EmGCsrp0BI0Uc+hYUISmPAvt+dmT4GnBetR7OhNGN5Rb70T0Er1NWdJRJDNlEP
EUMB6nF7usE3qgHuvZg2yHxld4wOLGMsb2OpiXp4cK/LGh+j+UgDyQaBhDo/6NJT2yF5Ths1DJu4
kuFrTg7rEkM79XLZ5RsBKO6Bas/ZHEiBN6QtF0BhQUJLwDqZDSkgA+l1XKE6Y+pqCJWtmmkuwk2q
ZjhQ2kWp3Yx1UOUb162hjc+zuBZeqJ/dWSw/EM6nZ4uE2QyFmcQnpMW97hv3zSX2/kQjnkfDEl3Q
u5rSiU0PSukJiMfMvXwK5Kdu8oQMmyzOdJ2O184SeYsE6STeuQ0MUxfHuZc/JgHJ8znllLXWyho/
ZjzxyP8crneJbzKYTql5AskAkUB5eQh8gA/iuabS21rHjYi/IydRwzr1HOcljhB6mV3a5UuWkhmh
P4ALdCgXn+2099cyTLhImdL1H7va6W/0F9s3MbnV02z5VQZ8Jm1/LlAHH+WStdzl20A+2PQPI+NU
fVYdUt06bzIJxZmQEjXdJYEiBqkD+iep6FKdstmKfqd5uXw1VDB6W5Jx3D1Hu72DxRZY7HJ2ucYt
3Vj84GnDuFkVKTsBqqd56um2/D1ZmDMTwUtEoLv4oZQrjq6jlwf6O9SJJArE/7bsz6ztbEB9aH/3
3tAlm7Bm58Ptab1JK22ejezUyRBsu3iTHrGGJsPffvDIzPDYtsz47/blVhvzR2bUsnbFsOEOUWRr
LTFB0RqgTtgfys2o6uLFAxl1sgS0zSWfh+8qu7ftLpCN9k1hV4fMU6ba3Otnv5zG7pNtPKj6xhUJ
9Ruax1s+usFzwOns99Io9UKNJ//oWIf6eGw/Yn3PqhPZZtyRqt46aWjj24HP8KWaev2bHagMVvcW
r1drcVxK58tOpNu6T64k/PtbjWOK6QFrS7XyBs+jvknra+mq4tw4/CbqPe+pQamu0lSoCfZcDp8Y
FgEh2c4oHoKBoqRIcSuBHjwVN4CyVKInYSYaYmf18gxph2+Eww3AzlQ+M9yqjhheklsPd3EtckM/
6kh/e+fVtDN3DhXdyRQ9leMsT/y2GMh5a/0yINvW/PIjicZ866Q1hKBwCR4HtSzX2ZTfrUMXbD6Q
4ElqkI5ZOD9IEtQv6eRO+65WMEiS8GUGoLbNZXGPmCFdHnVv+9nKnXCJZ0RlX92Jv1coFS/PfMe1
FbzXkAD6aTdyfWVCM6BwWORlj5pj+6dKanmNbBsbvuea7uZxoOcmUPggVQKYziss180pHX2KbOcw
7gEWme7CdPV3je81XzW695+SWKiHSdbes0HO+KwUOYVVDoxPc91lfJMMPE0TNb6sqiA20oraeBtN
Ie8G8behK4k6E3ym2CjrnqoqZHfifNi55pJWMBGfB0tVP9yYLYvKKI4sCQpn7ogJ8hPTFuzNTvPO
PFUfSz5f8vq6PpikCzZY39xtMNtBvbdd32M3jSlNT7UuP6UbQZmJlmFbyDn4O5IRP5PYgSfBdv/T
VondEaErqI4GdBXerWYcZFXG3MpdBm4wwkmmcy96pJyyxdbONAe5t/G/Gt+r7g3Y2jriuOKJRCNJ
4azipdXGZ5ELVdsYMAfJi18x84GuO72mynjf9TSbXynH1lfgp0OH49Xc1/+oGi4yzIIaYJcxn21+
rydmVYCMxZrHDa/kjkeYk8V4HALFHCbXLhtNrpOHybLtX4VLWwThD8yNDF/YuOYqlMcItB09RC7G
QvZgGuEaWgdnn5j4JqtiOq17v/GwywuK2rKomH+0QS6Y2yThToiGPb9qKRCPpF1H6zoSVrTRKl0e
hhTnMkdUTG8qlP0pNn3pEvKb1W8gnylans3Ej2B3zW4l0ga3vxPONPKUadKtENpwo2cJuxgVB/LO
/JaD215CY/gx0PrjQ9TTYbAuQXe/FWPHHEVUOWRnZeqVjizriMhegl7o+vv/MPHSEX9OxRszW7cA
qyhKRYu873+T5qweGyaoeGhxIy8F2+UqgmPTH7VNXe5GicV8oDfTY0D91iu5AjjkgaZyLQ6NXnvM
B7dTat9LhAsbp9sovnOPWDxeSmBdUQ5m1iOMFu18XATrEHH4vJS2c8L9bh5nm4m369xF8jKpYcF0
YkuVp8ObNVJ8kU3PnoUymvQTt+v+Y+AQfpqjqjhCJbJA3Dn9Zprb8Y/T+NnDwHHikWIP1q+FFhil
7OpCz6Qgzcp/g5uG1weUsf1hU6xOa1qSPwAkEtta2yR9SWX26dr19UcyNMtzN47VpSYWwxgd/xdF
5+WxcJT9u2hGKIdN0F3KAXcWLSBZt27SKd3A9l5+g2lLDjHo/GO31IAGBwi7Uz3E/n+Mfv/fG/Q6
NxDGvr5LpjVpr7v0t/63wwfKGEESIl7/V3/QV067wvf/4ff+T0IZ5tSAZCReP2nj+/mXQ8jHWC7+
W6LNdf7Lk5jmMHeCCUK85g9CyP6f2tjgv+5uOkmDqmv/Jx/3/5Bok+p/NQvj06GowbmPQyWktNCz
727Ff7lok4gmBN+VKASZT8MCF+EJGI1PtDyMlP/Vw2t4djCyrsDh2yx0S2XWdj5LscMPoRnzqOlC
rC1d5yPrFM6MltXtbaCDoUKYWzPe9jeJbIujAn7/Cz4PZ/ssBbOR6ZjtBwkfWZExEPvkXAZ3A1Bq
36LCcXeVbpcn4RKNL1qPUXo18KeQBLaZhA1ma+fTwaqa7k/cjUB8ka4IGpQMMYvQCR5tPaSXOBDO
duYez8F/gD5FpHrr6TLd9joLzqRdwjVVoLiGHAKmSeaG3xmDPvq12tneOX3k7et5sF/UkqZPeYOR
h29GbUpgB2rlkbI+WdgQNza35J1YVCXWbsH1kx2z+yqw7kKwjam0K4MWv1M8zvm0TrxRrBx/CJ45
/cUb2Tb1FR5988sui/bRy+2Lt3CYJ5S31DhSwL8elrm4jKM6A8J4TiywL743XFWVU0PXdBt2LQ17
Hu8L6ZgjgQpDjSJkzQLkYwnaITA4uVEz5Kv2lTS0542RvXG89BmP9rnL7/2eiPubqGIEQFk4gJWk
nENCc+he3GUgln1ZrjU/zF0XfYaZ8Y/ZEjRXosOUkBJAk6TBSH512dwfjLRs5tuIOmtbuxAWAk6X
K/B8+VGWRh1GuBSHIh7Gt9H1EQVoPM9hKy5c9V1QIbbiUl+L1vrduzpaD7lP7IknrV8N1aR+TNxc
z7QITKsyTlAyuGjQyEQT8TeduQw5eSoPzM7A+tZ+Uu3t2q8+R/y3NIBSm1k4dvara+qfWFrUzzBc
1F6VVX4rc2+8ItqgV6YTDAqEtEuVtuqSFUCoW4cpHNvbJapNzCQSGkbXutYhtKd8z1xKPCuu9Cn6
OYNc7ok80T63/pUTDY9BxdpfGDJ795mHWdNd7NBU19XzCuKretdKJNjbwik5YkeaX0wam2M59c5V
kPUCxeY34xfHiQmaOc0I7tJne1JC+nMq794PSJ8HprHua28HCJDBVE9PAHi7z0JGbbfOswUFZjSW
3z5SsUppVDSVVrfxHNWj8+bWNncn9JCIm/PBIpywp1WJH1OBsLqOUpbvHkZ33EEWX0XLwDjZ9pw8
vVUFFeG8cP1YuyBXTyoT0dZKoWuzXDhoc7SqPVLwi8K8eMV1Qhy7jNRsX40zBmaFGXJ+gTjtnLxc
k4P0qEKCaiDiJ0oMEkB+TiZ2I2OFbWoUx0JiOda5jKgRubfD1g4/FIWP+Uz1EKH7X3HaDVsdmQrE
E9KBQ5nJQcGnbffamhqu4dwNMHE1l6SE9DA22kQr9AR3F/hUIXB2L9KLyGDS4H6RFyfpzRlwWMIR
VugLUfjpISmL8pNcHbRCHdWjuxbzWxN5nIv8xo1ena4UxMYW5vZTG65zThecNRuzST20/RRs1V6l
Du/WPJU5gZlieg4GxzzPFL+D92DcuW6w5WxYUrdk5g8UhHUHBb35wtwUNkTujyeu6u3VkWF5TX3l
v7fMGd+huNZ/JreJ6RE1tThES2C9KCwKTyM3pXcsNhY1n82UnTXZL8i7KgMYE/JIV677t8rx79TO
1Lz7te1sLHyE7ylmDR4Khi2UVxTLlj4mucu80NmLLE+wayQT6bG4Z+LWcVi0EBtfPIX+SaE09DHS
LPMRR5p7iUvqXudS4r0INVUFqAebGCDrMeuG8KMiSLRrezHcWmpJrvwyOiJ9qI90cso9OLtkp1E2
H4Xsh8dRgkmclR53niPKTwb94WeIE/M6SPAWwlgpYf5c8LRLvb33Ssk1Tkhx7PIRqa8tSzxIRZ6c
8rkYSLR67R3T2h2p6SuvDUnkdZanv0VnAsq6+xMsnjuIQu8AHH02LlHl9TyoWwxVOS7pAAsSFb/S
2jf+qXp7ggzmmr3uwEQy1RUg5+S8ANUFykbkqfOmaWfNLrqFBiZ1aZSl18sd44lwTiQwIO4coTIc
/IzJUclh3XM/urk7MUCxHpx6PJRxUK0UXDZjdd2BpXqLFFqty6xsD3BlmKd2Trd2AEkCMeuoKls5
tu8Wp9zlmorSo6GDZgPXP5EMZpfTn3NMBgTDNeAKcJXgVFZJ133ad6V5HBjBrYPJNQ21tP700t2R
GYMnlq1oJ6yiIE1upPD8cjvEdXjAYDhDyiYwBJwkBDN5U9jdVgUeoavds581g5sfolA0v9pgLk+M
nMD68My/IhchbJjGe0gQtzYwVJqN01fzmZv+XrvLcpC4Y/YVw+4Px0TfWAP5v42+EoMQP5VUTWJR
O+gaoQ85v/VBS4YOyFDjWSiafg7SOqvtF28ee5RkXFdPiapmvSKMQSbTT2Clyco4u5KLCgxl2/pr
ok6egN1177wf7UUFzXBwkfTZZob6uyQyfQhEo04aiNAX8WwUxaS6RrlzF1NniqHGMnrhCyj5TMUd
Gpl3wRdjTFTkvk0eGSBn+H9mptG9cTATLvW1cCv70mPhhR1mj9sxiRta7KxxbHaTIKkppAYvxNw6
/FtaLlA0ywp3E1cyirrd7m5zCqZ0S6sOlX8SqN2x8irrpugaTLf4m8ZDZe6DUq7EktIsmnRunC/S
6qGA+AJeryySZMUysE6OjP8XOkcph5+euPh1J2ibxTMZ0PRPyYozrxJPToS6WnB0rkzf3LLMthnH
XUyuAA/BJxU7I0Br8GvlHsooSXcuMZOVVaf21g3tdN3CLjvAHaTkRE3NrZ+mJwtybQXYhB/YH7va
1JvB4P0IbJOvNEeLNVn0eN31k/meUmP+To347lO/+1TF+CUbuPcrn16eJyZ4EpF/0IdFpSmzPXe6
KLfDvdrY43nxRLepIwYyqk/oXMElh/QxuCe3DV7FMpVoClMOMtW6t05X/SbpGSHCy4s3fuFXuwRX
8BlY1vSkQZbso3qyXjDi6f3kOxI7RyWpiJ2jbzDn7o53NAaut7h8DUP5msK4eUhh8l5tUNLUJI56
Z2WlAzy/kC+xirsL8FN8mplYso3vacpQ6BCIT7Ol7lQqHR87o9pfVHGBpbOa6EplxICTq1brjiWK
mGXmUwGZ4gYvIncbtxbDfrzz6XoK4E2ghBroLcASybqPVk0t56S26JnJLtPwgjldTRbM0do7K1yV
mK0N0ScjnZdIh/fcLzO5wRLRwZ+9fJ/Pk/OukczBR9DylMtxOqZFVF/VVMzOapCojJQVW+mHn3b6
0E55c7Ndl2y+SOMnL8W9FqjFe2ejw20t6WPeVND7tt4U5KfUKUl9QnFgaWmqv+jjwYPs/eJtzKty
j0Bqb1sSRocl93zCzbO3u6NMj9XYOBQkRCFbDe4q+m9yd8OI3Fx6Wz/7dr/jnGpfAOBk26DoflhR
vWknSoHH2fpZjVhDYf/4by7lNisZ3Pvcai4tjVQ9RR22YZiF5ELXJDXexkvRSIHfguUsSfjzYICZ
LTWBeqoV5Cu9xP6GVELE38CoVUfb5elfN8vrf3IT/84hC++/JTn+t3vaPZP3r3sa5ev4buw0ORhK
ClaW6+eYBEJU5xDEsqAMAyVpst7aUJjXgHnLxxyMzZNIlvgczKL9SYI921JLGgz05Yp4nwyM/gmw
LzvbtxDiVI6YRWHetULowehN0Qs1KnwD9jr0OEpYlB5/eJLZE4eaalxHQld7VApv66EJBUFq/caf
Dr3QMvWTlRX9oezk+9D2ztHSjb+N2tD5EMOgztrxkZ3asN6ADealzX0M7EWe0/fsdqiybbAcu0Sp
T07qMVyBMWP4OH3Vo38d9PDicUJZzTlTFNI488Zfkhm3SXWJ0ny5pGNOjUkeUGVpOx0ckZxZ2/+g
7kyW5MTWLf0qZTVHBhvYwKDuwHuPvm80wSKkEH2zNz1PXx+ReW4pQlmSHbOya3UHx85AUuIOOPzN
Wt+Su3zUrKgWHuh30SoWV4YTkUExFRSFWzQS1eMsilxs6sRnd6dj2Z8B9JuOsaLaXZG/Kq+rqukv
GyQPWM95HJxPcSbe3M5MvtcoDTe1Y3hb2BXipmJqH6ygm6LEkLa5raZenjptZxxcYJObhlx6NqMw
EeYtcr7xrW+YfMXwRMrORc2jC/Z1o8p3fUTvJBcjgU1WzHk4uD5x7IVuibNycduD1gKPSNbn5ZyV
vKHjEu0I/esVMOSQTSr8rxt+6MFxDMbhSNgQewmTCttin/yDmGZKwWIYxru4YGkH/9iHOOGrssO+
ABr3DJBnetm/l9z5e/ktlkqctzBFeVpDueVEip1JL0+ywhDHl/ZSyTNR5NnkL/W99V7pmymQw26p
/wfDb8+CpSeAURmQLkCf0OWoeVc6MvzLJh3Q5KMeuCuWBkO/9xqSyoyH0dKC2O/dSLc0JsXSoiCv
p1sJl8Zl0MBTCzlAyYxhhGztTuEXj9kFBu8tj//e/lieLusDSbkj5iHJaBBc23ZiQ84Fz7hxgwzP
TwQJ4KUu8RQAWgCSUvbtlTPqdD8RyDHzEKPfYpd+W2tHIgOubwyRJAf2QNWZDR3mpugshyg3KmVj
QkW/qiiFIQOVip3vkkJFYJdcAcit1zFwM5b1XId1HJnWo1Cuu+5wxVyxevUeFNeANfXSMmZL88h4
mj4yS3V2HmctkwKaTKdkUzy8d57yvQsNloa0tuxsr5YmFUVVueuILTxTdLBIJ8meWJraYmlv+ZBL
o0vLy5haPuRLGyyXhthfWmPXiPzn0lHPY5Nmr3JpoLullZ6Xprpc2mv/vdOel6Y7XtrvYGnEp/ee
PF/ac9I0Cc5cWvZ2ad7HpY1v3zt6vTT35dLmz0vDn/KQLkIAYy1qVnxh75OBbBkSoDf3Du4yOBBt
F/zBhWstPu0PBrX3Byq1IcY44Xnu4gT96YEa6CaanHHy9wz4b+cn+0m9GE/qZrhorhEYlZckQvz+
Gf4JifQ+arNMJyAJwAn45XufjrjoWAt4TOG+l374mlcY7NdQ3aYLtEazWFMYLigf1cq1FWXxq+XO
eEGdkDxsyx3tBYkX7sp0YHWH4hha7RzCJ1yLCoX/fnZD47EBwXcn4WFlEJ6qAcGCs+hW22zSh1FV
6swudHaCC2g88mLm58Z0YCU9/6YD+L/vqabonYt0lzuW2k0NpFUfRMtXOaRog4cwP/bK9fftlBtw
SQZ9Bko9Q8+HiFMscTqnPfXdbcwG+AX5QwqPZWHMpGOiHxyU1vwcC5E//uGkLj7CD5fREWbgWHLh
gjlS+p8Mu00Q2PR6S7586zsnZZYcWxH6W3cygq0QtFsisN0r02EtzvIDmIqbdO6+F5713PhxXK5Z
9kXfp74bTorcmU4N32qufIayT9R3BGOhK+hYR287M5jBitrDjS7apFsVRp3x00xtIKrelB3MltnB
KiRk2tvIyPDQN0RltSWZ0TmxA9FTIJNF+qLnDglV0UrW0PPyPmLDx6spfX9Nze+vLOf99RUvb7Jg
eae9n7D/spH+cqD/9Pv+f5ImYlrUfwEV03/iP34x897ppO40hJC/8kmO3//X/yQU5O9/9tecPhBf
cGBIy4IWtwze/w95LrC+WPR+gnE7f+5ZPuP4f7HnnC+uKyUsBv6JD5Tmp0m9gGQXIBF0cf8yjmGb
8G9M6jHPfrzTSeWxkXDzH+Red3ljfnLS12VmGBNbLuz8IIa6rBUrY/APRV/wUg/GJ3YGywY5zoEr
ZgBgq/YN79Nj6vtP+MsZqqslalEN39sp8VYZ5LNtO0okU4ZlkEOgytsMPcGp12N0wjpbbuCdNsAl
02tZGyDPRR8jDEa8jkHwwqszhGzJFFPEuE84pIC5d9NN5ZhvRZ1fWRP1WR652MeClBilzPjOI+CC
lDBQmJWhvuLpilYurf6hnSaJM8oOOWrUf02a/ADa+Uzn/CZYKjJQKWSEPSRESCNcwPpqQsFhpyUe
H88+bVNnPqmNWp7FJE0hufEcBhtmPj2EQXRnJtnLEOunzCQFBDLsNJ8bnuOiJBvZoVbE5lIHd6tU
ON1NMZHQpDPnrJbWeBRgKXdzOFWbCEIuTFYraQPmPBPYodS1uh8EHl8suWS0TrZ3jWWcQrmOWYgD
1Z0at1gDyCnPPXKS8Cc14autIuMgHYQiyGLqjSa9lpRaVniZtuoTM4/kayunr5ocqbUNXw66OrHR
ImCYXpOz/EoRZZyHsgfwhLKfgd6QbghUc9DG6g4fV/WGTQd1VqC8S03ZtcPRRBJgiiOJwFZ/UeI6
2yxGojsEhKiqYhQ3fjN/r+swWVcZKR5D3mVPdjU9OT7xs0NG5BmCYnNVNKwlVNYBYnDizTwZGWV1
/gNlQcakkoFcm2cb2fPX5zafYtjbXgsGwSSRRHID+Fl+MGsdnyZefpdIeee1TYrOjUVpEY3JHSap
hv5DZNul6z9PVZTfUEn7a6vos/WcBTar35gs1tq59+w03HqRQXOaqkfu1+BtNEs4fMhWLqCgasDl
RFn0dXMXGuEdsqytrMYCT22D5t/JNoxbAsKlsUmhB3vOy9E8pG1zY7n1uM1aGMZYqBqGQ1X7YC55
oK70b/opuMMudAUhmHuW3/u6ZyqyYvpNAga+tGAPxSgKz1NbKA0XviWWIEx4R0STrq/YXZPZ6tI3
xTrLkVSKfFs50XAE4FLvJPfgZdQ2/QnVQXLgvT+tmM7wOAua/QyOo4OsFK9pYO1TF+v+TZM6/l7U
2CLAFj1YzJRuC+SuJwNwE7ineN1aR96z7BD7LOmLh5wJ55pLhYHZnTAzZSmpPkFnhM+6qntAv0Lh
YW2ik3kawLeEdHSYdF0tNl2o38grxb9VlaTdjHNwgdh7vKbFDTb16GRbWlF73TbyhBrCvqTtwC0T
usQZBAPsPosmbKr97tJM54KuU87f2ilA1TUr6HNedfDNlClbPVvXxLXiFDFozKZ4JMDIDMBPNaGH
ojLCBdUOfr+WtZ8cRLwgNpjIk32DUGwTDEb3ODWBvGcF7h2YNYaPuemFa8P0SCLszXSfOF58TD01
nSrPTe6DpFZnUaUQIMXuLG5yHLsXQaGJ7wzy9FGW4pHgapZocsK/B46sbsaruu3FG/MGnJuDRJ2f
NDQDdg96ORmx1vixsXDm69cETvBbbzfFpVfbwwlmnuHQtqRKQ2ChhfagdlszhHEnry8M7Z+GRiE2
+N3byGQVufTaBVRkRtgKlUUo+OUmdropRvrGuo+9U9Ig06thDuuz0GrTy9iEhEvo9Vknk35fOK16
LM2uI1m20Betmjp0iQS6d4kltsUiTO7TOb3vMe7t8mGab8IYvZVbEpiC/2pTTQOmnbS75j1kHDsS
FnbQeKJXXRVE4+WoMkYCFdi8sEUUZXtZZb67YSyBKrr0O3JLE/Lt4wydn1Ndu/DzmWo73UrTN0Lx
9gQtqR9uptmamA66AXMB1+g2raFcYgnxbJg602ej0WJWLZDLhUWOUdKzeQon7ptlIedjW2OtnSC4
ZrTwLRH+RCwQlnInoDUazRqwf5+SDd41M+oc4rHZGxGoUYYPplPxVlw+g2DIsI2gAa6rNhCPPpvn
NfIuSdDsHJxnWSzStehdB6S7HQ2vBrM86HbloO9E7f9wm/SckEievtbBB763Bftxid4uWDG+tI1N
6scDEkeyyHs/M0jyZS7OqPyc7XuKZcmXWyVcos3n+AHFDV0WxlMCjjVGeiN4Bgo071RQf69GbijZ
5He9oghM0cFvyty8mPsZSLsiZKmW6T2qBnHsGAyv9XKlMXOGO7uPBMkOPHraoPxeivkVbeDX3gOg
vzJQJW5z4nK3XoNKDRR4cjKG0VUSKxDeZkRgkC2uE4vYyyns/XUF0GCDXI/+fGa85qSMd5s+03eR
jdRsbiKs+Yi7DvZYvZgGTyFCHTegDLeydV8nMA2D434vutKlSQd8AdsBGQUF3H9ZJftzIfsf/43A
NTAv5W+FKWcvWRO/fB/e3uoP9e5f/+6vYtdzYCaTYRp4eLeXwDua0b8wy574ggLRlEvh+l4I8yd/
F7uW9cUzl2w8m5cAOLGfZCn+l6Vyppeiu/QolM3g3yl2f0HY4Y30LLRTS18HXif4BFlzMX3G2i6Z
FQ/FSVAQC0tKDYtF/bVtkmEF8WaTyaFcsVHchwS28uM2H2IEcmeM6Z7sIX3uIFVKPU97/PYdY5/2
KiWhcs23SDYVr5qNqhtnrd38qfUbRlikDAwuGbX9RLsmBcoHKDkofNdiSC9/6jz+YZj7GZ/Gl2OO
Q0dhQ5RkI/3py6UsCFuYGQ7k2nSDGGSXhT9KKgUkOn/g8Hw+ksOVpEKxAga+y9RhGSr/NOOIIJ56
PUvQTWNVLI1KUpuMM/gJG6uONr//Uguy6EMjLlEsObTgjrRd/k98EhIhw2fYNpAfXMr+m0ci+hp9
xWM74WjRPOzDftl6yj7bmAqkmodBEKKV06+8SMX70BrY4XT13km8Z/7WHdFb58ypZ5ha+ikyhlMy
RV5AtztuDVZeVq/sL6d1bcc4kEt1NjkRCQpuMuxC24Sr0jVHmzjUdduzNnXMZNggdHqR/fysVPLV
Vh6x2pnp/uF0/zJT4sv7AS9FhF7YL4DFfjzfRMbG/WQbwabyfQRFpKwUMB0YtjLZDPdB9VQX8sWg
mBEMYsckRFPbF99zI377/cV4P9DPUxHpeBa0J9sz36Vn1qcPQhWFQDxyeeCjg1pZipdGb3hPftQg
GbLyb1T6p0yeVkmen+puvqsQF/Vh6u1tCECrIhDXdqdvGd1sRlftnch7mdPoazFZREq6N3/4sAtE
9ecP6zG24SGEUdVkDscj5ONZI+3ONygAoTGZM/ImbGvkFN05vXmL0uEcR9Zd01VHXMKHeZT7RJkP
Rgz3CLfKKh6R57BA66155eESI3oqJvBE3g1MaFe//5y/XF0+Z4BoGBQPPyWXJ93Hz+lGChNOAgW1
T/Lb2ifGZijoNdUw4mzqyEFrrFWRAgp2ZIsQRs9fyZy+ndjUd8jEf/9hlnPy6Zz9/Fn8T2BaU9YW
3F/ARyG1+QiCmyx5sEAUQ77YN3883Psz6fPxpMndhCDR95i1ffzupN9l/pxT+NvtzJA2qquV3xIa
WgzcFc4ttCWxY9FfYXAhmEUtGBuMXtCc4q/eREZTmobNNmJ/D0W5fAo7NNNNsCvS5m5O8uxU4O5d
d2EAcdxNroOC9OQ2ZYtiz2d+2ziHVLLSgJ9FOB4CuklU1nYA0OcHQbqG+lJsHUedEV4OqXnK8Zwh
yTu0PsbNylXziuaYOaAGAI7A4Or3F+LjI9ZzlpuC2aNE2MloyOG99+ERi7WPeKSWCzHPznZ2oh35
iWPqg274A0lR/PozoUwkRYTgAQ5ku59eGy4kMVGG/Kbt1Dtl0fVWuhYrOr+GyRDYeO+b+DEdh1tH
zUeQ+De4ip5Dv2gIBw+/6tBH2tV8J+ByVZrZQefirm31+Vjl+9+fkF82lZ78+DmpH35+6ZigHiJR
qwzjtDybrGHXZF66Brf2FPKCXnlm32/iukcnaZALl4/luYa1svZr3CkzAhfshMaFdBpjO47KPtik
iZzrRhf4SIfs4BLCvI+UdE5mTFkP3YD2o1btRV+RY+ZA1cYl0Y8rSNVI1QIOLM0eKwMqSoDczjIy
QwyCNLvYVmwV9qVTPZJN8BLGNYnZ+LW+Tm73IGB2EHQa9z+KugfdHUYaFL6KThkJz7sMy+jvz9mv
NxHVjstwL+A1bfMG+XjKMqr1Do5FsInc8KKF8Oa2PRWztw9rsfv9oax/OtYy3bRdYTuWa316T48p
5o/Grkh4RUV30nXz45zU9mmtif+OByQSuaI/L6fzJvoRecmwruwGbULAC3ZoGbDME/AIO3X1FV6C
P3y45dgfnzKejaKR08CPijr30y3OyM8qXJ9uNy3ykynaea5xOqv7P5yBz5UKN6hvkmIESY5hLorD
j2dbi2W7JPNom+Ie8kdvPEyEA29wneznJK42U9PdDFFdv+TKvWffcu0SDZqaAPQ8p+y2aibQUemk
pJEarwAAx2cAgTLW/p7zh4Linz6p9B1eitwWApPkx0/apnaIvTsJN76seKokxa5PkScv+rLIBLAi
Y48VbHjqE7n3+5NEQ/HxShBPKSRMSw/Ah+d+ftj0ftHOVVSFwEu9h3DweMToNXIRen3BQAwLYKH+
cEjrn44pLSGkg6GUB9yn6xKQCuEgFw82gQr3hViMP0mNEMMhygIM6llVdN/irL9XsQPiRb6QNBgj
jXpF3h+tY6OqLog2xA1rw/fz1kl69/tT4vzyAAbxQH1HgetBx6Ny/3g1RoMNtylaY9Mw7oBwvg/d
cBem/FzAkkB2y+b8FO7PfhjFj9SFIIaUG2oCEaGSaRvJMAjXHcYD/Y80jnfFaO6iHnegkSVXg8z2
dYzE1EU/HtTVN8n7duvhw+4jIzhW/PFcE8qbwklZFWOzwUBDQq7bvE2FeddBMLFQLTVTiXY2g+MX
DmBZdPaHK/SLWcBj/0Hb4lHk8tsBdvrxDJRJ0tJtxN6m6b07UbjXs1+RMYilrK7HnOyDVm/x2p/X
I+mgJPyuc/bFLJgJcmyj5gat5A3aUV4GBgKyJHPWo9C84D089YX55ClIJkXQDIz39VnUtMSkTDy8
ydvd6UFaEIGzMy+CM5KE4YvvEoAtI/+2t4NnSyTnFsAXHNpHnfI2SNlfDJBryC+dv2OjrsFSqQvd
LWkefDSzuMzz8WxM07MMRgR4FbKz2naD2C5axj37tpXnlcEinR5kOwYI/gndmndOaWN0RVRVQbFD
98AKvy0IwbCycRfDkrORwBPHZp1gVvw26Oiyyp+8OSAi5O33N+Mv9Z/Pqoom3aO1M21mXh+vREeC
T+kpm3pMrNV8cJFwVgfF5Bb25fuR/l+PWf4bDVBsJhU8W/7vy8LHt6b9H6u3MnrJfx6g/P3v/t4W
ml9oT33ToWfBLLQkS/09QPHdLz6DEOnz1LZJw1pGK//aFnpfGLp4ZsAjlTmJt+Cn/+Xrsb64DiBh
JCQekROe829xfz+/5NlGslSWrLaR5VCifnpUeQ7htznwzb2Ou2ynWAet+kgmG95zPjiq6fjT6bn6
6w39szztl9Zo2X4y/nE83qz0Ru+Pzp8GDakYQzaXAeSjrIn2kcjSN2hC6rq3ECePE0SbIsSPgLoj
MNkpTj0jU0wC3QOwk3yNU9DGtxwicPrD51oeSD8XFMvnYoDk42vCTeV64uPPZOFX0OaS44ec+GuL
6m9DFoO/8mb3IFrnBBsIYUvghAh4ycdNPJ27ujP/oN3jmv7yGZj2gIhmuGSDHf34GYBO0Lyknb+v
YW/t4biFJz6O5Lvff9V/uOIOXxWbuB1QOAXLn/90BTxOMlbO1N/bFelA2cCSwUsOQ4KuVA3ER/3+
aP/wnVx8YzZX3BXsvT/dX1poy6TLCfZB6cnd6C+ZL10t/nCU5YX/6eoF/CKWcpAGiyX6x+8k0Fgj
Pg+RI8VLyYUKdVXm3U1fJN9+/3X+4eRRYS0VJ9+HoufTgVyDBur99g0T+C6Fkf4YEjawmV1e2Wn2
Bx3QPx5MUufCXmZWZH462Ng5FfHojrevbHbGGMVANvaYU4uZHnhM5eH3321RIPxyFgUzXt4SlFb2
Il74+c5ImLzM2ou8vTIcqtS+Cs4GLzRvciuWx6qIs00NDmkXt4C/5iqtdrwdw1dYPCWhQtDigDvp
vV0W/cYmZMMi7AheuLT9nNkcbnpk8UW98eMSsnGXlrhbUVW2K13Pcb+qBjWs63aGgeamsl+ZqbzW
RaGvf/8d3+dZn+8UNBikvzG2/vV+HMpEsN5MvH1UxuKYuoZ/nHrXXHu9e29QFRHb3RxLHf3w7LjG
Z5uJOyLc/T+c6n+6XwOe3HhimJNDiPx4pvHAOSVp7cE+x791RDV8UTKBZ/0OPuj3X/jXIwWkKkCj
8G3f5Vx/OhINQDMAG/P3XpgU67EjLZ413dcmhlX4+yOx3/n1hoU7xkqAfpG+8a8//+nRogrLxlPT
eHsH3zU7NiNZElPHK6Yi4400uBGEau9gFRQE+7XAzJi8qDXW9JqEpmocDqxG8z25YgHMt86Vt6TG
uy9ur/wDYLE2X9uqwxTWtM4ZhJfqNCP6bV/qmED72urScZdTjwJUtLAVFl53JATXP9Ss4GFzgXc0
VKM2WiuxtV0mzfxFM7dWLuLucD+0QuHdQa/bxal7ycRkBFQcN+z7+lGwXvSTy9As0hegocXRgWG6
NfNgPkwBMSpVr1BnqBZrkj07l4Pgi88NVZ4R0nu5AbYRn2zqcyudUI+29jYP6wJoV0ImS8HAnfyN
+g4PQo3uuaxf/MhEO4OkmADwSSGBrFDRUjxPuGvK/JCYbXprmLW69E0so6sRMiYp2yNQwHGw1VPN
Rvgc/nH4EAdzsu/RSX+Tw+K8D037OTPSxzKnS19lRiVP01ZfknJvX3hFvIHUdLAdoziUvWXD42NJ
eAO5HwuNHUv/1HTs5nLuocNErZL7Rulsz9ep134P6yDMFUClueryk75KcKXwlJrOAvhUsLQzkGwU
1iGi4Y6Zyj5XQ/9GycQ5gfNyhryuxnHaWQCMw5BTZhPeqCqnecTx0z8gpUiB1Lh1A1pNm8EDZRvD
GVhsLcTmwjl2HbTVAXHfWkvXOVO9ZGqjzBA7GwHZ2BJnXv3QwIBwrdLcqbpN1i8igSjQu9Lneoum
5/T1RuO+hEQVbyKuLQ+h3kq2Tu26zwx9plM2Ws4zfHHsriiF48s+UiZZSASBNFA5zAZibdhgTNHO
hPWG2KHgAaBYmz8QJojtAAn0N+USWLvyQpc7PoBEfYuCMgMBHg/1FoNxeFI0eo39xPsxRxDvViaS
wmhjtoie9niLiBRLs246E1mhGGu1skKoO7DdlhFGLhCOe4EpS6x4HhSvrF/6gNAWQMeBQ0i1DpBI
2VHWHXD2judyJndtlTpRsK+AyGnM2kWx8cvwIuvGiAwdrIWsTCw+bzwABl2MYjJBritj5q1GMp+J
Qe+63lInceDq06gti1u7HICAJNNuBMV8hyBz3AKMbHcNn+0wGFW0C1QbHHzXLLi+Y7GJ5Mj9kYPt
w4qSdxJ7ZWQ9sCn3Tu1JvcGZVdukw7asY6W+BiHTIApUWx0NSwPjMFIsfaJfVhcz0DeDkfyGKCfO
PnxeGDIloulxApBXamA1jhtBgk+KF1NH6UVaWsPBtzXWMRtVLIKXYbjuUxMIM5f4NsRWf0gTI98O
JHfucSugBUpj/a0HS3gtggYT8WAUe910Ptv6yNr5Jsng5D7vxp4CcZwt5zRkKbgdPRTOukPe1tcn
kZv4IBJ91ZJtN7BpbSLyF9PwHqwwCCZtRZcGYdenWrfBC9gp+17MbrsF0Wm7TI40G/tShweB857k
yzbZMvbhp+Ab0UmSWf0G9Uu/ASAVn0Z1/+T7GlJYZULvcuEWDl3XHTTy0vM2h7W/ZlIwo3tInFUE
ARx3ogFqyOnwiJBWHqxsd75obIXzIfXmW6G85ryes+R1THji0pozMw2xrSpcv1cNc1Ui443wqYYi
s+qyObiXyqEn1hOrvskDKB6kT4jTyGZvihEVS9isIzA3eXGDJTsHE1PI44AdcBVm6SaaiQTJO9/Y
VbYc3kjTRcaY1fCH+K0Z1hPsSfvcyZtzFsCoieo0Wo+DOa2FM1lneWs7EWadON/p3APnkVfDriJZ
jLgHxHmpJXEvat3fgNAuk512sDrnLQQU1p4/RtmsisFz7yiS5n2nMGgAFXtgrmDuLUu62wF78blT
ttd1gjkrhcPlkfiKZ1Mw6QnLF6sCaE0yw7gMVpIIM5Ry0FI1HsaxhOH/yGQH8clgX6ihC29KMyy2
GDCgQvvOuVPhBg5IlluNthx3w9Cpr2HAUN6brGqNcfQKbp6/SwkLH9BaDfKp9CDeWXk07aCaZja4
c3CTa3x+zLmrqazvqcvGa1Em9iEHsLPXaPnXFg+bC5BcNTs/I7iN+b7POhh6wiTHXHM2ZCFHHucK
Gj0m88rbQJUPTeTSOGaRynFG0PzN3hX+NyxOEQ+vxz7WzavAC2aulRfo7hiBQPN3smRW3zbzj4lc
hVWULDBVr3uBGlkd+c/hlvbHBv+wdtZE5CiGU/kNz/4NpgTrgh+h2s8pJHhhB9mzMG11QgoCws4O
a4tF3hGjnCjeJQmMcgu5PBHf+lTP4XiJg+yhZxy4iQLj3s4Hsmx4yV9JqKq7Bvgp4kQC0tEPyYE7
N2vy9ew56pZpyq2XNOpQ1SRdBRDMD20DXnGcWC8VquuOXZjiI9FdibDF5abolYCKUeVyzyPF2KJS
NGEqw5af2kJcdXWebEqcoM+V7zRbhag0hP1/WmqeFmMTVD94IYGJAnJ1IOyrv4/QIyODGd3hTeez
66wqE+VVitF2Nc+BSc3oTjvDYKBGWkFxHJLmRyVEdTIOoXULqoLAYXO6SnSfnUwzXpEqsIHoWJbR
PxCTGf1w0YFuY67NJSo48+i5KtwZZaBvZjePdk0Rftckg15YJUuyPIFDLv2UwIos7bLDCNlgP6Tk
C3ShSrdtYV6r2fGJUY0FNrp+RAnrOoC9nKg8SfGlr/1RgMiw8YoDap931ZiwUJ4SgHDoilkaQIoc
oD4TiCNGkZ+SuJq1ED04I4FM831YIglwQG+t6lieZk73NOmxYhs1XowYI767Rd2dqdquMY7n45re
8KIjn3UbhE3zYjdYywtT9cfCnfZZZTwQnUMKRzdDxAejX55UIS7VmCkkSCxZ3I/N2F4E3gCZipfg
YawJ5WYte+/Usb8qY19sVNDr76ocZt7cyyZIEPSzBqgzbGrBszmrZITkuYyurb4s13AJkSwzoc5W
rP+qDYOM/goI1mM9lTgzje4sFqyNimnYVjHPbczE9Tbvxg1WVz9Z9dW8h60MSF70qwZK27nAj84x
k+Sawt7FSpkuQjkibnDp+oKBb/nQpEayq71y22fmt1Imh26w2iP0SUh9CIphhXrEAQB+5d2HlbNN
XHIdjBLSK8EdlevtJomBhDmt4Z8EFZZkYScQRtGYjSR+qC4jhmFwN6WK6j2lfLb1I/IRZJyGewI+
yeDh+CtduN9a5YZPHkaWVY2X2hzgFswpKZK1up9aPNcNCprW6B78VPRXMXHTnNrnoEU6a8fGNz+p
HoSdnWP/vI163lBJYV3C4HyLsjc9+P0edHm3MpPorpUdCj5VY8T0zhLXOjfE3K1zr2vOcm2cae4g
CPQBGI7BBpA2oveMCPHgLYXkuO73tlTF42x/ZxSX73zs+WtrSIt1TiovXqbJ4AI2yR0OWlQiTXmv
Z/9BqpT/qZesDr+OlXsWW/mzI9z2tAFyvO5yDbSxiO9jEWBLKu6grTzjY4Je4Cya+/LCllgTTUHu
Ch5lHKOQMVdtWg0rAbcF6Qrzi1gJYokGpAMyv0n5VR2Bmb0ydjjKYdoYvnJZXcJsVixJVRqHBxYm
/WUZRO7lVHvNGzL2gKGZewSMizIqceWuDwfEq0P4mtkejTnt/l2r4O4vTT4/WcOV3+IZqXGB3ikK
C3enA5PtWkainQjJaKWUkmrr2OhD45zNRjOW6QZNEXSMsjwXDryyphypVeowoLkfyJCIaBGagZ1Z
hyA/Z4uBgp7InVHA4PEdB+tAxfWmb61Wg+Hdggm4dOwhWUuhv/bFvGta6vxSUn0WGSBrN+SZX0cU
9HZwg4X6HJX3ohy6KED7khjOdY8MNA6pl+tjHM81L/3y3mydETkAQUtjWj+lVo+siYzBVVK9eobz
KHMT4ILmnT3VDReNZXEt7O5qylFFjwxDyWB184OG+XxwkI5vyRKbVrVq0pek79p97MQIHRiInHil
CZ/OQ9qkioHa1tNfS2Bje4wafFMTwH+R9peupXDLFzb0fjvvfnhTbF8m1Uh1J+18N8F93RmwzDZT
Zp6X9Cy7lP7nZChDiiMiwVyhr3RLg+HWvnqKa8PFTR52e0YstwrmAoFXhOb00QXBVO1lowwA6Tw7
tk4QsqnA8kXRP9I3J5ZWKOEJ9dJkEu5MSXPsl/rRBgizxV9o7kSiTeSuGA+9QY53wihpXUqy1wYN
XTSCffht5EudeNpDnTpySYXV1UivjW7P+9a8qFVMfA6ojxNIFOWEvxq3mTg3JwWdATzneWb7zgOS
M/ngj+5bOFqCTJay38e5bT4SYNUeSohLt3Xd69eBe/uq1b48JwCH1HXbNvZ1G/f7sRgxIQDbvXC7
BoEHY5wN8QDwNRTR7oDbCRSj7mu8e3OJROui1t6ZFrYzKjLXX+d2Q2JFF9fdsUFJjD44f54Q166g
02ffwigut4mypnWsKYXaBWYcgIZmVp1SK6UmWSWqdPFUS3lS63Z67uBh0DDJbc7Pdwc2oTuGToo1
IQXDqzEy4Lt1U6rFrD7xkIFtSFa6jhlErfuCK07EcXBAWGztRmYpGL6Gbl+JJjnHXaqPSAK3ZTCM
u4AfOr0UMHeiZ3oiHsi9Hl27OA+GjgK3RN3kZtYA3TSMj/XcayjZQu6LvHVPOc607ZIsxgwo+gMZ
ev5J6BMYj3oKkmJCNU8Ddjs0wv6alUQ2yLH9Pgb28GRlERzJOT9XY4x+Ppm/047rm2BQSPgjbbDt
NbpmZ2W6PzXM5l4I95HDNielJrhUwipqYsrhxpmmtQ4ZuQkSVRoulI4vIGwwGyo1K/SiM5kFFYbF
1DGRa0Ae3D5VVe/cuAoj8AjCeewiaJTcgvVjn/KaDiE0rvyyI3oOx1C7nlJZXjOrKO9rAw23DuL6
BTiNfZP0iXkFxsLexojfJkDWib7KRPCKpzS4YR63ZGvagA6duiLwB51ZG3hgNuvOO8uaUp+Bfc+2
MhizYz/iXapViFj7f1N3ZjtuY+mWfpVG3zPBYXO66IsjalYoFLMjfEPE4OA8bw6bT98fnXWQtrOQ
RgGNBs5NAYmstCxK2sP61/oWnIodxIwyqDtYLJg5k6OKYeaubFKDK8+g+i4t569jJ/R9NEfqOWbc
u8rTtEXhcN7gJKYcDnwV4KqKNsAZ6wttoRXxGZVcAR9MA8+30gNfv1vGzjUt62XU7KfIiq8In1AO
WFXJyRzwmzElRlE95VOfwx7rreFWpbr4wO/emEeNyPluGKmSCixndp8NYi0ZcAUXBETbx8knfSWt
G1i1SgEhRVI9zAUohiDXge9Al5ikgKTQ5s+jY/cbyOHc9GY5P+hmJHYYYNgdFU56pib3oNdYM/02
ey/CBpaEZ0xrD7PhRi/J+mRdbT+GGT2tcrj2CqM95qStVlXG3sFvNZ/PZVvQJ0RchHfhzh3ka9CW
KzCO1RMv1D4WeVk9Z8vaaVTFdVXKbJuWtXtlx76xpUQpZpnzZPlSV7V1lHZh4rkC3bQWVRPuDTsc
HsdGzfdZODQPSWaJs174OhXxQl/ppaZIjaSo7F1e53uj9nERAtLs182MV2klFUA4t9DZfynsg+Qy
Q70JInfUNolL9clKxFoa4KgMtw1j6AySJFaVLGMzIBjWa4SHmi4HRznWr9RRmMRMRzd7cFl/rvvC
67+1pa0Vq5DL5K7nUXtX7N9xtk3M9i60O1av7A7/QbHzh3gKbPRLjGx6dMZceCMigLUoOUPQhYOz
or7kGsGd/Ek4Bt0QLlgcQ2wh5OO2zWooRgO1WUlaBz0peaANlKNNmV2vBr/Jzjak4lXWdE9uk6Qx
eDhL44JQO68OV6m9P3hm0JJU34w+cG53lv0dV8qQ338BzY5Cws3U1PytZPxMGJnTjQ2OTzMynezT
+DF3FHSV0zCvqnl86lUMDoRcGkotFHgv1G86kzgtCUwdjzVRsjxxxb6UZR6AVGiOlpfcwfzoN8DX
j6GgOzHg22KsHVThDapOf3a71HybKkqF17CQCoMzuHLhMOmDjRRay5NwcYW7eIcoYmt17wO0qb/r
lVl/Qf6ob0uvk3fR6MlnyrXTC0+eezHS3dYYWvfCWW4MqDX0tgW/vrVO8EfGUbv3Z2O62HM0h3jF
8/ANDZYTPnp5fSoJRAAJZ83T8dq5rrulJ0rLcCg2IAWyypfyMxO6AbPQCGcdT/vE2LGwS2CknVX7
j+ylvb2KSUcCOlc91+CsCltcfL7CZwm7mZGqJ6l6qtziLO0sfYTAEm6M2GuuuohAUqgvE5cw0b6q
ug4mINebPK740/uxu7PHWuyK2tAvyCIEP6vOR77oUPRIxEyI6JxlfcikjZlf6oxlOjaxkzKzDErC
X4Bph0uY52tCex19HemGG1AY1G392c/tYykn/7GcxpJtN1KpC9W5K9auMT8X5fRl7hKgBzIzt/Sj
rLUuw29VyyioVJIcowpNiIHOIcoT7akb8eT7CdolsjvFTfGcHOtwos4qFtSIcutqIjslM+ZzmR2E
hvBCQuDACZaUXtIWmDN0ya4IGAdHJNLOCL289WS6Et3YQ1rQACOvmKpo11VnqWqra4ThVyga8f1i
lsNRicnYTB0y20lc35NnLCo8xQ4Z2LromFIjeDghfhJT3nREEwwWMMt50KO6Ac4VcYlsua1gkApF
e6TCSKevVleAt7yuXTURsqY+us4z72veQpoGctT0NgFzyEDUVHqEZkMwzQg3c2N9QGzh0EstDUk7
v6QFF2WxfiSUy2IJ4BsJObNC61M4GQDpEf/0LmWGwPaGXvIF/rH7DE3PvWIiVZ1p93PvGHy6B8e0
rEciXVG9dmwtBnehiRHwQt75L9RPV0uBT1Ee4P9LkmjY5pHTHES73i74baUDtSlrzRDGN6jL1iMd
AvpTqKf1Z+aWdIVIn9wbfZuUGrTUXc6rxhfZBxg6/RBOQPN1JiP3SWGH0ToDzsG+UzlfFQ7bC7UR
+VvuztTXp1F06adKQOG1YOl3fVS8prZPxLcQ/HM5+sgQucaFCbJ8OxC5rex7nx6nmvpGYbx2QJT3
YyuHYkW837nJdMA3cE266EabxQKI1LZmHCZPeufLz6o0qyeGSOGXIiqqF43f/kbrePIpjxNoJSfJ
vSqT+Qs54Pi5pESQhGISyhez1ZxXVGDxNe9UFwz1jIVgaUQQHUf42YLeW/IVIZgscA1iP94U1Ft8
4iuFDIJuE5Q4rVcdDQxFoCDyPWl2ER+sSVfndhz9lxRacaAT1FrpykuODjKzwxxD1gQJ2vB1RmTh
B1DlzYtXyvA4c9bmUD3nLaFPfmSyK7oYd5n9wOZVfhvKvrqheUffMWzQoKDZLR1RCYcgI9O+Jsg9
1Gxgo0C70SHnY+beQZ9Jr/FxgLFm2YepUtXFDeMyfI5ThN5lJzmHktIs6nvVja2/grDn8XBsREhh
EpMz5ZgfxKi8w9Kqe0xEVX+kHNKaoKJ5tAngJNACY3pJ/gACU9fXkLWqMwuGV69Fwidn1qqtdlyT
JzMYzIZbNP2cabEp8YtzznZc8x2y4HiLYD3eYIJs7m3w+d/sps/PpV5mNJOGzqcvbO8cypp2COFq
pHmMwfq0e1l9A6g+CrpDqx4aVOg9p23buZS5u62z9pIFkK5GIUIA3paz56vqr2MGpA+dDS0WbqNN
E7IIO/1Oa6V4ityi+Cij9snwUUXLjhPJoOiBo9krMoDx2E12M/ejei1o9IXghXbac56imNNFep/3
HUGVo+0PXbHlGsBD7uuBA4bm1LN+TGMAsutYGjrzhilMrtUkiSrZTF1ZI6LS21pRLE+43Fo4kugV
23Fu+OoUJWgAUENsNiaFXv6qpsvuPDSC/le+Eua13rsIdq6UFKk6bvTaU96araO2exaGqgmeuk18
GIq2uov5oLyt8Drx2DEgVBudiCZm8pEAj58U6p1w1Yi4ktduuq9dgtEBE2Oltnyb0454D3vmSgJS
dQLXL52v1AQ58armyH+KQmt8dOSys/nOuItmDdVeo+TtGLnqrcVVuWJyPE4rrtb8Tjgj8Q4YJhim
Q3UOWy469sQcx32J8jn/aKMxRLKUNjEQhVXEMK5siYTJXiBaZ2cRYIrXNLNN5gqgHAMPi3/xYMhh
6Fc1eIVyU0cW9UG94VYQ/GKIm9vOSN/DTsAwFoltBnkkYWa69BOQRA6b9xYACLuuMNj+Gd2oE3TV
PNBH6TzPDVMHhhhc3oo2LBbffWZ9pLnUT6oVJRdc7NQ7NRTlDoyJE+QpNcxOzhCIr2R5IOPAoMxl
mHbj+MiZzCB7dhOSJu9zWhsc8Uyt/UK3XUFJK6eJKq4/rcHwT7Ym/GOK24q0sEWih7fdLWVQ7Vmp
Xlszq+WOr3CKOnTiakz7dtxtqnjNrbn+bLzBilekoZOb2LMvOXPfnRk1EaioAtCz2WnTHpRdPGyZ
28fbshOvUETVneak4l1zkHYM8IbKNKqP3rbSR8uNc30/j5WP+CuaZ3pNYaZHlXGd15V2F2EG/Y0R
Y7E//GwHAZOBC4qN2xS2EIt94gfHQpzpbl3Hjbfc6RmecmO+cR046rmsE/ZtjqqgrbT0kSgCW+k/
GybEv7NLYEFhCrqQhYxfozkLE9lL/MnbKSeSF9+p2/3QdkwRdMb21jjpFJjGbK2Vng4fhLn5VPu+
2NZDBkmPTzarKU/xvAKxswafmJcMmMrJsbYjx3jmzaZxU0ajhSxTOC6ds4U971tHVMdRpPQedFDn
zYFRhY02aOHUIlgzZlRk0qRXs9fnGsI2TZOkyrVVgjto7Syt7n3bC04o9sMEWWFlj8q4aRLnPS2x
vWvuIPeNxoKfVhTQY0DH6RdOnvWbR2cu/v5fPjcfzVZYC4iFYfDyaH/43Aq+Sjw+wWkdDyX3Bv1G
gGiqgj5Vh9LAskRqfa8sekSZEfXqlHS92vr5hlPA4jEYTZLkkU/pQDyU3qovnE3q07SgU18SVJN2
mvSe+26ecQC20nRfpsSr//nT/x6f+PUtEKrwSc8a+Bm8xTn3w1tI2EvqwW994uw17IzSH+Y88MiS
nGZN3hnT4KwHNudAqS4+Grref2Pi1R9afXHrIbjZRpnxEyNF5pX4Nv75b/d3256PORPvumnC1rN/
NQlGaHiO4RQ+pVgIVYwiI/+Kdsn2Ny9j/JpbcLDs+YCZlp8AS/v3DMoPD6FmYCy6sPZ3jD9Vxvbt
avtxbPv1NOXOm8kFnjUyq4PSCMs19cnOXcIhdFojjGcnPDv+hWKjDNsMP5YaQMFFWj0921k4U5KQ
6A+1zLqnf340xq/PhvVaN2zc7UuuGe3nF5tmkzczggTfPfjJLAqzSXLd1REHqd6loopryJOfXSo9
qaghXQpPC1MP4iGPj0ooWo/bRH3Y0O7+P/Oa/qem3E3cMD98gn8DOv0Xg77iR3f2n//Bv8zZzh+L
OZULCBsbwDOHLyieC/l//rfn/+EuaRqXECfR2O//5i9ztk/chdYMh/8YwySrT/ev0oUlLe/bABqI
aZH8xH/4H6CcGNH8tM55gmumzyuRoPDJTGMO/nmRqGJ31LkCWXsIHBxsETlgSfRGaNHAVfUcPb1q
zm+8JIzjgDS+VwZDpAA/ghdbutmlO3QrCvpc0liVNPA66ZRuWYXd08Wj9WFCb4HQ9p4P2NU0DPFN
ceSmPbt0k6Owc/ihUb9ASfwhOTglOSj6um6gtJq3fmc4HPuVgyFIK2m69ZMDaJvpTEPgPT0FXcAT
VDu9NiDrEqA7px3HI47sqcARg1PxyEE4cGsq1OaWIgmHgtOVKfFqza1XbQGlzSiN/WLV6xXHN/8c
RppxjUMr2ok5Zq6SJCdl5t461TgOzdzStpVtfdSoadjEu/eyyLxdBqeTOw6kmX4K1SGtK3k7+/54
zCgI+/AbKh/B0iJPG/LVnTRvjyWfktKejh3YR/7ZS5xvgG4MGCnTx9z39lan2RLEBblDNLUqnd98
Tr4agRJZhF9IIZ5kk18JN11TAn/knrlLYp3gLTOhd1F5pM4n64PD764TJE0zR+37nG2LsrOHyF9s
sAnDFztbFKsIWYYbxJecvrWNdN1nJ9Wv0pZuIc9dY9Rug6Sfmo0fUQqDI4bC05ETH+PLY1FUaqcS
sZs0hld9Lm+ytmYSMtP6sxFRwb23Fm9q1HJAro5+O9PqcVFgG4OcY+PXoqN0e1U5Q/RuhggZcTrx
J/SMWzBMife27TWMOY13KehwPhFkUZ8tQ2pi1gmZo6qb5lNWF+MVsM2LbtTJp2hHlGwFxtmImPYV
Hb2iXAvlR531DGQ87c5o/GPWywKeoZEhX2mtdUGwCffcFW+yijTx6Mx3kCRvMxCGWjS6NzNgwYM9
5Amdb/jgVnoWmjc+Mal1Yqt3Su+mraflX0n4D+fOpXvezGeO3dxv7ly3tzdu3aRs8x4DA4d7EaTS
TTlZc8DAUJ1k5l4MTdh3hJE648p1w9QPsHAYDU4mLQFaKbKi38oiB6NMNXqkbbggQUVKB97sOkcK
o5TS6X0Uwj6BRS7msNC5cqcOb5jLzF3reVx0UqvoBlLi1gJBc2ZdD/qBDMaq1icu3tQPqIi4cMwM
xDWq0IXbHNJiEKWGINWulfG04io5RFeaSAq57w2/lvTPL8jPNBNJ/UWDA5ok/J49OSMKezaXuAXx
ZQ5eOVzbMZeIPRjlVp3Q6PNxyxQORyxDmNa7L0yY6YfMzrXqs84SskkRYge/gC7O/SAy0cdp5gtL
KtdD34s2ir5YpuoDxrRdbDnKpF2jGZ2NNIERb8NC87qPCjRcwb2eXqa1USGVrMrGt78yPlBfypFf
jC/T8KaNWk+tU6xl5Eupgaz2CChM5swB0Slw0omqLbsCGrd2s5yH5XI+bQexQWeKHhnJ8QuRHj8F
ahdxreBK7NJIfhvDxVQEcXXEr58mRnbjVCkMy7kXpbcpqBGNruOs5NMXqo53i+1XbkgWcCzWHW+G
QM9oGVm7j13j4DStzN8bJl7J1nczdEizoBIKSoMxv5ImBmY+9fGdX85YpnKHF+xr7M6AynijNc2I
BxVOrb1qSCDngKEczTS/Zk4Sn0tfyNexrDhk5/HUnPuq62lfB+p8gLo9k2YDkhQD22Fg+5BK9yGW
EP3KFLNW2agXz8YyMBM8vrVSUAc99ZbbqCzlPbJetR2GznuJgI/BtJZi/mro88fo9OG61fvyKaT1
AxER+ZXWBjQzeXL4c3FZcou1LZbQcSiuJL4ia+drIU90UG0ROBG+zhWdbM1FtbmxAbnANDoaa2ky
n6PSamOWZT6eWLWfBibx7taJG3mfghq06O9p6OLKSQutp75zTkj+gsLHVuoTncwJButcNLSW63Qz
3OeuEX9QWWPYK2C2Xbz2WpE8tMx+hq9RNcsWeWty50VCxrTa0GRqoHLus3F6m7CneCuH77Kx8iLH
D8yonrdG2KVBO3XDDcpGchFaGQUDdW5nz+pvVYY1P4yd9NZz9H4L0bl81GbdvdL8fHrpJru+rTXd
x6XDxPaho6rsVoVAmW8Gv6reSlKre0yQIzyTwtVwXnrFqxMmxq3WYZhwTelfJhoDmpU0Uu8tgvPM
PDXD5szsJyEjavVhBhDJ8j69fG6uatWPn2E8jIxYqf1FC9MAp3SuplqccU4MrIlrIqw9z2mjgJJu
/TobOC5XleF8KUYNvNmQmO7W5wiaX8FHIPleAmVcjF8PFfOHKOiysfxmul71Obja+My8sK/X+EN8
NGCkHdjaEu9AMs0NWP7EOkd5pxXnPKvFg5ZaTXFFmQmgv8yoBK75RBvSja/H3jOOXuaNaedPu7QO
K/PoGBm9elo73KJKew96VeYAhmVinFoZuo95a9hfZ4ARV4n6LjsVKnp2Bk2/NScKKVa5yqdzpaxh
7YG33Ycj3D8jso0ThYfyMJDZoCMY/9kaxpqusUbQibj1WkT3YIaLSbLfn7vHiR61a240+EmnqGt6
EqL53J4LLal6gKtFObJKNjTJ4zcvg16HC7ChP7A6dnLq8bpZVmfftumQPxcdrIRthUF3oFlkCMkg
QzZIjz4Ov/nghb0MqXZEf9ljeGf/Y2TEbHqwTU1dbCeMzVuKdDtFKWxKfYkWAklj2oNStK5j3vp6
HPMIbLWWQTBLPCND+mp9O7pKSiSUYCjH4dYwuc4eRT3b+tWYQtHb6PQoe0yjqzs8XAxzwJGrHrJn
YtdPWHvQxG0gPzkuGBKK+qbM+Mn7MR6f0XCGc0ammUhE4z+EU+HcppxcaFUlsIIVoEn2mpitPdSR
CVkpMffsZ8XFmvNi77kdeGBBaQR53IqC3rSbr6jHYuhUdpZ2SvBagLnBWsU8vBva98nDPbHi5s7x
wdLBZFJcl7QhhuA8o9YhCTfSIULBGBYvs9E3Jwqbo8e0Y8KfMQhiVls70QO+7jjC5cLuMGvVdKBv
r6mv2qryMnQ8kfp7hDF49nMtbToy0ljIG9PM9YvXudYZqo71KEZJ5o750khxopOxLBfScRjvp8Q9
NC+0HpUxMJCplMI+56u+v5+sdKwPBvfPY2zO0QfbHItl2I72tKI1wIr2eaIzfOP+8VobhX9SQs9v
ZlHdNK5B00PS0yHhYzJry9m+qtraW0N2PzUz7pLSxAvhYOheJWV4GjV7fmXDSOmDMPOPGs1312QN
7OXR0rKDIWkfWHGVaT5oiecIxkCYWRkeChxMbFD1FNN1JZI2NTZ6Z4ltAw6IUIa1UCjH70RKKgyg
XVajSUXLNM2XjPFE0EhVvdedwsmn4SuWRsL4j2C7TQezlfvh2oAy+FtV7Dc3nl+UHUYepV5VcjpA
4mskgnjXHmmo/m1G/9+8DFlcrvCmA87P/iVbN8APqcJQGw/uRC/PimlSGjSqEe5vlKqfBcblArd8
vkAZLH0Bd/i/vI7ha6YklNQf5r7sX9Nlh3fkzI0gUnQPBBOZ/m85FcRA2jELe795dXN5Wn+JTH++
PKQMV9ACyO3217eZjFGm1a0lDwLs8TZeDgKmVzhbsRwOhrHLb73Ggg9QCfWSqWpaR5wmBh2MKacL
8f2YgXicLweP0uHcP083k1tVB8dqKKDV9Yi5fzovOFSNBOmla1uWqooBHVo2FheyT3+qHIgP0bfq
5s+/+o8B4r+/IW7COqILD3ZhDCzP+wfBaLZEjAWkrw8zaM2UqGcS4VWgkU3f9M7gs8dHuWf9JrX8
9xe1dDB3RJ04mS7Qmp9ftA1Brg6Z3/Gi0XyFlsxZWr4QIjnS2N28/qBO/Jt3+HNib/nIeDG0MN4g
fxJR3Z9fLPIts8RTIg/jnGgbuzU/0F+3hT7J37yrn3Ws7y/E19K2yZAjcli/cu1NJss1c5HykPSF
KS/CqEM2TrqY+9+pfP/m+aFzcotchE7ddn/50KKMbLWNu/wg4bOf4p4jRdhPcURz88IjykzLBNw3
JwsuNh67S0YKRMBWt2ERc+QjpsfpD6hqtJZtH8776fv5sP1+Vvznh/+3Z0I2na8WMWKDxwKP+5eH
v9R9tJWXHLI41t0DUFp5g9ecy9J//DpwEW0bRiI6iLUk/3/8GjtN3DVR1NPHFHIZWLcu8Yx1hHvi
z0j5/2smwzl5b6uu+pTfoZrvFRPThEngd+nqr3/6H0RuICIBZuuf6Zf/RULj9T1+zf/XTfv68a2L
fxQJ//oD/iUUun/AQOKrAU4D5c9eQJR/CoUw31nXAWsg03EsWiBB/60T+n8IpHP+3/QH4Jsw0Sn/
Wyd0/mAxRljnj1uCsvAG/gOdkCZYvi9/rfOwFBYOpo1UaZlE+xfZ8afvUxMVtaKmbDhw3Y9Smq66
7OJ2jK9xmfSSsyV2wHSPZ67GgQZiW3KSLPuGCxopaM0TOHMNsz3MMa2OZ0PPCIwMU8L/duTlXuA+
+c0q8ibVbjDDgIBmyr0tWZv0TTvqVnRd2XaxnAtV/YKdGgJvZSTwHOfSiMjiRUXnbUzeAeadSGwN
iaqJv2fY6Go0W/4q4q2eCWbQ/cP4EU9dKXMwwZE3B/Poj7c+4d5kP1UtPbEm40hz30xQdTi7Y+rW
hnLwbjjLDFir6hpVUdlGxGTfErdUTeMnzBpY1Us1EGjlhhBwsrKgyHzGiV7NG07jPoXsQhN32KhF
TpttET03Ijf7neeF6h3GsbzBd0Ijz8QwPvCQinqGwWJ4jdNuOrC+gk4raid5EZrTEa8THh1ila7f
ks5q1yOJyYNh4I/ACySIg6Sl6awsYwwfpGOqZ2PEsrWifjuke06vSKV6LuWt1twSYxQqLexNvRxT
zcIYzxjCtJNV5GT0Z5HM11ZCkcy92VYWllChmmhLyM3yvwyybA6KVcbY5L5OJ+aMJ6XZqYm2mHzF
XLpNDk3X2RyBl+eSwaqyUFDT3I29hy5WnLll2xLqdWpCyZ0Fcl0Ny8OKD73E5iqJbOPnl+LE2tbs
vcwr1MWYJi7QBZ5m4xK5XkT1o0u4Jx251TK/aVaCopk7meifqWoUdw76GDEZhweCMAMeptDED2SY
ANQ67jUqnIniuEQ7rMReqVnILedhRYLMJvJIYHEUa8vv3fvBnw7wV406cGH/H7W8R+VMQ1QfL6JI
YPhi1hbuOqe8avl+YKS1P4yiOFBfdRinqNzRiFPs7M43A/IMycaaZXmOTIvcE1+bO6y42sGZAMyn
luDRNQyLC4GZ0K/qY+802GQ1Qe6IKdkcemdm+93ZE8gMeCogDcajy6cq4g8UwXznibL4kki7vB6s
DH1gMfZGPv09mh+TbkCCumRe7W7IBVR3biuq67acukBk9ryZORelqynWiYrm0z25a6pCZRYdUAaw
ULlue6ydmCuiD4zLnQiXITG/VUZq3TeVkaECRUPg4kzaOmG+lHGNGXcGYJADaY3EkP25QYIE7B7r
zSZVdv9APeXNULe7YdLnkSiMwZUsjeUljPMusGclWzpSrLUN+LqyTWJwbUCI9Q4DI5hcV7svy/pb
3yc32WhghA6NDMiolEHJKOACEDp6jjy43jH/ZtVMWYmXxK9ZjKwHMfD9VwUqMWE06BM7gyAvtqxZ
/9ai3EEwqE+14xJqG0kXcdXF+5hNn24pT30Rkz4cNT752ioCrchmDQsI4ndOBC0KbSKaVk4JaSLd
LWzd7iqNNZfbKQaYwqymYHRdfGPKnp+5cJO9SMOZe79odhbXvTPYcoZ5njbeZ3Z178gwPeY25fUE
ZYatObbuxhMT7QnWVN5yfe02mJeiVe0U8zXZrl6sVTHZ+5gBDu48bejXTgoHKCAJQwkyWEoy56Gp
npIUuLmywvHap21q41C6tvFje8lUtZ91Y1lrvfea4+SE1jY2Rn8jKWoOuLYWN5jIHfL5nXmccit7
q+qy3JI3oHMzGu3yRkid8/yge3u+CayEEpv+xlaN92WkWxdFfhiT31xCnO8MuJ92J9glywmT6Ym5
uC1+Oe0Qh23iNNbjg0fOXq5h+BbOWiaVunRlYT2OlRSscVQUrkcLaN6qbIfyoWw0tWnj3PjoKdZI
rxQ9RQbVC5gYNNMJ9VW7fPr4HQ22qRHLJFVZbkhzCd2vBDpK8GMHGzf1eJlEjqmyQox76hwru1Ou
Xlo5IFRnsE91MntnBuvZTeyR9BVNjYyrky6RgTRl94ZBUyNrEztfso5JzVBmysJnpNk2sQX+9FXo
OuPZh9ZzGEdX7XrWd1qPNWAUcW4uDr9pb1OEAON/GFeeibfUyiEcR34on/xUw2GJOoezw0/4O+Js
555Ngt/Q7HTrTuxb0iP8WImZxNboz+j1Tru0YtK4NtDCjrkpWU2ePuwJfdrFFcYjbwNwIlrp/aB9
41aojt1itKZwvJlpkdK1uyxz6s1USftSqM7CoxpH982oiCMhlBHXt7HlzD1l66lRXeiMwGRC8+XF
lo79pdToYiUd0gQSFQcWTNlBGKTCtNaBF1tQ1mKbKWRnfy1TdSK8+MrccUe6Bq5qp4vrOn0bBhIj
muFdVUZsBCB12rWXpt1drGdEzCoeHOeNgBL3hnVlZDxJVUHyajQ23QS5oCTOpehYK+Hj9cl1HBaI
Tbrl3AxUHrqCnBzbCpZI6eRPrQtNedXZ4AJmtyemTMBrwLYVkust2vIZc1e31qmencbYDtpW+Ct7
9kvaMZLq0riNcZ9E9rtbiemuAn7/aZGfv+6k3ZFB8eJOw65BIu3g9YYgKDpEoPRzJernXNDWsaLn
1Bc7Xwz2dT3XMPJJWdjTF3+eDBisRK9flelkLzIsxHxPK5dJVUXtAmCmnqd5MbDqXeOBtq6TuHTe
aNbCkV0PPaUEtqW9DXHWAWNwhhFvhLQR5PWE1JMLMbpInXvCUfLdAvOxItpS3Jsl0wjqULJ5Z+dY
3HIcxWeXICrjhd6noxHKxFe78KI7XUhxzlPWm6YZ2ef7kfJ5MSUbB37LQ5MtbubEAqnosiixnUyE
4ka9yY/J2Gh0ZmlGrCPXadndWDYjhlqvtpINjQ34cLO8kOAFOHB0GxY7moCyaSK4y4pVr2i36hsy
Cyq6LmTk8zjNlG3fnecNSeTmTjGs+cLWIr71ldPvOXrBA6ADQ5BWadKKQY9JQ7zX08Oh/JnVDx/i
tBl7o3xy7DQ7ZyqzritBO3GU+v5z31nGQ1IIbdu0YXQ3axlHHktvy3v+GtmDMc98uk3C1kQRoU4E
ehxOuCtt8neIhldxlg+4xv3G3jghcWOzNV8UKIEjw6ERbIfK0pdcJu6zCsfPoe41PTCMYdgberk1
wQ+xYtmpvcsyNX1tLcU8JoTTGFMnx5ig0+Ph3qhz8RxOLnB5s8AqRMcI1spV4g7zHuim9XXOGn3N
pqS9UBWX3iVG6L/WXTM9GNg2r1K4Uvh2Suadyync3otUH5hD6jk+cIMYwRZUjfNO6AMbptZLjLvT
bE4bu8/oBTGqJBoDMUn1Vfda7XrU68JalWFKjw1o4eykibQ5C2p61/psDh86tSgJv7nO+4Kjr5Wr
1Dc161RhOuemYeoRDp1RhVTmTlCIaipwCdGwWbwssvy9TbnrYQxDKxCYBwOv6wXoTBEC77B9TmKr
cfC7I4te1691BZaRrt6GEbU9jeZXtCdK1SYxxm8qrejJRaYezpBS5KoxQzpZ88zt5pPHGZthdBad
1MTysrVGiS0Vqyx1oE5/jFOTpCqy0/wk29ikh0ca3d6OJu2xhFN5I53Se6smQ94PBleoaflKLtMt
EJGUh/IjxLlNHNkDFkFXQFQ6V/NQG4fEMnzuPzRok++VEVBrQq+kGPGpP0g90S4qnRZcix5jVp/m
XPuUTCPTVQdFBNW70+3r2U8crgu5NZybuexf5tiy3iINM/mWr3zzTckIBRhyXEadZBM9lxPGNsjD
bnTouW98mslCUS6ivGHGmdDe0iTuBIFgYErSplnzZBTpjNe8BMqUazpBXDZRmkcyT2EP1+DZYMKf
STa3qX9JvdC/4/mU16M0OHU6XftSNCP1JkwtSqaIoYm/NWnql0JWEgCpJ2nOCrXEZkIzTodWaOPO
KlgB1qltG2mQuhXfx7SmClaIOrnQtR3tG80iHj7SA7b/v9SdyW7kSJqtX6VXvWOCNNJoJBrohTt9
dkmuedgQkiKC8zzz6e9HZdbtzKis7E7gLvoCha5qZCpCcrkbfzv/Od+p84hqMPjlCPIA1lqxDiNi
XF4OHeUpzWkEZhOsHg3NmD64x5ATBkWPYb7KSbHzVojq63oaJ2Mdte54merhBS/aPf746oHdWxVt
ujEvbrqU0O2FBoBw389CvoPGUfyjKW2vo0CMh0rS/lyOonnpKrP5McJnyjxtKJx7elmz+9mKg6dp
SHkSJT0dQlmNrRCYhAODJcelt2UQ1q4Csrdy25VafgC+oK1p7Akf694WR4zj7C6TKKWEyMXJwVW7
dgZiW2F9o5yxZxFczXd2lI0rcJDNQdm984qdbryvGbdGzxg1us0R+YKtMZrpIWferLdtNWXe3PHu
XAsxFeqmMtKJDxDKyRqbM96cajDfSUjWh67Si2tCZSONXwqnMyiOweU+WTKBhQ39lyu30saLVg8Z
RQBy+FQEmb4FZUpOroudjErkrl8mVs6Jd66zLHO4wtOhIe3K63ONDqpRDoqxKJ6egiHGY8BLzOrU
dakRWpmL6OdlfcL4W/HBnnARsG/XlFMd4rlr2e+kMRXO/lgwmoGbI+UEnRukhVVdOZo17tLKZj/t
dONLWQCgv8k0Wl4Zg5Zzs4x0KtU5z81T1bJyvZRJzRSArRe38lgR9ch1VcysYpiK2PwT8DYjiFr1
wvci5t0Gn3M9m6fGcRJ941TjTC1WRoM65hmnPjUx+eKVOfjTdBzSXgsODuyTcONbxfRWUgW51rsY
skTlVt+hLToHnZr1ZymT8MnN+27CkqIPu0Ffwq6G1e5sgtSHCdYEq6y8+4EjeeJGbFrAcKMsB3FR
NYAiJlbX23aU2o5HUgVUjMxcr3MZy4Timh8slAvcOfLTUgStV3jC5cPsGoSHBZfIwLWPKuqt7ZSm
7JrguNz346RfY2SxPGAVxQp8xjjBIImLu8Z2/c9ihnWBDb66T3FA8cxumm7bFa3GfZEK+LsZUWrb
UCn4bLlaf01J7PhA3Wh+4OqITM9rrd9EanA8Ny/9qybV5bHnA/8wtYz+tZZO+0CN0XqK4DIXjspv
pKjlA297JuHYOhpRYx5Gw29fghZKUmbTIapY9u9DacJjIaPNus7MMXBXS6gbdpNd35JqrU4sdqxz
CBKELvLIftX5zX3gnqNhBKPKFq5E7fmzkZzLLo8ujYIfhF+V3m68TatBoDM0vgh+OFb46I9aurdk
ucnq1Nwx2wE85565mYDJnduyfcXAm7OWa4adG7oQVsgJe1QtMp7OzrPLgXWVhyWepSb6NHAULWpF
QlCRFWwL2mmQojsugaM9ZnA4KFAxvDYPozWxkPQtNof8araqdOUS/uObpDa7SKx238ax8rTWibf8
PM1WRZbpFdA2Cx6efy1ZG8uq6o+3OIvUv07ugeQWoKPFk/271YvG8YtHp1AHgZOAsXOZ0hyzCK7L
IbeGteQtNK1BqhursjPLbTJ16jBkJvHA/+YbWfyVP30nyjYsxHP4vBYi/U9LNXYA1ZgZajzAWdvF
fdN+hKTT59uyp+HrxnFyY8lzJQrQ3pwNd/1UcP+DYtMam6nn8x1a/RPsbYlONok6oF3CRT8zQ5lV
77aEAuRZjSafq1akF9f1eeUhM7w4lTYjSyyCXDb0xofKR8KGglvjM/LH0vbdmveiH7TPOvQZvDvc
SEo3OwXLI4he2gh+GEecdeXqEaKA0+vPDlanTcje+LYqbLogUGLdzURX8skKKc0gfWgySJjBzVDU
xRpTU4t5LZtO2jiaV10a8DjMgZaYY/oizEK/bUVwVIOBwWsRLdUiX5ZfSmY/tpyQmpaIcIPkKu/K
L9kz+JJAFUjaH+WXMCos0joKjOtllAlEoGA2nmkohlxeJUz5lDAwsBMq6oQXBBD0oi4dH93Q5H2a
fk33xtek735N/ePXDYACiulTkinbcEt1bsihc08w2gJPK+QG3Jk00e/Mr+sEapL9HpGXpXTMdQ40
yT8GxFwPJW44T8O2sEnmCe5JjANmpS13FkJZXF+c5SYDmkle2cvtxlnuOX44tuEGP312D65oYX4N
3IiWu5Gz3JLCEKdBXWZyxxIcjXJRRNecJtoHVgMuWeNy34qXmxeeOvNaLLexSUPervSQKxpaDte1
0mXxf2/TovoqRVq+SzXTR5JPrTk+4wbkRcKmJq/bmfvlbrBstHCE9PKl9ks7/6YBRIg2IIGCH7jW
i+ry1x8T/Lk/f0xYlLKVACTMfoJt6U/LrC4nz2yGPE4iZq2rUhuDczFEALZqMznQIegcKqfOBlIm
hQ+mrbiBJ+Wfw7GIKIGzh/FotxAOgSdqweIwBdGIqXa449ZT5J6FTvpSZ33JzhDf5701VP2qFDHo
mCkaNrYab8g8URU6NOYqG4z+bLDUbFkojP5nrsHgsKPSPuAFS25xVI9I+nZ8NG3jnq6mm1z4F2xW
xhnUFxXKJplyPbjnM25e69l8xcUMKwpZ/Z4TT4fAiV7X8ciuHHsfRpXsV63NgMqzQ9/3pUovNubZ
i1kYuAQL3CIPhrJzLH4xpsaxw5NTmEsrCNe25prDpbo4JNC2kPlQq0hFa8OKc9XtN3JMiQtWZNrW
nVHDB8jsMv8GaQgfbkKBZZfK9iJI5z3NpMu8woz7tSXnlKKCkaCpkSr/NWSr8DrKCbPKkBWkQVtA
HJQkwIhyfUuxs4jbbaymYJ87ko+cZQ8YLWVtj6sJfMy3zIf9sU473d9xE2ZtCENsgh4harouVQfX
yaZg89bv3fAjMyx/16og2mDU1O5GlBGUAjzRYyT7YxoTMsWdaVwjLc68Kxk6U4IJp4Tw6xsx4XLD
H9euDc3J7/CuApgqZFk96pPPJwBTFw6CFs2MTU5IqW/HI22W/RYATvvaCyN6oLZFPMFLzfe+Pusk
a/qKo2kc4tu5aQNi0BZdpZxSa8yJ7aZg10AUPlQXFRrxY643xG+S0BXRCjiJdYxM3aLSs7X9M+5w
fWerUOdz7cbmucyKe2zd5baHp7miLJgn0Yx74dbWarAI85hmyDtkenDc5q1zyRO/M1flskQyvvZJ
Bqauee1/7Zn0ZeVUo+rO66BcNlF+k7KVcqMpBvyRiw+oc2ytXPZX4muT1ZjS3HZiUE/p16YrFxp1
6XgSuH1GnN7gaOykfA1Q9xa+qm0E13NJzH6zPMe+Wd0w1ty+BSjXdtm2xQUuv1VZU5oK1as17ato
6OoDLLgY9KA0DhV5Tubqil011K4Zqal14yTex46NjWxCwJBeHRnFyexM5onqS9MdF3k3kcZL5ZQS
U3zwkLjRC4QfPiAiZjOE5b/y5/kw9oDASgNGKt91swVwZ5zGkBVRowEML5Op+VuGB3aXCxYf/jw5
CyoGzZ8NDzrKfIIkqg4gba4D96ai3bPsb79Ow7+1CP+fbbkfioz//LwIX/6i/7sJ/1/SZm7hFPnd
M+Gfki97SKb/cr/96xf/utxWLk2ODnEVsNhLU8F/pWCU/GVJqLG1Yl1q/JqP+W27bZq/CJ4btBTQ
kiMoY2FK+227beq/fDWfuBzXkggZ/+hvbLexq/7xQWbRvk4toS5ZAAl239ZP221BALwEw+Hsco4x
L1LNxJi/bH24oFafVmvWm1gPQXRW0tnZGrfUzPJbTyGaHoRdiW86zaT7pG9wJON06dC0dxZa5Fta
J2pbzDaXG7LU1WfVAsR0mwrJYUCI1LgF3TkLCaDo8i87cVt/g1u6dEU26g70Fk+6UC+tTx8SIwAy
yw63mNS3k9tdRbFFywuZN69jT3Go5uBg23DsJhSyLQv1G1Ttal+6Qfdis+D4lmg2Z1IYThA6Nb/b
mrmBbTaN0/FbEFn+G4zE7shliqHCHikgaopwjzGBpAcMr10zVp0XiPTKnSLnxiQnsJlEXOyLkAQy
ta/2aqhgD0VU3l4GECkbN8YBy5PVnnZ+mgMWnv2ofOxBmXyPyHNetbpmHiune5gb3X0Wc8OOXVWc
rkISBhJ2wQoLRl9TAk6FGbSBwjrNX0+onTNN47otRPJC6lI/ms7YHvNEfJJr7q/8JIrOxPabbaQc
+MfEbw/m1ChY2aCLV0Gioo+QLM4zCAXnVEWNdQ4cWtGhWkM5HBup/egnu73KJqd/KRB9r/iF83NK
Eih+la8DyZaBLoCGU5fml/VUpOkG7MmP0Upyz7ZDWMFp32fHKlmsl6n5OWQDl70Zoh2aKAIib3iL
F0rL761MxGwjKJQP4Tu/wHvGcWan1d6VMOTKLjGuzDBs9rhgK1ZXbr9zAsHYGLRy1feyR7SFg3KS
mv/k1PPgSfSqByTYFvoL6JEWLe+V23Sy74TDaslS2Q09izGxf+qBeYy1JH4FIDlFJd6QKOBoGAo2
mQy/C14SH29oKa/RlWMUHAeN0NfPZatn56GY3W+ytILHEUYDWrOZPZFjT48OzacPQw57A0eIW52d
HmTXUOritqlMPV9rrkaTamHViwbUld9gmN/AjkasosgP7SoW1zOLWeiz9ngdjingRVvwro1I7T9S
+icqb8TeuNUYUjw3NnRPq/PubYbbddJYBdx1WYkMFJXOFq2opug5/lZZzQp2Sr0rJ6WeEqRA0NlM
cLUWnMjdx96AVrKDZpA/Gs7kXof8dBBpNOwIuj9QzMVuMaALTQ8u5mxYXotASp+4MYM4p45Z3zUm
ox0oUpilE3FMhfP505mThiJtqVV7TdbWtib8xQi8sBeKz8YYj3SLURioDx54Fm1bF8NV1pvl3qlw
17u6jTShQRzNxaHMl0yPCG3N+91Z/Sc+wJ+qbdVy6uEM4Jw2MBxxCC/Z2d/dt30VAyJtOA6g2Ilw
1cuCAFPJPhcQk5OXZ/in+CcAW5lN/pKy7Q03RVXX19aMtMiqO+9O7dyTGshCLiVhnp5chpFsjRU9
OePJz1+KKq23jRoic2OboZVt2hYJF7zVnNy5X5/n5OuzbYa4hg8UeFj2oVnOhYFb2UTMzrTyDWJ9
8vbXP7qy/ujDW6KOAuAGnkEETcyQ+k8n/qS1FgDvAOCyDO7dNFsancx7zRnf8NCjJ7HAAEoUVGdV
dypYk5AkvNSP1J1VdQnTVwtkbWzkHOJ2gY9K8kAs9L047b8nZrcACsbpoKphb43poTLnalyLrn5z
Gvrcw7rakXM8ipTuqSSJPqtqLPDjGNmF/oT6gHez8gghkFYyiGaLit5cwhN9tUnqxFx8JaYNTF1v
ucnjcPEHwDi93Uc76Y7ZhZ2J+4YxPX+beq4vYEvyD0FK7VoGU3WdBnW4pVwv2xXtoF4ISfgHm+vP
Zcqi/o7/V23Zk0UvsWGGx7GH3u26rbOZM0C3Q1fOu8IezLNwhukQwGsnd2K1/jZAF7ifMFH3q2EO
mjXfNu3n4PC2CQaQHY51e5vwkN3gGMAlEXJGburGr59avHBeYLrlU2zGLmT13PphA1byojZJTh3E
DqoQZXwqZRrY664R8klrpbhB8dLuzWYQ+8B3A54tjl58Z0s3PkFftp+kKvJL6Ff1xUm4h+hzZuxN
wwrPfqXXwA8tJHTHa/vQ8VRRt+vKgcvL3cYAYz0MA76qLLnuBwxsMOMBkKPn5PxG4OZiLKrvO0FQ
QRfQTMLCEB9WafoPBXqsu/bTx7ClCX7dzpL1BVDq7I1F7HA1m6I9z3Ub7vSwGU85EY1z5iTm1rHT
6KzkRLSyBi+2relw8EFDOuFar/vyrMrBv2m0oby11YD0SkJlgvlqk8+3zHxT1+T1EAaTSzeExZU9
zq0XUmmAOGuW+DeUewuDWhzSCs/OoA4ad0oCTTeTIO4EGL9iq0DecboaGxt0k6OQKnhMrCeOqmY5
swKb08tfzjEzMMLbbNa0H85ywsGrMMhzYtgfarGyeiDxeZPK3fx1MHZfhyQnheV1y8lZL2eow2Yn
XKURRWZtGwJFFct5Oy0nL2pQuGPbMB7zgbU9F/1qesn93sH0MnGiG0V110MIP8260b3Jwda9glSX
l2i12GZfD4Z4eUao5WlhpEbLqmR5hlR4g7W9EjN1MO3XI0h3y5B9gza1lFoYlXqY9ELe0Ati+d64
PNeiOgTP6GBpkruG7eRR68ty2yzPya6OZy/+eoLmCFwfQxlLHhW8p02eUxGmoTQDeFG24EgLsJeI
RKCtPS7yPNKJEPOLnTRyZSSw+q0BuAYHY8OvSH1NDdMyQLAh+zEvI4XzNVwk9hBjVVASGxNzh874
6LthtbYznBFUYjgOq7ZuPGWpQa2Aq40HH0oBCP8s25WMPh6r3PgQdx29jJ0TWp7Ru9Y6HwuoTW6a
JFcSRNLBZJl2FQeZeA4L27om0OzcQcnzs1VNRQmYqtr9TmuguIzpID/7tOsvUTNFj8CE23toU7gc
AhA+hzYIQbr4tQYtTbeiG6yrgwPaIzSvbc2kGUCD+cdMN0WcG8JeYmpCXjKWIhDWyuy6RQ6ADD2o
+mOs+xedC/uCqp9CCpBQ0zPfMXbsq8IHFfCDoxfQsaeVATBjKn0eAtfhegqzxNyYiaVd5FyY7LJG
6z6LC/tCQkeuI8Wjy8govSqBaoN40+v0YGr4obwMHwRByN6hG8AoYZ64Y9xcob8An+4HF4xppH+M
7tx9mkVe8hrTVABnig/adhgIRq1sO1Cs1gxexklFLN+p2grXZBuiI1t2cBK1ox3dqh/2WTyOx1hp
9ldqBlM6fYO3UaDpr8boXGYyEg+o8NTpFFq6I6DD2n82GrZnlgPKdRIJer1N0a+uSxOnaNZ+BAB5
38qubTa6QsRwi8Tf8a986ISdNnxHctNmuX0SKIrB4ppMeZTr0a0GbAINANA5ygtT4GqYbOsS8WNQ
kZDDYoILWoAYJ4j+XUd1QE5dxDvORFPzSp2KJiditb+48l+KJrGO/dR0V9KMBl4H1W0gM+Oxodzh
oES4rP9y/FMOA/um5g6wrMSO8HN+0GTyMdF/seMBRk2Y6xf5QdXS4dM+LOjxuAruwsycdpw8DNZ+
oj+xhoXEWGRPhlWKF6syaB3p0vJ5kDJ+hoZVf0/4vHsuCbF9385vuas/mXaKRyeOpX2QVnEl7OEm
hr/B0A8HrRtHe5PAL4CLmYZNsdF7kLTrzi1s/VSXVnlw6ENZ634ij+xIzP3clvHGqOX0Gmm8T3Xq
GU7jgOEQkLz/KWry8QE7gWGtimWsn7HIrIZFBRpD61vXhdSwW5W2tY1JnMEGRqdyIqZ86nKtuLO1
XjyE3F/GdVSM7fceEDiWxaRxznmVc9pQURLf45FFN5pJ2aziLMm2KrbKHVZdyWhckoDWfEnTHttC
mz+1j95TVnLYycr6KKKciiQH5XTs04X77NAXgIC9dvhBp1UU00picR25Sewm3Oe1mjcDK6Fd6c8j
FyfTXCEnTofRRVpngU6FvJ6ql4xJECUQwvBV5ubTVrIv35pGp97CKjJ2rHUw/DoaaPIsnfjU1pMO
GCgnJb4qi+YQp82rC1ZzVvqPvI1aVqi+8d5SF39DDyuPx/KBAmd6N0TYNnciqKdsN0QwgmNz5mMQ
Ok9ZmzNUdzzbgaYYkKjqYUcDVLMC4zru9M6OvWhM9ac2oGZz5QO+8aq6rzmS0GEDS5S3pfIzseZR
wvs7JdX+gDwxP9gk4so1lS/dmhDWmW4eVOmCn/kCJFZcxVzZV5of2Fe0gojbbqCc1LNASec7V7na
veRRfTGNfPhhJR9+M0OXKUd7JYI5tG/IWFr7OkoYi7T8KnPAROqV7dVNyoIgT+OdHeFbgj3HHWNs
NC+T3yY7S+MtK7gWlMaUovO6yvDK3j+j7c7XDISnVhC/17sXJ3kr5rspDNbCarHB5iKmETa4TpIs
J7Na6rdK+tUr76/F8Tq1N8OsglMa5uWL3ve4Sqjt0+Ra4zm7c/lEv86yAZKWuearryfy2Y5tnHp6
Yx0aTY+PPAnCs536eJvCeIFIpWDytIahIg4OLd7aFdF1RdK7C2+juLTvJt2f3mRYzivNCbJDPVsA
OiinXascMsCeehnYGmWrxpeOI29d5oVhLhHBcB9YMjuk0QQw3ojx8YM0vxedX+6grc67CdzvliRZ
vLcWei2p/Bn/qz9t+oitLjOkTmF5QZsPQWjdv0iCCwer6sZtQGHaJhFG+IjCGe16Ab+tdjss6Fbt
7oM0hftdRGzDI5/QNt8DlQ1BNm/6so1fqn6iAagdA8j/UXYXkHqFDE750ZY90rhyWEbsDCN5xNdQ
HolAdrvELxnIMMBsOwXW0mM5+gAGstnMXVkcY84M0JMTQrmMCiXwRGoDRJQm4ROY0OvCp78e+oUB
EeNlFqzw3Iyv6NsMQrUPzRFmJC1h1qw+yyA392HCCeEDhfCaFv8KdAG6uAQOmTYnTWE4SYyCXXCa
DQN1eUEivalL/JMwfP8KpwkQqfBDIszEycJd5ytC/1RnfrISyWhuOtCUbeZY+GSJy6U4uI8ofLnH
+HDHvXzZKg+8tvC+Vjbbtiu8zpQUDb3y0AnmTTRKaMMCB9qqdpL0FLLz5yXwjcNQFwZ4lB6KoWjy
H6EPhM8eSFE55qQRufCNcmX6ZKdzQFrfRFokr3QO1SlLReHfWVrPapxB+8JdBShvRFpSn2yUJWk3
5lOsWT3bhghPkY2jW5RpcSLfHnP/K/GuDbqz180o3Vl9XZ1zM2/2TUSV4JivKZ5U6Yrl2LydVWzs
+ISZjy3XtUurxaAnelVvogztI3SBA+qBSQdDciqEPI7NfnJ4PbGdvzakJ+IqdO4A07u7eFDxE5Fk
61AlaXqmKMZBq9fkwR/iS2DaaPZ/fRcWf3YVhkznAF+FkqW7P23xBuIivm+Zzk6DBLaRVmx/1kGP
67ei4d5duTX3XzMdA/LCOXDdOnEHikbCUrtNh2T6sNVc1pvUkuFmAi4D3WPRK9F04Px0rt7RdhHO
lgZieVE4dRvULFXnCIRTYTvHSBYWpUncELVft/h/S5D/c6n990r7f/7/lDkjx4cn4l+3BR/fs6z7
t39/z8r/+LfTexNmUf2HyNmvX/+bJG//sqS6LOYbAyzhV+Lr17yZMn+hYpTKB3Ko/Je9VDr+Q5KX
vxgmG1+qXRV3qi9m1T8kefGLUAQwkfIt8qV4OP6OJG/Zf0yp0ixiKYv18s+h0Vx0gdEhIu8yv9Yx
FKDArULdmldoBv11aSVgkV0fzgCenyEEQNJYyUbXqgrfZU/SJwiqLcBheW3nY4ibc1ReGnbjPjWL
bKO1PvpUqQVGse0kZWYMipRF+Wazqop2OmBuMlcp8aTncZl2FJfUTcNCfl9kdXVjdCJ5DqhIAxtf
hDviUu166NLk5Aaue8hn8AnmMldleVgfkVOsFVuH6B34lX1SsDEiz/8ay5plQnOWWS1ZprZ+6tNV
8TXKDctUV3wNeIqo8HnuAjjvWNbb7+SdGAZRJcVDu0yI7VTB96yqHkpV7YhzKUZt6zuFv5sYL+Ev
grxysHpB4YA8jVE2YQ8v4G8Xy3SayoQyoGVirWIayccmn1+1BKAG+oG5N5YZN1Hh9NAlhIJOTdDg
nXV/nYq7TGfRbGcSgr4FNV+kHUVDg3+SsSo/rGRmN96UmucEmrGOv2bwZRov4jx5Rucon4PI7fb6
MrUrrgRqrcswP0bLdD+jSLSUtEb1Zwee5Gh2hi12jMGJDjuikYdB6wEEC0rzHjQtUyOOJcWyZO5S
9weCLDAXPMbLzKLVJxse9rtWRonkhO5dkjptu4n0VMePFfOnRGUIk6Qz63bToM7CLKZQPZxtw5tT
m4aN5d8kcTwl2A86cYcMnf2oBn4LnqjN8onIMY8xB7dF8Ig4iCskgw2MEmU3Cl1Ez9jNWokT3Cxo
zIObVeFFCkZLo6wXNHgJCoGXraboqurC6eKDNuMYjBm7+SPFpeZbfKdxtENk1Fodz0dFG5PS2pF5
aqCDZVaEP7jlU0NDIck2Cw3/x1TafE9N5sqU2Tl0kdV5q2AVHCpxp+zGf+c8pnabLAD/hzIUdL1I
stp3J5dBvDJyzMotiQVEsdsCgAXyhFsa0babwccLMUd3kZVS8FWVkAX8AjujiADOysLg5kwGpuVR
NczcKlwn7Tr2xZr+De1oep+5vz6a/LXSKzTD/KGjC/CRDiTeQlAJzUCjpAMA1owa8pQlxSw9enju
mB5OvxLeUipA4I+9tFiN4FbfCk051oW2uzLyeDAH+QanMyDfKuxA1aSMjfe0SiUD3k8t465OKZLY
xEbl8LweO/37MFXFQQMJs6Cm56BmiMthWGi6L48GBI4GEcmlrmMcP4WOXkg3Hl5HuNZ7yCHt3RhI
9PEuSLzZqKwLLwqqiuGU49OoxcE7T9PokNl1cignv0XX6ij4SG2QPIo2BnZSDdkzcwbjvIw//J5G
P21PjLE8WSXR6X412W6HWQEtdgGFI1GLsvNEX7rfa4EyhUVKI92jovADePbwEfhxv7Urf2LxHwyX
KG+0Y0tc5wJQS5LMItEzQJudrDetnkxu8crEzJHNenEGrKSTIS2CN/6QbE+MimKE2LDWg+XSzrL0
heH3xSXGPcPparmJeic9t7gS3xwrUDEPdnQUqhDYjbU+wm5JpAJqPkkvoN5GRNKSIfCQ4eQ7krQs
U89hYoi8Vgn/jLlw3E82kaKwRifdjKXjnyX9HKyotMUPVtWqKTe8Ovo7+yb30TYJX+pN497BJbyd
aMBZB1jGVr3l5Fs6bohvjrIrH2zZu6esxM4aWFb0WYjQOnYMpNzqO31nLqp8HxMcwSxJVclcJHsR
adJLZThsJMkUj496vaE3glTClCivai3taAej9ZoGDdCeKLTqnWQlB3cuja7ps56vMrALN24D5IrI
Ye/pRd3cSc75SxX0Po7ywhnXfZdQ6jeE1sXuLGIgjRZ+NxRj9WqK6D3sHOGe5myM9zomvn2Xy2GX
W4F2RLchYjGIvOAqyC7WK4csvgpkhnHcwLaEY99t9nGSRXcZsyvB0/YW54ZLI3LMZ3ZFRbN45bnt
noAVcV+XcrJvZ50lIZlQgGWVq2dHp22m/IbN9oi8UoQ/4jgJ7rh3+Q+iHMHmsa5yP4IBppXW1Na1
EYj6fcgy+5nrR+3hxHXWmFiyvWW1s6Kzy9C2uc0uBpPKoG6z0VQUps02bOd5OPe1ZgE5DBXicWz4
RwApxWrWg+GAISfaUvhoHlqtD4KVNNp2q7Q4vZMKwGAEjJLUTBnW35G/Iop9iKy8E+s02Hji2xGg
+gpJmnYcz2GEEzeYyGNNumOdZyfrX0UTxFu2PGSWeYrtejcrljPeCSns8kk5YAnNWd6a5fXs2IBH
ZrcS300qB65ZeIybJaWH+u/QDll1TvPpz0QajDkX2x7n4XF25u57hma5LYymv69pgaO5xJKAghAt
j+RPkncRsfPkLiWCmyAJddT2tI62lYQdFNS2SduwRQyNiozuhNnSOPUZe0ICWN2OoHG0m6yCk07j
aw6REbBqq/zxEjuhvaNLMj42NsnNgAblR3/I6zVVEGId5JO/T7C33w2yZn3q+Oqhid2lFm9Aycpo
UAXfH50czb5moZ8fml6j72luWGar2FZnEk/Bx9ds+v96QP+Xppr/hY4ZUNGLSfJfT+iX7lv3GX6v
6+n3g/lvX/brYO4wSLOahAmrS8ZNHhX/AEEsXhlmawUum4Tmr//kt8HcYJq3BIwGCCi264jF4/Tb
YG7ov+DMhAMNyVosKJC/NZgvO+HfebQt2zZ5sNoAcsBj8z9/8mjL0p30ruyqDY/yVyJl68aBbgRp
hA6npf8k+dJQXHUuc/Pzd6/Un+yrfzbp/PxX/xTyFfQ0JIm+OCEtFMQgJHgWUvdYJv7HUEEt/eu/
7Z8I4ErgGzMdjGM62AuoF3/cjsd+H9uthYrZg7rkc+u3a5cJ1xsdkWynBn0MXOWO33S1odSLTKzq
1TopdckutntZGkpW1hw8IcxeplZdwQtdm9g3V63uP1cVKIKkaonbFfHJQFPY/PV3b/zJt++6Bjsi
jlcJccb6abmPWbNRNhY+YK9tsQfhxCqVOAUFML01cRGaodiWE0IpUfKLC/7inmjrjRjJ/PWYP1Z6
V70ksx2sY0enjoQKddPaiSL5CFRPQ1AW0RXGxWIc+HdFRiQxX07EYMAfVYR5tXam6hBUQn/QKBiB
WpbWe5YZ3tQH9DjdToW+jtGKexneWTLeB9Pw0TCpJwNd0F3mjX7froMoueWKcFem071VfZuW6wYb
iDe4IfNOkb/yWjNTV0XtgrolencAwdYdcErgVmqWBanDDzMiglm1Ye7YtgcPdqLf5lqKQ8flbzar
Pj2LYJze46xVuwLLEsartj4JTFEktcnt4Bxxa88yugj4pGKGSodqr6sk2LIuGT2cN+6RzJl/Jrwz
ryw3bi5D71scqU1+bJvCeTN1oTh/Cfw6DKFIIiWGGcr83sbEdzdyCMVHKef+O8sb/dgbp0GEA3nI
eRFLnIbeYjMpttIW8zEH94iAMq/ZRhs06qryWxTF36KgsA+D68CcFNVAkYIBArIk6z2FtNalrzzZ
jhWjE5oOSUB+NbKZ6r3R8AVljH1zyPzYS7OmusLivRm74oFi4/y/wWoJDqA/HBwO68nl9IBGr/4P
dWfSHDeSnuG/MuE7OrAvBx9cQAFFskiREiVRuiBEScSSWBM7fr0fVLfbYlFDxvjgsCdiIqSmWEAB
mV9+y7ugiKZv9f4vYBO0W7W2wddsPxQFWgSYwtaY2bV9KvzKTRrAtpZxn2X6fFzTQfmaxpbW7jCg
BHSVtfXRdYyPtMD9dYyrq2kY3J9z5S4fDFi1UQcYC04zDiipUYvP9NOw5ppj9em0p/7Xzqv/r20n
x4OMY77aePqP6se38lv1j2/Vj3/ckE0/fpP/uOgK/tr9es79/Ul/nnSe8YeHcAMkG4OjBFQLEf0v
ySPOQLC65IYeawWENofqf510xh/8F0hSBGUaRJx3f590nIH0MTn+HEIe+mb2v3TSaYgn/bpiEV2l
IcqdadyZaiG4/nzFdqA07TqbZZRCMtrlVvlYNS6EKsfpdmkssX5di6cekoG/euhgaN0m2ULPowUB
sGT1xhesuiCeJwuITvZprJfRfyPKnzOmNhUxenWexYZCH4qj/dmmMsbYglWZSOaitA+wldL3Sdoa
jLu8I+xT6tD5xobU3CV6txM2Y8j/0Q1ATdB5VHBBtmf4y67Gz6RxJ9QvsFfgBox1Hv1GK7Y+WLxP
t8RzwGOQmNdfDikSqJhJdW/cwvM+IUwhHoENbQyeFu1K6G7P76Az8SwsyqKN5JAsO0ZU90Nq3WTt
WwHsdGD+kvn8dSGby5gOeZZx9lXtNcYreKnbqKrH+tAnvRc6fQPErfRC+idwCyHq+y0TBVgLOILi
eYy3zKzfWQxOjkAXlL2hGPG3LremvZx19b0hNARzWH0R9BRIslW9RFAWxF5pSP+FMB107Bs8zIax
R048WREu0m9bJS1YfzzIpbW/YMBzocrOxamqpYaqaOwo+FURE9f0eok/rhPox7Rc79HEtkJznrA1
78STZqzg7cfisVJKNyhkTK3j/UQ7+72xOp9fXyRbovT8wbElVBeMnU1SS/x//oactVKLJGsZzBmx
y5Bn+ZLHccA4rachqWe+mSbezmlHL3z9uvq2+p9fmL42pgucDUDECSPPL1w2ntN0GCtGLorie2wL
8wvHXfuDrjewy4yuA+m9jn4tdeuqXNjQVZej8eRWvFDmrRgXJiEVHiIBDnuKDroIvNhBKwUtk6jI
SQhd4O6Ybyr0lt6497PjktXGOQ2Rl2PT3hQhz5a1OiDrseBWxNBVr4IWNZirJMWnxBhpSk1DvRdg
OCLGWeUNosgXo8GQTCSXNEK7XVzaF38GIHPGs+Bog4HZIXpAW07hS6MoCVqpwD8JOfo3cvSX79q0
EVO0qVzgVJnbuOLXeNDTRFHlyG1PKOzvMC3jwjij//mgpd3g7jhg94y9nf5GgnE2xTo9MMoehBVt
GCOWd/ayB71Eud6TRRQDfabN4rkQauhlvv5efncV1FY9FxIDssX2GTEUxlJpgJkponRxqsiRrbik
nfv4+kVc82VcZ87rAX7CtAZlVf3s7TNtQJcsR36n1oun2ImZZNqdR51VMalwTDa5p8BoJ0nu95W2
isvSKp60xIShCofHqoaUc2fxfG1rfJc91ujpmqiHomORi3zCVFVVMt+o3HvFplOh2s6NjvbeBTwg
N0CbD2ke2p8hIzxa5oWq73GZi1Q6vr6lYYKXtZ6yrzP+WZda2hGSIAK3aBywPfh9s3VdMLFk6vrK
n9qZ5josacgU9D1CnFYBWXmNGep692nut/KhoXzAUOSxXLNHKzfuymaNL+Mm93amkT/RPa0PHZqe
O4SyD8rsYWIARjQs6uxJJjHuStho7lqD9q1Aqg0zZNZ3hZoJZojFI/akpPIi+Qh+jTF84d2nLA5f
6QX3bdxVmYchUDoCctb7Bw2qug8A1MMUSXSfm9lCcV8BToLwnO4Lk4sVXm5+09SFsKw7mCpM2WOX
zG5gtC1tFoB+wJ/RJpKb8Bqyp+/HmhZinq0cxKuNi0ORP+GWStst6d2gLLnfpO/fS138tAWn52QU
x2RipD+6BG4Qt91ecIAEOYMZv5TKg0PPDqUCcJewYl1qHCP2BxOPRWJZFQkre2TmV+2s1s7o0nEC
F7BFoauUR6toPuSad9/CPWcbyj4QsQseFXEjDpbR9AuDV1N1EiUIgOBlM7wjwYhip3qUaicvuqHB
pdApur038zbLhWCJvabtu4Udtm3xhNK7vrPbERmEkSameCpobEYzSiJga/ii3VRCQzeuY4MViD+E
C/bduREotvtayxmASbIIdLQigrhhndfbkbnU5FdC41LLKJ6UhMGPzZulQ/9kafWGyWmtT6OgEgVS
i8GLCbRhjpOn2mNNVIyOdmqGKoCS1seZHvUuhZTmQ9p+ZBxYvBsgBfkov7sfOr0I1zx9hItcH5An
ZH5Ei0ztC74j6enRzgdyq+3FkBncdDZTI5yr+Nu2dpeJZaPiDAOZH+5Fk2aPbkzOaCXGneEWXtQv
xSPkZAxZWOFaz9Y4LVy5ct9xNaPDBc5dK22oNu49jJ0FRrcq/twCJSsMCei7DtPCwBpJPtE1wL56
5mUNyBbsxg2WV5e4n7gpKwhFGDAnsJVgydd4WuCIcUT9QdkjCJn5jcuirfvs8XTj3C5ZzFCtYY7e
RYRkMLWvNXSfMRbxQgpS4nUzs9WctLmuPa+l+c+7cxZP7NfWudBskJ/gTrBv6z3EVuYRAjDaYznk
BujqiIaXBDCl2wKWY/E7fA+WrvjzBZeqdacX7UPdsK/sOX9qbe46bvPHU7gYHPHUAwqEyE4kqHIE
tPMOvFtfcIKAVULTTOu73TDxECkGyIdW8imyZAcqg3ZwLT0/FgDhA3pSLi155AHttXmw9Pp4Op08
TG53asITsGCxXup2/gQaKb6F1RSWJEl+Zq9oR3QVtvCzHhBPf1QFwcTA3CRAhKhDPyfDhJJ9bCp8
7kisZTrNA5mtSDrFY09+tYWzpeJBpIV9cwpKg0V4AcD2kM/cWzbYN3ptr4e2sO6od6oo09gq4AYf
8YEBfYl+A3QiXu6pmki3hMUGfLnfjh27dm5O33BaxNO2JVDfv9uOAgb1dyhGELe2d9Do3k1WwjFW
K1TtxHR0k9zaRoMsG+SgdrFulftakw9qbuJRKfMn0STFXq4sFamyGE+RzmViizGIe18vFhEVfRXm
ad70rnMRZ5sV9m/OztxPWMAHGFkqh0J08WW/vR3kYzL0HOvjmlRqYOXsw7lZ58tTJAYyRiKGqnYw
IajFDibNWlaXJkSzjVOROuJOXMjSMz+FlYQ+WzY0IS4K9LGZd9zUnooOhtVw/HREBNYwH7+dK4bg
proteRa2dacBhMXXe4mwvWcjLjzIbYXNK/8ybUjTiTThuPK8pppFJz0CT9GwrMqR6IOYAsaYHgnF
9na7XD4w6UenLyXqUwWhy5Hwge1IVXCKv8UWHfG8qaJKaAgjYNlxaJEU229nHA0r+DMpq9oa2EDO
Ko62zV3rLeEGN00RnNJhpirFfpikuFbiYvmILgCNPICVQB1JrtRZPJ7WStWXj3T/n6p1vo/VfOHA
kC30MB71dtrgncPB2LMFYtmLawS/RGArtgpknwkyKEWxs3SkpYamakMmKTgH2zK7mTKeqqVt+TnK
K3nbpgc8Mjnwlr692RQbrjIkJC7MqTIQwCttLPzSORgA/4dimNx9XaPfnzM229XdtKBiCH79IJs1
2ch3A8wsBCVDtK5AC7gZ4txOSqoxZ091Wz/EsurDmcrqu+KJ9YOBi8QVPrqIxzf4ulRtElHnZLhg
aNoDqurZjgFGRUZsZEGKd1lgGKsKVK8NrZUyaayTLTVoxvpCWpC/tQFwHG6num9ODIbENgmGh5D5
IiVPbld5Y2g4fTvmrF1CRXkclALeh6NjriyAQegMuENBg+5qlWwnNNke3a3Mqx0MeFIMYSBP0baz
6OwdPKVsbzKrYF6L8iuavUUPwKpU/W7A72QuEpMchRZXWgpO3oUnNuryZ76SsPWjhQN3WzFwjht8
ghzzovfah8IrmaxBxNmNYMGuRwNjC+EaIHM1iYBPDokBygEf1vNhtC35bES9dpmmDaEcrMuixsqm
SCbQ0TI9lK0bBxO2yLQO7e+NM+3zZPk+gJTfobNH0EK8EwHMEf/fti98VoME+ldldEVVGnNmjVZp
rAPk1jMDlw4wc3By1P2Iyg/J860yYUYlCQAdUMmEufYejOd3JUmvlUleZTXx1xynj7gJX0KRcKF7
loC/PeVnY7P4nEkXexxZ9L0YlG/QL7FiazWGgqt5hye0vsulegRmJoIqIWSq+dBtrHTl0Gapumkp
s2u3ymcVaEOqK2EpG7Inba69MAWR6Gsxkaau0uWj0Zvt9oZXfyo4gczKjp+mXME2TXOLT1U7mJgL
Qc/c+uKK1sFLocVRilZ+T1bEfDiJhz020H0kapJgTJXWcBJkTCo1nNjlik7g2uI4RLajoXLOJQQH
LI/6PabPWIw2kt/aKnrLI7lzDLapi9M7h4x2Z8wuEnNVhjRuybqttyVKwRyZ0/TojQMWdNV4B1JS
2ccekBOlGgmaHAXbfY6ueqfRfYg6+I+I1PK7+F89Dlr6iLrsg4rGiD9a6l23zjlzCUylprSbLzUt
BR6jIhvfOMkt1kqYA2lfKSDbUB0tFKlUXX4cFPEl50xLaJy3+uJdgtE0dvqEEmIOmG8PotOFQ92T
XW/hFJ/w9RrFGgEhBe/wyXLvjUw8Nkt5JMGYb1dsMsgCjetGktcomnfU8symbnTh7ehIxhborHj6
tB91sLLo5vBdM2nfYPaX3qpSa76coD0VafJeE85FYbLCmoLVgLIodn+wr6/LYuI5m477qTYqeZUo
2XSPLAYIEMly07fmVZbAOhQCU1SXuBZ35DmiTecbBZXWTeVqC9LbsGMcMVOxun7ly5Jj6uvYRBUY
3BYZnQNG21GsDt2F5uVPlZI+JZz2UnIOdRUCBAZr5HSi9zNF2JbuIDbU+AnL5CY2Lao8cgKKa/Aq
oFv3CjfMhJwzs4JqXO62qmWdaRA5tiWCIZEPNTLlPpIO07ukYUvplsrLrvoq6oclvlzoTCJgWsxg
+Xvxvh1GZD1VbLQSdfRnJyW7o6Lfn0452dfVMRsN0iiT2RASPgikNFym0FnDc2qs+N056Q+Zzcij
OHyA6w2W70Gl8QeF1eRh2PYNRRY+RZZPaHKoj2U8VkcUVx9Pq596c987eXZJsfpEE4JvVdjv3TmL
bE+/qxKOyS7m5Mob5efWqLLMtT0MiTdeW5jT7xaxnYEJ63OomQZ05FAEhaS5kx6sJ7P30OjFThnR
EdR0MsIYzUiB4z0O3cLqL5UBFUnYXFeLjuyn2XL5zSweyhsJVqbo7wo5lrvBZNCjQJIMcEz0QlY7
RxzEYrR5zbvT2evN7NPUjO9fL/xP4MazjpUNKk9XNbCUSBqfzRzHfHRGJOxEpFQUncKgYWv1/UML
7BEBghKYMa7jfAvecr8WGJHpmAROovlktZ/dtrlX3UxjD1PobmnG4KjK3nacezEmt6o+Iy5VYn8L
rAtR7Ak2djONt3apgGhzexLgPvl4amSeaiSEf39kfZk+oQUw+lZv32lirYJJQdFSxzTv0m7m8jgr
ULCtcUtKHWqg3iCGSAdSKgh7ci9FRaZ8K8IGJq3vB/dHDjnsqkKRCSXOLQtMIRPZ1LyBlbjxhdC0
N7W8ftdK8bAbYpRu0xUwzjpSeZGhTclOieKOmtJ1pviyG+hI2DpJVymsT9kp8NLH98XAdtMmksbX
X+tvmmIuShUOmFim7/RznzfFmDG3VqaLIcqdztx1+poeOkmelNrtJtiVSwziR9VHvMV4o131wraB
NiLlu+ea+LCYYGrPLs3OZnIpPJwG0AfaWQT1APCk9j6b7DJA8rn5Oqh5jHzBimW7ld/WYzl+8Bo9
AiSmPbz+GLYO3IvFzUwdJJ/jsLzP+sCDPqhNWk8iwsVAQf23eDJ7trQD9XYvLRP+G9H19UtuX+/s
kvRHmYEznlBRfjn7+kjxqJSbuAWCX3X3Rbu4OAzwJ62o7+dOQpRIlQk2jiwOWTKWh9ev/ptmIXMC
bgATjtMo6/l7L3moBljdPmqRFwoEDR0fJF33xhDoN4+VLrNu2ZZL3/PFmIrTFH0ucgmIt5npD6jA
Q0OfvypLd9N5xZelL7I3rqj97osZAEqwENU15j5b8/qXqU9byYS0pOyjJMu7q7inYZ71prwgJNDK
mdz7lOMTj1G6Z7qdPJZzsaDxD0djTuA6FGP2Yy0+vf6sz8AhW/t3myPiecJipwl8triaDQ3lqQ17
TORf68Zafv6Z/IqcHK+Y2zfsdc7N1bmeZbGMTbr+rrcNIp8/gkGHvBlXoovczLmRADCCSrGqPSxw
ZIrJmnfaaH8zi/xjo8JSUh3YRLayG7PpGhD5j96dMKG1svX69aewTWXPFjyihcApWepsbeD4z28L
YmWzJKBXo9Ib6dMUJM92S6gZ1IojE7rsUGMoQZPss9FvpOaaV6SkwJIzpX7Q5ExjijxuVzQ6apx1
tZBkGDcT/m8wV/LvmI9YvToHq0kK0jsXRmcgrZY/oY/ZQDgfcnAlyR5l4ByhriT1+4rZ0jZ1FICx
cakoEOfeFLo7YKBApEHqFXFVQqlUkJvfWlnb2O50sOWrKi9efzbniBhe2TZJhtBgYArv2ufzXE8b
557CsImQDJgRPEMJ2ukTxG+nkr6Yg+MfLEFUknuEdvpxVE9fk9aqbxYtMi+uQ6s25qRbcykuG3XA
O0tlSjRueTOGqGvYlcl6TUsCjoxLJzQp34xnLxT3tu/gqvrmdWAzlFbPTjN6GcR5SbJJUooBMNxo
AMgQbSpHPgw6zJrULo+uZ8m9lkPiBekSyklt3gir22Z6HlYdfKVYXjqTe/jEZ6sMPWejGRHHQFEF
KunEg8HB5S6rRvuNC51zk7Z35jDg9QCaoVbinEcapiBxq+MAGsUVXcGcvEdDmi1snb56KhAOChyH
rlS2dZdbkCs7rIa5mcFbfKSAcLZs0kedEj6bmDc5JfWeoATk+Yp9vdWMFcU7/e0jCuk0TnEnOUCZ
Vd6Y5f3upTHAYwBqOUSNF5Nj3GPhXq1pE6VdqQV6gRQ3risNND6yTiQqkUafhh9bvbQI2k/ItD8t
pftGxHoZIB1gEcwTDd0wXx4TuA11TqNpTaSa9U/DW1qfx8DFConGy/LW1fSXaZcDscjBzgoAheqc
a8ughNi7qq03zC+nJBRNvQTbWHLtdORttMSigUtCvfYMOXRg5O/KtX6o51pcI2xAV0BNHhtXW67x
RUGNnsJ7J0zE+kzMV2A1d+M1erXvXo8PL89R7hioHAmxTUQ/BxJIPDTKDg2oCMtbbOu7pg9QMxX7
QaV+oo0KLk4t3hha/ibh52qsCBUaDWH7fCfhn+BOdavXUZzT2GxrZJihj+rHHEuIQ1r29FMTGEWa
GC462lNXePfdnXqG9NuVPYRPNcgqWggxg6KgR4CMRqihXdJa0cKWbLZB2oDskrLbsPoHVDDopm89
kUqjcNIZP4e9s0WzzKJfu41fTMxN7gQVFYLzRnqAOAqLXXSpn+FQWrT6Cu2KoV6j2e5uZegQps6W
zOORG1nbhBLWGOop9ElOs426MLFEL7zvWyVsZz2Xm1UmFPFXA4VZv2m6KVxXluHrr/K3YQOoGQAe
W0f0zzzPBtw1S6VJ2EiWPr0VJWNMaLdrqFsmMi/0MTkDKXIzT3+kbU432+JFVxNG9xPaLvvKltOl
s9AjOsX6Up8YjS5ZQ8+0a6yg7/Uvp9Gm2WjwI5nWXpaMu2/SnJfw+jd5mcCiXkh2AZpJV3E2PIv3
MjEZwUKBiCCnIIU+T1VQOtuWMNPxKpFe6XvuWn4xwXMHhjOKN87Mc5kk4i9YYpB3YF4A2qC19zyf
8CBqehMK9pFaMEWrdTnfaoJ+v1vQCTdaz/yEQhiKT0YqLnDCUANhckIiZN0QlPmTJao2GFSnDBLI
CBFnFxMlhwEQpPevqjZc4gn6gGF15p/mD7Q2NIU+H060+zRO5YPVbNMAiyZ7TlMyUsutxzdv7Vwo
JHeyncxPamGhROEd5YiOp2WvFspfRJUy8Z74P0MPTAd+mqioR5ULwEZgCPBGPvybzMLVyb7dTUWL
U9ne8uVf8uGRWV2VI78TtQwpTgOC0txGwmit+E3GNlz7AkEMgfYlsk07fCjp+2SfGB5g77uNYVYV
f7JGIjfBaX1XbPGtte8h8WXMxZsvFRP9IIGxvHPUcoleX2Iv456r22QU7HuVMvW8Rhp6BTYSjZcI
behIi5kvbqFCLLQjT92oIi7fiHovkmeHNUV+SlEGzIGD/WxVpRouLFJQCdLabvCk6R0YIhzHp1lM
d3q9A0OhkfgCkgPQyLCNAcd+06Cr52EvWyn2FmCWjWD5VvA4PyhPN2eR17LfNtTQ9vNfXqa94BWk
wHuKshQcQS+5B/RpmALwnortqbz++H9zuW2Lg1QyNIqJF8eOaKyOQaSIJmtbtU55XBQSKrNj7VA7
vlURnwD6v+ZuIG83Zu2ma85ohMrx+ddL5ci0UWZplKapdfRgqRILpRPMphcyaoKINAkyErSvOTNI
Qw+ZNcUHTVOqG7M2nc+TWXq3+TgcYGK9g2oy71u7x0dwQp5sYo8GdFe6q8Jt0L5ATAbthiqDNY+4
VzyWTDcxvwu7jA/PRmlvs+s7TEU2hSIgzXXetYFS62WQo+V3oIYxUx8XhSkwEyv3VQP/yTmeQjqS
7V4mrRmVemJcguVQmKiId92imtjnOEbk6JDcTE1mR7tVcni3IkHy2cJWfVTGTdjDDYaUH6S68qht
aDttaoe7hUQtRFQ6x+iISi2ux5G2If4pAzn3CmM0ZvArSuMSgKoFDkx4eWCXbRVWjZldDrnEgKs0
K1zGMFmH79O6B0y3siPOg7CQlA9Nb75L0kxH5GnorlxbWWn/rNrXAYd5VJSF9cZGM84TdUeH9bSJ
rlKu2ir1+vOXjc2T9JSCUx4EhbtJpTG9LkCNVJ3KZJtcKtdL9V3TtlUUN5MJEW4x93C9eIGI/wfI
wdvMLwbyekc6aKcU6fdCzxEtA3qIvdmEbxkLaL8oaCa5BMjArGQVMkQw/a0rEbrGqtzjq2Yeve3j
87p/16f6veWANplmGySJhRT6gLD0Qc87942G03mbAtgfG4odTB5DoFHPljqRU7OMVrhhKtdIpsuO
FtEbu/c8eJ4u4YAwtNBk1DBcff6AqcIsGgGJC2Agb4IacRF/lCNlRoOxRNcbLc8Gd7fXQ8Z5UsBF
iZ2o5dJh38LGWYRKFBfVlRSlvrZ22j3DL+k3K56KYyI0AAOM9BTD6i5qpBZ9sxfdG20t7Ty3h/uz
Jcg6CTz9VDouz7/00pbFmJe1Ew52ozCXzzvetoEwWr5dMLa8iwbNwIhod0/bQUS4lY0fX38EJwTc
szC23QMtcp1aBtDvBhD/NUqzbbA0loodIo6pBOPSdgfEviWFuNqtOzlmWE6WavcNUmJ8w4M0b+oZ
1GnV6+4HRThrkCLO4XeTmYdDuboPaqfzKNuO7C5twlKk8v2EHMaFJR2+Tp86xxbr2E2Nr/2Ebk8C
zbRCHmby+lt4fQ2yYUrxRvJl6XyHZ9+RBBbKhG0YBo1rzubn33FBRchsOULDgV11nAw5h2qTaL43
1uPl6Ut4Q1rcqlPiHLuUHzB4jH105tYAga7cX0nBAoNehG+kcXLwEGxE7jCH6gee6wKm/BPSit1B
GW0gZO64Blli3CHPYuwbmY2XKwLnB4xv5KYwD61ndkam2t0e40C0UVYb3hNSrCB86m3GXmEh3uhr
IGM0dpt0DoVsu5uZ3wwbewRikSbvFwWVDzueittlbT6tMjcIQsOlNWFHuyJbu0vadLzWM6d/wKL3
x+tL5lzk2XV4nDThwVQ6tIJRm37+OBuMNrB+AKCRCEnvZFCkj+TOESOyDwhsxrCzTC1ce83cZfYS
+zodLz+3Gvcg3ALBz4zulWC+jC4c2yyvxvSqRUD0W7vkDuNlb73iU+zjiNIPE2GzOtBIGnY8dDsS
6vh9RfrhiipPxcUMyJ7Vd2bY6nCmS6lLX7HrTwMCk+E4K/clDelArPKtzMZ8Ea1MjZqbHWtYLhtY
O1tQedYviFUXVqiNHN6IKxtf9RkBYQ4tlkAH+RgJH7eP+gktCUMpFYA4bQovvXcPi5k1QZ7Gm3ZX
XX7EAwx4R8a2E2tnIYSAA2ioTw0L006UQAKOC1TJGln6OseKys39QXWxR5FDNC/YMmq6+WEajQdT
0VBQ9ZwPcZr9oNZBQYD51FXZK84hAbRxDXXKve3JJ3FJRTzOGwvKcYxughKOc2TTG4hMRn4hg0kW
+sgl0e4w3ujhvMjStlpSg6brbXHnRVK4zFnKjJK1MxbWE2wD93bbKygY5/6kJeMbbVznxckFt9Iy
QKjRydWRCDtLkMuBXpU6YCA7AKcKcubQDwDL0qsGpz0fhbo5RLQqv0ntPr3SUX7eMV1uGV3x0Oex
JYN3p9hnmvh59OLjlNjXMbJdoQbKZ7YvF4jWKHazr8ccyCv/1m/ICQPFY11KHNgCfWI3k7Y/1V27
3uk1YD6thaKm1XV3GAz2QENReMw7FcW8xEjCFEj8R+xC5XsG/nGg6el416DM5ps6OA08HWlxYf27
x1ZuvAbM5V0wkb3r4ccccJYicqzomZd25Rwl7IrrSSUsd40QIRbLccDEdHOLLseP1sLa6kaOGQWd
xtK3dCcPa0TVv7UoLt3oaq0i6FWpX40YtVlAzIyz07RWQk+WtJ3HBDdGHuQOE0V7n9ILIgNlQ6xv
HNC/WS0sEnoxGx59OyWfR5rOtguBIZ6NwBqgnNzi+cnG4nCqzTpwLDbE66Ht5fWYKoJIJ8WiULfO
q3RbVCCD19oKi7IkAWnYDcDmkKTJM/eQrlb7xm7QXiaWlG0W302j4GWY552lIC7wtlbH+SoEx2Ts
swVkqAZP55iVDKIqrDiuZs/M9klnh+hsyoPsCBe2aI19jVKJ70zo9JkTHlXYMue+N3BQ4d0To5lg
SkAJWh81LV8ls2v5vuwI11a1He5WjCM09j23VlV/W7YwklRWvAlO8+la8Q38ItbSNqjQvM7Qz6Y3
eV+7HHar7V4XWJqGTBme2tqrg3WynpAk/qan3Lui9nO4uPF6RV9L32vDTGOllvfdylrXFCL/6Wht
BKmWdJP0AUSZsffwVb1DP9oAI8Ju8hAljlKW4FWdFurV1GO2VtvbaVoKwOANeQmiMRy1JRa96rZX
F534IctheaxW4psYWedryxIXUiL6PpGzIw/dBJ1o2k9ZJpSQ54bnlOSGGgeXQjouCDQriK6uSzv/
9dOC9Z4tA6LijkI1v5l9BJiHtP4MtGC3bKdunurdhZkJh81CuMi0iXygn1ce4txdpL3qXmOH69Ed
5q9en7gHVGoH7MX4J9CelaCK8bTvasDfYL4ROEk6eYOwHmiOPq45F/iaCvaLN8i6rQgTat1+QO4r
gqPkXeglcuBegZNCsdof7cX5XoLXxbzV1C/YneMRTo2xJ4Kxiq3Fjca2IGXJNpPkbbt7No8PpClX
UDgFGo9MJ0VrxU89o6do53Wcdtf/Gu/z/6BOgQbAZKsgfgkzL8w9gr8ZneDifmVx/vcv/6Ukpv/B
jJv/yvFInXnqnP+lJIb0ALALl84hPQfQF5xzf9E4dfUPfkJ9Ct6FKg0g0d80Tn5kkPPCZ6RoPQkd
/CtKYt5ZFr3VB1i+2FSCuMpBpzpP+9AcnsxKM5mIZU+DY9840ooa27vP40aAGtT2xULDZVTie7w4
IdDYXxyZRIP3NUXci3Z3chWn6ycx2BFt8lADSZ8f6QsDbbYIVcU+icdr4DSfWh3Xvj4Jm9WK8lUe
1Mav03hvFs2VJn17cEN74ncZcRa5PGC1dyFs486W1o1lG9HUmndmrNFk2W0z8zlJw6XxaLS2H1yl
+bDOoDRsDGzT2he4jxf941p8WBLCXYnn8myDV52uncbFrLA80tK4qcz5U2NQiPfVLWPzfbNAWgOn
m0P8WPT4fgX5FLixed/ZyUFO+bsyNunfp1656yx5WONpxGiiuOsT52A0aL5k1vi1lx4gI/mARjjT
UNUETG1fIAW7Bw3wHc+toG3Kowls+ZeVd/tnzfOPaihv66zqu3//t/MR2p8vcXMbQwWKhoZ7Vsov
JMldqiJJUrRtwNl2apShW/POWpZ3jqQTmEIkF6uzV8CjjbyZ12/gPHUm8YPsRYfUppuwJWdnBx6M
Jxd7VVitoBOBzWRHpJBCBGBxxVwsbONSHd0cYUdDvN7m7fpprDLjaGmWggwUQ2Vn93MxehmutrSB
ERtZ6KCuvY/rFZcFecARWvg2imkXao+vJoNNaq6iDCL8EOHFSCZQIAb2E3M7UMPIMdexdYg946qd
mTHjSo/VU6d/XzAJ3U3zejeoWbR2nF3svc9Gq1/FaKW5+XBV4R98WaNZdvWvx8h/KtTyjPj+T//V
/80wydR5S27+uaLLdbbW8lt5FiD/+rW/ee4mIBkAI5QPjvUryX1r0JkkUC4C2Zs/x39FR/MPc4ub
/I88C0lh+kp/ybno2h80PmzWI9kev2v/S9ZH5xsLOIQJARMdO2wz6V+dej2/dLtnrVshKJTjoRqJ
PIxrGhrRbRnJXLsxyNousnjEMEzDGTgZfuqxHW+iU2+10RCjOOt1bPeBGwkIDTA1QDTOSlPDS5Ra
q+PxgCVYcegdLTQNAcOeuEkGf2W2h9a+jWF7DNlGuLKwDNaT+DpP8W1opXE/tLCy9MOKMV52g9PM
lZEzYc9cjHJieDCT7Vw1GlLiE60I0+rvsBdh2NG1OwuseaAOH1G1Oi4ws+e4IqR2t7OY300CVKSB
HTd9prjDHb5M3il5UyIGIO6HDFeozkDszRF1AFraxjcJhxAoRRIhMy4UDC79VNSCH7quuTcWeiLx
AhXSuJ28bmPHinTHg+0Mo39I7QkRKgxYQidBGHCmkVCVWmgh3Lzo17VSo+5mQAr8rIgVg/n8A0Tz
S4iHB4bLl3ivQLlKgAa3H+bZ+gLV2dkts7ihjTfszGTkoELs+GBY2WfGlTfSXS/t2fpZp9nBVb8q
nfrRSbg8MjXSku/tGK3uvt5j+xxMaIrsdIfbAJ/rIwa837hsdTH+yFrDPgyrodESt590b40vOkvH
nHo1SizhBpx6nPWq16ZrxWVqB2i32E2ajsGp/aEskgupvu8qx6dtbYO0mT60c3JLeYNx+i7naXkC
1PuyBwPe29NlmxsfS3CUO84Akr8PbTU/jaV7MXfqlxVQ5cIEcJdOzUMyZeFiZVd6a+AXMOOhHNcA
jr2PLK+dsKC6YpJKaxWJmX7cL+p4kyjxQ9ysV6NtvKfZR2PPGT5qBsm19qMuy5tOHa+GcaZeGZKg
nldMH3scBqRe+SLGeHHuEePHygLNMzg5xYPD0mxT+yPtR3WHBsAPPHNiFBnKoO7yEhQUc/u8/672
eMnEqMnv8HXG/X3vaJvFbfo5L7V7s/zsSLm+yxmSfUYf8Qpp/bt4HvF/WiaMs21U0sh5Aia+V3As
A7utDiipPNhD/FP8J3vnsRw5smbpd5k9yqCF2UwvQgsGg0FNbmBUCYdwaId6+vnAqjuVlV192+6m
zcbsLquyskgGAfdfnPMdrTiN07l0Hhpbsq6vtBiHrX4xW4/UzX7al1HyZAMj3yl40x3y+Sn0rjqQ
cshkN51jne3xUvvlCdHCsqkFQYP2WFwRfLtTyohWyhU3LbzCdZS0O6ZsiKXIiUaG4KQ7X9x0kXGV
F6QhBvsGWDIRAlg6/OAmnu3CQCKeShz4U+q+h1O8Tvo8YwVi1KcqMGrenDSj57PW40B34WMGzvxN
ld4w1lr2pXGRUq6Mwt5k+vRIQvquMwnYakmyQkPwpMUMn4lL4NHwVjrK6L1VKJsZAKC3sHOvC2Uc
hOmxBpoeYpCEq0p5LzH4gGVKejx7Yzy/FsPg4YzVZ4vefZlPvnfs8n7NWPLD7ewbIyRMHML7GYxm
v6ha5xwH0Z4V+WueVvtYOZ9Fauy5/i8sovBRmYXcpFm+c3K9v8pYRG0Kj70wTp3bCAfgcgr1c4Rk
ep0bNzVcH73R+eTRy0W6tvfL+CTjvF+5+GVZDncbe8R+o7nOjUP8JgT4ajHm5X0MZb4ToU19BhaP
k+a9cIKVPbqPkvB6l38BAjDdZEzpVmQs0JzWD95Un3EIvKhRljthKEE76T9O/Xjn9X20GgJsYu2x
iMJFJ+t7AsXPk1W9tJnzarYmsdzhlT6ql2pMn9LRk9u25OdA3jhqxbruxvUE7fZ2tLXbwOfjkfTk
JG4fWoU2UmG8W1QYh6ha6mTn+f2+132QDNZ2qssfViq3uUre/IjVdz+G+5y89FMV8ubnOFGXADy/
6GweB4dekxXVGhTDpiI/aClsjMnwJeGfGvnOn4I3U+FZqJqA56/Vt5kr9KWZaA8mkcezJ3nNG3YN
kOipCnJUIGxSbKlgesvmLQH4yIYD8HDbvzBCu8Fudq/1/pXetdeTifWpIT912+DMM4toP0X2F127
s9BrXIxEiV9NfKwayHSCMTc1ueCg5kkDGuchlKbZ/lLUKKBqSnqLJGZevX1rqO+gq5u67HA5iAiq
Y6KdbN3J8aTEn3VRbpspu8WQjM9Viy5NpraVx/NQ+3yS6bp2vZMKrH0x2Ye+6ZkRHFzRLlP8M3C3
2gWRqgfXeVFW+hDKZh239Zb87AWDmGVFUs1CL8JNSyRFWbursnglQuhaBt5TVxv7IQtWbWYf+6bd
9V1JVny+MhjDLlnM7PV4CBcpAQ6pd1eFYDNbezfG19CUn0bJLrnPdpgmsYgbzyprz2bfMTAmOM0L
tnEb4jBswt2kiXluWd+7YftWp4SoCti6B7d+Ap28cuALYxGYcYm7PlNXhnc1TOTQ2zLG7VRftMk6
jQMn1xypECS88prj3TiD+CrHY9R568LTz2L4IbvpmoZzkySMS3XrB4MKppIqWanMOFK/0TXEP2Iz
/xSRfbbc9tpy612cRvf62K91RWyKUwfPfoIXUP1oGVhUI0cnIbt0S9dONfASFs+8Io/V6By87LXz
MUh1+SsEZwY4yZXS1RmU4tJCc7s1Q3FihfKEY/lSNwWZ2sO1wkE9lvJcOWRGRTMrTbPfA6+67pS5
K4bxRMyuXLWJtUwCYyethtGzelOTesZJOtP2d2x5P1gbvMNSPgoND1m4yAeT2XzhLFwc3A3ic4KC
Gphuiz6+M+XB4lAQrNc5lhU7sVayMFTrdiBYwzpNib/vzeysB/FX53drC4wL6AHuz4LB+4CJifAY
keonDJYhYITqKrLTS527uCtdkvgIwUZeG8v2RZxyQGvNQ4LCzCLzhHbyumT1xNypWFgdUpjYI3Z7
Mte54MdKbljQEXq0zYYe9Hbzib7zKOJ0N8y4gdq8IjeRFF4YrkE1DxmJwRzYxHvuYz3U70GlwnVr
2xB3O4EzRmuQIbXEriTyYYBRc+mnwFi6osEdpOsUNkWB3q+zlrjCD2mSLdPWRElqOzcEubwwM/sw
Q/UELAdAfkNQnF0/1mm5K/rkMYERi9Fz6ZrdNgJl7U73XYtcgIMXtsLScuRtVaJwDpvtaDhrr9OW
ZnSiPYUyIYYrNlKQfIpl0P/IhFyivGsrjHQILMI2PifNQYvHlQsLd7gdJrEpGiwj+bkK8ZhrSLFW
qRDcHzHjS3WruIpWI7unpN9OwN488ynq9dtY6ZwH/jYmjjdOt8iHdyq2bya24mWtrgZdXjrjRlo8
QPhbp/hV08ViqIx0UShnMSbvfd/u3J6EmrImOKgaDkPQ4DGq3B9B/ih4N8ciOrADYa5Q0JLSSJQV
boCr2BijRebfu8g/fbt9izG2IXNTK4ISyVumflCa95S2VgHH6JHwUoAC2l6ZRzTN+Fg5smxK0iF0
D5V074i17Jx1VIx2TwpcWoEJQMXJYS0fIt3TlnmHpSxAPKM8bmTWm9PBQ55/Kn0Xw6kjAtbkU7EP
QwtrtF4H7bPTp8Vj1UIrn8iDwHzTjoTOEN0cJEw/ydnrPru+SNfITvUtmUL0DpMbdmSZ+0vTd4Z1
4Tj6h5tn4uJb0j3qVUT0B4e93MFqTh8LRAnrzJDB7dRZfJJaK14l1fAuQ0ZChCfj0XWLXe+AiNtU
S0GmDOl4GHeHLN4bHuncXm3rX3xJ/4NdxvSuSVffSWds8RYmxl3h1tbG8KL27AtU2HqeyKOuefUd
/R71MYUZMy2CRC4VwYb3gCIHwjcRNI2J6PdIWstj0dnRXmmjuWHexR0HsWUVjoYPtlEzmUKg2yQA
vKxOeZFEa+6acjk4wbTXMKmezNwLDyzqmkOgPIBnLOShudQBnzsx26cWBdIyN8dT4ZtgL6JRh2vv
t96jXuvjRwkc85i0LsGB7hSd7WEqXmARBdeJlVcPNDq8P34TyXc/cdWzlllOv6A0Ts521zr3TpCI
W+A846Xpg/La6GvntrOT4VwXgTiO9mMXO4vG7wismdrhNiwM+0Gz7bFb5PFovji+1m+GauaGE9t9
qTtPYXafvKuRC/NVOLG3k4Xy2XoOw3tCru+Nyvr2xoE1cc6UkewlyHN6yGBe7sZiIQpyXY0xj7YR
df3CtUqkMd3kEkhiGsvCTuQ2EAAO5dxg5+kYA/eIQrZiWc9uwRLOE3mR4NQ5nl4TJzPhOSlrZyee
cWR4PnKm5BE71/imGF4HQVRILJhwtdl4NrHdRotSjt1dw5M5GvGqIRKpgMa+UtX04WQJyfN9oxBI
ht19qLkPfj6d3Sp9ceNsZ5OfIxBD2uDzOfbjneYO5OEm67js3bXjkfqj+9HK1qBUjty/uvfca9W+
GxMAPIb9SZjW0jKTNxsx3shOC/nJhty5NfbwnovBdgY8QH7gXvuRrZOsXD8NZnFv5vY+1v3rzFb4
06elSCy+Y7XtUtZ39aNhtMG61Jpn1AcwsaOYilK6953dPYSacS5HViRErsPfTq/GQdtH/sgiO+r2
pVHZ4DjNbCfzWYAzmeeR5BTkrdmS7IF1UIlTFfcNIjOK8iaOscPYm65uN7DSzVW5btSTwsbSFs0x
EITWoZqKsvxHmTcPP82H/maYid3kL8MOtEgMdHED0GuSsoEf8BfzEHAPKibH7Xdu9kSbHx+nQQ3n
oS9NnM/ZeNDdvLoeimi6cD6J2z52nXsDB/C5Diu3XzRu3hHs1Ml37/tVSee3ZpzfH2d+k8T8TqXz
21XN75nx/cbN714xReldb+UMUApeTTW/o/78tqJ0ng7Z/AaH3y/zEFkNKLFUO0Qh7/o4v/X+/P4D
rojWUk4V+V5NQCBob6UL0H/+PgnTcZXD2LhBf2BuyvlsMeZTBqhOv49CTh69DYdlZffWvUfc5aUy
GurzSIj2jhy55k4vGnlEqlofyqluz9FENxbMJ50ZslPEPKDzcXEOglb3YQgUxpc5n5L12MZ7URaL
oKzEOv0+TNV8rmpM89fy+7CFitbvxtQXr3lJnVHqY3BrJ2mwFpaZPnaWoGHoe45vXfTusRp7cbGD
wvgIyVNcS/TtVkmMm/t9CRQqNbb9fDMQwtR9hvNtUcz3RhIH4w99vkvq+VZhnlM8GvNNgxaQS4ff
ZrGPANysq/lO8ufbqZnvKTbVYj8MxVUx32Fivs0MrrU4jM1o4U/N9MmQ8AgqLoDdaxrNYw8p/9kf
VYt0Ns7Mp9HxGGpJZY4vPWQm3hrLTzZlxAAq5dlcK7cDrC4p4EwE7wtryK+9JoNmLgDwmqUprsuO
J8+Cl1HStO1cTQSYnmovfLOlA3uLDepEc1O0xqZxdK8mnPX7K1o1fb4n/cbjntY84gGgKYhlUxTZ
TUFq8ZtfmeZRJhwSW7f36VfnFQ2HWavlBD64dvpu6eWlszKWwyX+iGojQou6hG5hqdgqMPCS+AyS
Fgq77pTDuquqW0G3ues1+6XOGeUoncykeKKunHh8ycyVXDbDOmCbkyTVfdYKUl966PSTlkuwujna
dRr2L5qYJ83XnZOlgmDdlPZDF1N6dppprXXZpZywwgd0FmW3fu9qV348sOSwgDIQexbfezoBo+yZ
k4Nw3fvYSO59qBPHpArSHTHGDUte/RBZBni2Tgxi4w4dRU8LCARsxyupE8xKjPjHOGrpMqsmQVWc
qrVpjFc19ceil/znPQ/GMvG6Z0cZJFuh6oGmP9iIkApzW4GMn7M8WdZM9tYXBb7KvNeIyqmcDcNU
xip6/ZYp/UJdCBHfHaoF1cdDSUQuAtv8rtdK2jE/E1tbqc4HOpDiivBIDM1SxOCgLomf0AxjayVu
uSGyYVr4dtdsOpN3rfCZa4ZNQQcWjd4iGprXnrQrUjLS+Dme8lfHyKggnLLeZh6CIuLiQIROmeKx
isnakXJYstSIF23ptosxnHAjgc9atoljczsGktKi1Gnnbxw8u7AaqZhGQcsv/LB4LEIw/JAGOHrm
fqAJunv+nrOPLIfdCOJJ+6Hx3fxYtE64N8tAhxE+xqci9D4NtO73qUnYmD9woGgy/6SL+ZFYBG5L
FwWdEXsLU4vs67JgN1+4fHZZID5xKDiLDPzUIq0auaIqAPY6xu/jaD732YvuJCf8TjwR8HLG3Lsh
r9ZcjWn+w21I3zMKoi59BdciayGHaL5nwseJo+umNruVlXA4GjqNB4EnXFZIIO46w9QfMN82dK/G
x1DoFqkUyYOHUdlApL3WUO3QGZf1wiWV9yryrOPo9YJZMu/XUHNJQKKNVwykr2HEmiBYCaHcxS0M
HCTPYhf10fSc+HOTGVnjZhpABBCDibWEyJ5ueg3jVK5AwIulpzJtaTsMvbw2Kd8SMVr7SCMSU/RB
ss9aAtzDwmtvOrANNwTLDO8h58/RMCtvRyBL+9rNtVU1V1nWXG/135XXXIOZGhZSsmy0VfhdnXHi
2g/wOYfbei7eFJ/498X7P7bI/8se6/+n3DDWOp7lsVL5r9dYq7fP+u13fvNbBL1599Z9ZfF/2mp9
/1/+WPtbv5k/7/Z/yimYBQE2wiCWXWiSCB/4c7HFbh/n+GxDZPnpmizD/rHX0n/TAYfqxB6wE/ve
hv3H/+YTj76KP2qq5pd//nlh/Isi6ntdi7MOYB3fCd66XyqsJGnNwQqzcE1CM4Gvw9a1xYaCA7il
vf3pc/qbcu5XTjS6Bry4s7pp1pXOomSqvZ9WaJHUOCuYY8HdLDad192OpD8TVLrJUWQRHvIidWfZ
9k+BtdG86UxYpL4U1nPG0WLGw3HIyo2bm/+dSJtPsvxJPPz7d4UCjfwCvj1UFn/9rsIyLgK8CeG6
FOO6ZTyduXNcmeltjKiGVgToVpNL1tEbouLpZLrVGDIyCelUnBbdXnn55x+T+f2Z//Id+aZFEoXF
NY+445fvSHK5aDD3wnUzKbE1E3uPeMu+JSA+PA9CgNJytOxcZp2qkSlOmBiZnJBTwEgjJYFpEjnh
RblzCVsjO1rKD48k++xLL9/QMdUr6tpXb/jIxnzVtfRhRX5ymT6l/WLwyVPKiQFT5H6DnrBYryP7
okeMGX5Oq4qGCnPISa+0VVBSOtk5Id/2KUjVRon44Gq3vVncTqFcmZCt7Apfm0+Ggq5WvYJMqJuH
yA23Ckx945q7WOasJJ9Hqe01krqn7l3Ljy7nKCYZ60C6bmbauzR47FT3RBwQIFFyaJfl4O3t9hGI
LTCyDkhCsbVQasiGJII2ujDWjb3kOiPCGn330ndGqDbhwRFQPO2QxORs3l7ekZl1sCxvMzQWm1Sy
7mCdbarEHzdaz+7J9FY4kBBPEs1o16dOuBv0cIPXg2Pma5LOWRYdQWAFEpAn1w8OiXTmJNa9QXCF
YthjkFseQQJLnAJNH9lLWcPHw5cJ7FVZ9bdF7Vz4fTLesHaqdeVi6ruV5+DJpgQzqnfhnc2cFM2p
JRXcZ+LGZFoPDqXNm9n5az2RSy2+S/tip9XXY+lt3EC8dRBKbPu9GorXpvnIwXZE7AOA+50b5NTB
eBPXFPCwH6XvbWJKiyhs1DXU9PKOGfNr5EntNFb85jw8Qhql/C2sp4J8CR4tsw2Ztkm7+IisKiR7
vORDk12ZMAXLs69mzMXFnKLiLSBOjOLCmV+a0EUyF4q919t3nqHMBzc1u33TR+qFDBRAC6yz6RG8
AGxvpkePskxzOKxWuDDCfGKfmgK/W4SOknc+U/iN4Tbeqq0njS67h8PLd+EOb049ZrvckUy0h6qL
TqJDdmIp6+zUjXupp867bU1Zbf59Sc5h0eP9WH79n//19snObBU3bR1/tL9cbzz+Fkrr//qSPL3l
canqv/9rf2g9bIJ4aO4tH8+wYSOz/0nuAYUURr4LiQfp7CwE+Yfcw/kNmgNKE9of2mMa5D+vRes3
4DHMCnTuzdlu8y/JPdDV/fVa8BEw8WUQo5D7BmHuVyGVUzV5qelpsEvqWO5Gxo7ErBBh0k4WVr0I
d74TDfcpCMEtfEhnSQzX8CCbVrvD7vJUR0F10iofCUIoh6PHOue26Wwgc5IXcjLQM/R2vDMpWDeO
bCLWA3X4aJu+POHR2zd1iFdc+eoIG/RWQ3jCSTGQKIyogQEfgfNml5FkhfuPYhvVLKOOkUFwpWyu
zjhASkpFex+Mo09iXhtyuozlqU5skj5pFPQl7IA5QyxMtnGZejstJ2hpx6RiuKMxFM9xWX6lNILe
KmqtCqFxnLzGJjNuzNe72Lavk9wtFqkg0rNH0LZqLBsIn01bT/O4stU8lXEwvTWEF9+ijau4Ipzd
qHjPe2lA6IuZsk41c72uipmJivgZ4QCSu7Ykyu47iLNp+mrROxYj2HreHwSMOnUVbWoTuXPDI0Ic
aSvLW71PPnunsaEdhFhTxMh43tB7NmmN/iqNQfLZhHkHMBjcLoSa6K7rB/hbvXbXKS+7dJmrbbPe
CfNVaYf6xek9n6ll1ItsSfMCbsrgeGmgWUJIQmGWkiedCT2nR2jHS2hiAGkrYC0Ir+tuBQKTiy0r
BQq1esqyYzlkbUIIpZnCB4XTFjLnCdtuI3wtOHYFs7TWJCh13yBTEVs6pe7Aurxi6xtMhJt3pM8h
vfH0LoTpW2aslKTNNL2yhsc8H/Ju4QeNh0TGqyryAwEfBhjpxuCmJQIK8V9lR9ACA8/p2DBOgQ7z
O4mf28atT1Pb2uXaYGQdLyMjtM8CgIKxaull0QpkOi7OGgZAkHdnx7Ya4zKmrc8KJmlQ9qGuz7x1
bxvAGILa6PvbhDGI2HnjoKoDT5gVLeHFRdOKVsmECtjnP4oylkeP9IkIaUxZl1ssKPSJyRh7h/Z7
VdEb9bwj6oMLDoS9n+rwMjHVLiKIyK3eylUH/WRBiEK0tq1rX7efs8a7GZKZExjr5rKJ651obcEC
Uj9lIFQXhVXcdlb3Hpb2nQKQOxr2eB0H1s6RYA57VV0lERjUtNi7AqJGVwKIwXRPhMSyrQt+ZWaP
0U2Och/pqXUTj5b2xeO8KsA2BZ1+Y7ao5/PBv+h6Rc5JPyyoYfVNIM1yxY/6w5ousu2QaPB3YIo8
S81MLo2u70tXxKu+rgkLFJ69NJvEXRWp9mnHWQpXTAsXrtbc+EQ3NbjrFlVfRzwMfrRjfZlxb4p7
aXVim6ZewhDZinbVLExyXUm0x6iR8iSLZjlOk74m1Up7s23EEpW3hVAg1pNFxmUHsnKX+zolWGGt
PBtwLetS1DyhkRcnPU7c12CM7uBHxquYxcu2D8GidyrZpDZ6WMPy2qVSofcx2VOzro1xbfhDc2Wa
CdZZ5pwCBPS+c7w7jr4TGOVoYVWjeUhj0BbSIYQ0y9BpmO62CuqtLH21pVL/zOZA0cEdv6I0PFui
L1i14euzG2QFU2d89a2fvqsp+vHT7fQ3rYn5XeX/WXP7NuP12ULItMDCpIrO8K9dQF4O+J2hBO+0
CHqFkLhxgimDJx8NpXMWzDegxE/KIV++SpuTXgzxM/YguLaIjSifJVGVnJPYgF0qakqlxCxVsI6G
tB55LmMfULKRwqCNu3R8LOrc+OjGkPfZqHssSF6ZedUikxOqAnaTQJEGhCyH1CCldSuQjNT72nA4
LPIyPLJY6HAYfp8mrII5WarvUwbdQ3Yc5CBYD7ajZ7I1pqgUdZ23jP9sbeOLNLltE41JVFbp3r6u
2CTWvRuxuGVYZc6abIGOMAubTR8wRlNxzG8T759ui/7ooBZEISOOVpgkaxzRwzI1AwGcPyJSKw/w
CCnrdpJGu4DK0Fy5eehsq4pYjoB11NIo4mYlh3Br5bl5sJTXfhkMQh/qLirWlYUVhMjICut7k+Ir
2SYQXxVLnRj9SDjxtrh6UvN000gXS4AiSXoXj43RH8eKYjhLesLWwI9jasPiQIciV0EQsXmtgumG
QhSeoC6v46JOjmNk2DeKjFpos2GUv3AoNAwXvWnjAGXH+Yntn19olZy7EhRj1DoKm39yqbPCPLg6
ZVPBBss46baRIv6IvQjTVasnywx2a3wlmc0fxaChoPKltvU6YTPF7rQt/pj2JtQYMhVeFH0Qzc3b
OsSVeh0dTi+UA+aZWpdJJP6WVWEY73YWGjt9IMsTAFmFklPWN5mgJI4dE406lA6jgr3cNyQeK607
+hFkFneoIQyIBteuuYprAv+qdrwqW+dZRNOw5pN7ysCHkvUQh/wkAQ2aL7qFWRr3MmhRzathV9sz
+juDSjRYn5Fu9KgqtQ8woLlg4W9sS9EeLIzuwgAdbxrHRoZPYWSt/Ers8dG8x4aLSDO41rsO06JS
zmaY1KcUg3GNt+mrsKMAyG1pr0iWqjf+oPk7QEhvDkDog5g7lMZNxecYBP2hc/3mItnD7JvGmZA8
xv5CyhS7S9d8UCzSkjrWZ2fPMRwS0TheU/IijDg+2on2MgG13MpRN67zKjixpRyXFjTfdZ5r44qs
rWID3y1cVorEOZC9yGhLpVY5op2AX3YKNXfd+uWKKmFTlE17mkqjxuyJRcCzS0Qig0lyaTicMsOI
MeyYJBkZI0kPjQHxF3/WhVCKBhdWtLaCLt5rLYPLqEedBHjWo2MOHLNnjprZX0QMsHhQRvmDESMY
p9QtNraaCjpbwAqWNOe1hBOtEitNtlU/kNeazasMjPVsNdxhNJ+8711HN689Yidu2drb5HeD201+
iO8tiQxZoCYqgkPhmENTbrUavc4a4aU8hvMdXc+3dfp9cZfflzgAUy50y0PRsvO/L/ru+9KfvguA
MgopBobvwsD+LhLcuV4Qc+Xw727rX+i26E7+Sbf1FYm37G18+5t+i7/4R79lEvqmM4h0DFonzPD8
ye/mIz/4jVkT9nnSerw//uQf/Zb7G5E2OIzgypFnytP4Z7/l/Ab3xQGMQp9Go4T19pex4z8bQ5pz
//jzGI5+S59HcITc+Tb/M/uXC1iFovUd6bm7OqjtaGdWKfQtsBhDvTCCWHwSq5wdWpcI6z1zM3Vn
G6Mfrd2eLPANFmvroUoSuc9bF2p/6aYdlVhM3OTS6duh2hL1bD3MlfIp7Hv9LDXNgUfg5K619GCx
IFa17STYsZHzge2MflVe6Vox7NExocx1Il4SP2yj+4YwS0BdHOQUP4Z2HxiqOvrKU8+wUTKyN/xg
behZuqxy/1bnHmGNpV+ThtYtAryJ4Jiarv6osqrsyV1uZLXkh42u9AQA+KJmzX/lCMr8VW+z1G9U
hmV7yuTOUzVyNzM2d6HjQ/d3Jgvx4EgDabN05SgbIvRqBFX3wgruMeD4295Ie1Q9WbBMRtktLHQg
awtGzyJTAe2jcGkhGV6Stuf3Cu3HUHpoQItbI9BK5k3QmIi6YACtU9KFMcqlvO8uxIC6I1ZSzu+r
Km5RUIV+hw5z6DOqzyBHmr5q6AnKVaQRmoTkiSXJJjLGhmEe8e3GZTKcYDzXEWuni2HryC4AcoT1
Lk20OmQ97RvTXumtmxzCrg+sVZGEBmnfynWmDQVv9kwWQ+VcfFmjrzUmf26ABT7IJSLWdFxYU9Op
Teg23dZrdfGpF2XkLWUpg21eK+PRgb9WY3eNopmh8yNALqe0vroxc9+8KuoRo5ula2Qn+d2z54JI
FHp4g4Wboq7qW+75QQYnq+5XcqziCxkG+sbVYY0XsHDQ0Dp6v23svPm0ZOftChZI8TZGLGasskKv
Vqlb+jBdkjllG/XPuJKQ3u5gr49XRM5gAh9i9OFNm921hC2smI6RR86qeIt3vDjoHr01CLBorcf+
QdUjrd5kTPdhHhubriqcg+smFlG/2jbODYTGvlqmRdPcjTaRCoLZ2Vmj0dv0aR/JRQvFYUEg4YiA
rRCeZNfIv98WWp9dEUxKGZFY3HQyk1d1RaGzMBI7vudpVUeWbAaQIbMgrYI4iGQ/RmlfEkOkVlJx
8WcEt+6jrk/PAXXPS8vvlh6uCNFTRqRnRcQADQN0L63vV3VNeoKUCJXjWF6qsdgiF8zWpKxPjzIB
gOuYGimAvlfeSRU1W0+ohM89GbduElUvXtDaewQZ6lS241ehFJ6TcjQlW8uw3YGMTjYu7t70udR6
964v2LsuDZF6r+XYsjPUpWvv+6zTNsMwqFVsltba1Uy1drpKbfSqrrZT4PUokJ1sKQ2MNtmAqMdG
vrzLAu2gy9blhJHDCeOgeg71Bv1tE2U3UWBVh6ZMyEcnYhLtYYVGgLzb9ne73b83df/dEJJuDUWS
/k+nkEsh3to2bljTib9cjX/+5d/vRh8X2bxPmx2wEDhBf/y/u1H/DTvaPI6kmGcMOP/JP+5G+zdD
x807r850MGjzuuuPFZ3hMdv0Z3Yu4DC2XWwU/4W7kVHWX+9G2/VnMjdXLQF3XMa/LoQY0xGoknTE
X9mFMDd40eolNizTWo5BDj/JKqcmWYMS4cjtopDAJ8+bZcr2wHhq0botEKnANa9yLgXkqkUJzjSU
Fe+5l92lca/dO/OUPhqKGXOfi2MtPZ1Rm4NloUEEsvYsDsYmb8RnZ/mTYJWQ+QIAEODLcHCzRzA/
GeJdcGHHyMhtmk46cADX4Xhxh0KaQC7vImWNywl6ppSKIIiOIYCK6/oofO6jAT+yuaHzVekyHAh6
A8k8av02N3tyYYpxzoPOJv0udOLs2RqG6K4wi5yWkKFk5Y/RacyALSEe7aZ3+g4HAaDt4bdR9Vtv
9iAHjHTvJGYAUBZ6LTo3A/R+AlT5ZmgadmlTmqxzIgMWuTkcIyxHhIwJeLlWzS1DKifDWPACU+Ea
7z7hS3KRFwppIok86RUepvS9dwPayZSQrM+o0KIHQrKsWZQSoAKPPc1kkGB2+arlhlgHVmovdIvW
GlCveUj4BWD3KOwl1153HIr6cYxzGEyeORCSMzX5QHub68VyGqp8LWySyFcWddtJuX3yFue2/NLN
kHRULCWltqjyDoKCHozYKwIMsaxc2ZcgRgOfQyMeDUs3j9oFN3SRYaHuIxQZfYBcOS9fBDGpxOdB
2EGjMcRFxbSNSIhaK8QzVwFeHWiAYmc1fB1jtPIOAkNPPnYatRQ3o1MjwSwgyWOeASK0Y1CqPss6
78XGMosBRbUWbD3ljQ7ybndEVKUKhOKWn5brjMf6obUt8yYlnecqdFVzL3JRvAGnEAmKERq4Ix5r
a04eHcqPConvSxOIwlghRcXOEiR1+WooRiSLyZiDDJIkr++g7Ac3tm0AvpjKPrhKuBJvpKiqauHn
AptdQG7MhXJkeGxsGkhCQXXtC16N46x8g6wv20vluwtvYesP2KtRBAb9fZPnFgKqVhK1VbdoPXYs
jAXcck3kR+QfCxeQcr/V/i97Z7IbOdJl6SfiD+No5NYH+aDJpdAQig2hGEQaaaSRNM5P359HZXVV
AY3qrn0vEshEIpUKyUm7du4532H2xLk3TW9JNDXPYW/Wk+/W1+e2bI8yzp0RKSPCiyXcROxwRs/t
NhVe+TPj4br+pynB6aDTmi51RZnWPuA6jKymoouGEcWmMtCzeM9QXL9fT/9lL1jUHpKUK+8mHgzf
tb/EIYN0C1jcCiT3jWyREVebW1Jm0Z9Ue+vHlM17F3+9X03+LzMm7HtFWXQ/QzlXWF7dYP6Y2Trs
2iFnaejY6WWehuYup1PxWLLFOddUxtClmPX8a6k4v5fZvq9WBvkusz2oPOi9bDB6AhxixclEtrHZ
1ktT35SLHyH5xekRTAnuxWXlOgoVFZXe2zR+jr+lBfC0ejJ9SzyUnrqnXxlEShJtHZcw92bpu6bd
MtO0Oyqc4AIHqxLutprmyuy9tAwqxt1W/SmGJn9dZZ7fipIu6H3b+8TiHCTe7w4PChxgz4eqVLbt
8FH5Rd7xiPSI4aVaebTXKmwvzYJkQzNngTpSrc28czGHbXqgd7hkh2h4aNtyAR1SG3PqK2u/WwG6
hT3375LaGHSFjvf0qDX6UFLm7j4eHO72WB9eRe8VAH8AD28SygnfgzTr7vw0zz/cURbcLMJq3Q+e
E1o+sPQ9bitZCYS/dpW/LG6oYwZXQLQqoMupHs2ZoyRkY1Xo9nfgZNealg6nMz+8abpXAwoA/X/Z
EjKtF1DpHDvE+Raxw6Ct0Igpj6xqcmqJisz1d6VI7J8lsGyCp1luzNpwygS0QHRV157TSNVcqHrq
gVQDcwbclC77g0eLSE4mhTE9UFGPI3+tcUsS6s0UZTNRyB5s8NmUs5VgecRHs/2a4WufRY8jzLXW
4kleZ15Oia6/1Q6PG5AZRZhmatsPJS0Ao4b62ae+6bw3xumUh64tvTuRG+816cb2Owi3+BwXOmMo
lj1YlLjJ/McGmtJjBEzqtV3k1dGBba/dSmIr/s1CpVy1s2q8X2RPzjCYg+yNO54gBYu/7Eu0MNhv
+Q5zfxeNeNDx2S3xRz/H6CyD9uw9z21YHdPAY5XfTWH0wrupuxurpHiY6O+8wfYBQjT1cFLMTodX
UDvKySna1O6N0xp1VyypfF8KMW20mavHsqDFlSsP2bzJqAvAh3qbr64LOyEySKp5+zawmnhtEr/Z
uWQNGxxOLz224ksJhHU3lIV/bMNKvLTCOH+obCSG5mXesGt8458KUWCjzcHQvFQikxdp1Isxwrmk
ZqGJA4ceBXl5UV6cAo9+FsAo2k5YRLCNJBjP90rU4JbhR16boGRx9cXomNleNdpvPklcptTTDRmh
M1kOW7uaiRRlIk99xugw6mn9pWmC2zlrS7lLPZj80UTa3lUNcTTM9eoH+buPinXMYR6S+ZAqgocy
qtRnOiwBW5ipfI6J5h2cllQXyYf6piV+iP4We86/caqXISdc61nrdfcyrKofOh/ZoMSuN2Oj0KWr
b+pOcInIGl4ulnX1CStL/9KueCtqp8tZXYpu39uFeySFDWpTsqchgRr49LO4wxaT6PgScrQ8Eapl
7WUn0vCkveJob1BmP1e3mO5ji2a+542Qn0aT5g+ZGL1vIhiai0uajWq/LJR3Ihujb36Yg5zXwdU8
bX3vUMRz/LCsIuupA7omghKR6/uogMjU0INHMrUsn3vpJl9dq33JqcwoAU+lIXrttmVPCnvpnIZt
9VDri6I/lRpDn18xKyJ4tZ3tFcHkwCzv3grICANocykbgLqQdWWrNmz+/M9oZGgmUZflbxEVuh3b
gdg47Hg7iANZwZaPNR3CPvdIAvZqWKYTBeCW9veliN5HSLWvuPfHZ6oQ2kNfVu7j5OVeu+1pBsNy
6fB6gGmWHaJK9x/ZUpqnbsmcBBfRAC62pUMxykue1RXd/U4uPu5f7uPj1vGd4YkBllVxm4z599zt
iTzoaeyB2pa5/yKKuX3HVt1cEluU+znq1od4iEjbcWwF8y5sO36jXafWarNU8rcJAm6QoFeXB2dM
63PS1OLQrck8brupp5XYyujXusa9CxsyWD57TNbsd6ra2QdLM/4sPF3EN4lvr21TOeaBYZ2eaN11
qY28/inbAPd3gzHqIxnli4/7bjMB2Hrn4cSj3aq6ucQTxYV5W72GpX4m7aZ2s87sXVLlOId8alPA
xLFMqKswybbOAn2/xskrN2kaJe+o05wgIGozMCkBAKnNFazxVkRpe5dApXumXjN6xize3HN50Xc2
W/R3J06BBkeVjX8ROs4Pa+nAYJsBxj7McTQS4tX9/CNWi1jOZvbHBVOWO5bnvPZAEkZZthyJy4W/
Up1hXq4FyZMauyqUykZe10pdnKC+Z+vR5eT6Q99e9CfL0m7Yj0W5FpthBZSzi6hFAUs++so7eCZR
r2NivRvH6OL76jjrs0gqLO/jYhLOtnx8cyEwP8vF0w/1OKyXVfn9H//v4dulxZVaubI7nLL0eckX
+3M2sb2XNSnwbhpvKVHOIpZ8NM/kRrUzi+w4x86eQhjc0tk1bMbV8x/jEr8X0FCSArla2K9bfQ0z
iTooSyL+BZTyEZPz1rYGlwFifPhdZG5L72rbs5ERqiP7LkTzK3BaEsGmw1oNBu5JVVP7TpIEt3Qb
JkeNveON9P1C8hIh70RZoe1v3Glm/1zVfUaOLFidE4B4cfQkRsiy8xd3Ey7XFBaXZI2PuR/uVO5X
zaGM4p7lgQukgyuBOkbd5B2bWbQl1QykX90wZw5dxpE/01A3zc5vSKlsizRcASZK7PA4O+y5qgq8
W+PMLHdtDzUXi8hyHLR/nW7IAh+ozitoDq5ZNWMY8J5xngfHyY3qn7FZqx/XW3bP/8Gv9G4IfOeb
GLrhQqS2eweavZyoeq0YVTnwt6GfrtvGxUdHrbdgxHA8Q3Pi0tyZJNP5BmS+SbdGm+KzMrrLj+zc
s0eIAfwRyrKRNIMFRfE0JNVX1/uRz+NCKLfTxcXplEJs0oPZdmsY3masn2ixWRyBDT5NnmevoNsu
Xj0avZchKkkljAwkJFwhhqgw9nb0GgfLBjhfc7R9S/NYWCuHq2mOCKQ9VYXHrrf8ahjjRZUst2M4
deeeE+lTIV9H21qlNt3M+KksTRJSBySH+5RdWwhGb6Xx9yoIRyzfOuIL3NnKiILgIL+1HqzRjnDc
7yp2I1znM42WjJFVs5dD3sVbHZXqlJTMZXNWmvusI4pLxCBNSAtJ8VqF1zsFgroGEM4pvoUo2j0G
g+vfVVGfHknm18exlPZUD0veAkGsZtxHkScOVRGZk9OOKQirWOHKjFZ9jz2o9U4+pI3sXQ4zgZpR
Tmi6/3/H8/+04/lHj/pvlzznnER//nmF+f75+0VPv8F//cd/+Y+SJf+V4FVjhEJ9YslzBZn/s+Xx
MZQL1hjY4/4NrvTvOlb4Ly/G8wCuleGGLkws4v9uNQehJD0PwBxgJcGKKPgf6Vh/edv/YbIAbJf4
ONZjMP58j0T7rmb0/2QAF5XAbeMs66Fyg7VjfSlMvXETsp2ECsOBmHKYRu+cSULvbEcNyr6xZTxu
acTN3B0jHNy1lBrgb5NgN7CRYR/e9Nqp7uN5uL4x8/7ZMJ3yqBnWK9yYmGcWrY75YOpbvqEKGAIT
6JQgnBDWi6f5LjI0uZOCq9VjyLWIlpLIx2ugdSGRwaSkqLvIjX4O6j5cuAQuC28sudIDOreiTg5G
5hgCDRoOChU+WcJLBTRKkdQhAIcxLZ7HIYTJRFdBuXPn+jvedypBh9RFGMHosC1p6r4eov7wIm2E
/QlEp06vNrn0MIWNBIQxRVyeJ1q0b8IgGtHl/FaaG7VOQFLtnKoH1eN4w0WHD22XSRDnZ48CZlI/
gH/B0sdlKo/EZH1BTU1R1/u0C5TcIklE81bltfMDMStJWGIs6s5Q+v3ZVoO6sx6S6aYzRqrbmYqK
dQfNtIfD7EtcKlfyJnfBMY1BCZnhQ3vlBHFo6M0fD3/uF/qb42ydvmnuANgs9/M0wvvpwwSU1GBx
JgKUmsuj63jTxVmd8Yl1Q/XLrygb2JZFTq360k7Od9sGC7kX7CTmEGAXuzhemAJqCYicblZLC/eW
9gH9Ynw9wq3HJQaFG9O+4bCO3a+oEQkLd8KiH6sEJ30zOG0C6UquOB9pHPC37KqhDhWyJIo4pJjy
XMyPN26DtOV19nrld5pLPnbd0e8NoboiFg8texpnU6xFNe10GMYUiVfNp7D9jOGh8Ictw4K3NY2k
gpQ91Z4AH3XrM6U3VsV4zNalXg590JobE7rLDRCTmd19utyLrGYJGZb2bW6Meg+SooFRvAIejkUc
f6/Sfv3mmnm+1BmiSdAzlpbXavnCjcu9LkMMa01b3g8uZoiBr3WQcElxdHFDsha6F6YXcRVkaEta
Ow+nIMV6f0tS0ezSM5Fic/Qqim5rP6o54vPqrXNRFEzsv4KDQqWKSKJeQTHteDt6PAabhJA3F13u
YQlEpBNp42Y7DSLGM6bsLZs9sQPRsLw2Wd1so2GYzzQ9Xu/jdN60IuIMiQjVEuQM+PmXXgraKnTX
J9+j3GapyarzWfcPjVfIZpebsP6Kp6B/GtLGgy4Sut/WbFrfrr6PI/m5hWaOopVsO+emftPMp+/4
WJq30vTDF+dm8Sbd8ETCcjgGJV+7EKmatpYI8IWdUfvRepV9qqvA/ZySNDTb1pPJNw8yxLbOMRhu
i2oIuYDxTgG4UPjFfvKXldBd5H1Oa9EvG/LYwSsgMKL6IxFGZs0KQGUhH+OONGORO3afV2GKlY8N
5TP1n6hejXJPisnmt7RpsmxMKzzC1U64PBay5qZKtLf58lTrvl0/CC/+KtevXE5Ts4snoV9XjFxP
SzVfr+7OSFFsX4FrD92JPyfHOIXEsfvh+1nuHIZgrsNdonX6QPRhOC+8I57TWWV/qryc6Zcd5+W9
TGrdbyyv5qOPWx9chZ/6X0QpmdQtWy3W0qUXvbBERjsdBraWqw6z567K6s8I29Afb2SuJPjYANxX
UMe3TVJD38EdeBd6WY+KsKr1Zm562EuC1oxApTP6oOjARvAZ6LqFeSTwGB8hqHTnVYRts+t0F8FP
c4f1qNEzaSBY8uESuz51QabkIWmiEGhS3Hv2OfN0e1Bmph5tVIP9RrxV7aPIb0+iSKJbP9Lpc6aD
4CPt6vIMGDj94UzEqptqxg06sMEj91w8JV1UVsBLSrVBT/dQNnzWmuXcecuGja13chHA76Iy7u91
i4N54xLBeCzDOXnAM0FlY7E6Az8IDft4imw2HT0sw98YyvVLPmYQogo2m+OYyVs3zsWTTzPSWVHZ
iaFqrM6qHCrudyTt92U5J49VvSzH0cwh5JUOIv80EIjfaDEpeqJtH+HuU60Ktywi2nseBbIWuTVP
WVtkt14/QjNHFP6caRT+RKaAiYSOQHTW97vfbg9AnduG9zLCn9+vQS33GLniu6zrml9Zmk2fpH1W
uHd+2Mfb0ilbZLtx6o7RAoBko6DotRu3/iLo2pXU1Mn4yG2X21rr47LyQhueiLSbu2Iq/RvTXn+i
iw8RQk6huekxU53yfCyfHBk47BpETFsaKWLO27hJ2ocE/bzctG545UxN4/Tp+BrbMWWcKRnnBZPt
SPbj0S2HnO1WHJR4nStZ36cKOHo9qOWpq5aCk72z3VNtZAWtzSQUj1YFztvSctRxhWw5vMaofLB2
zm5kXplzHlpNFMkvvN8SqYT+T2+YxDb1fXWbhMuU3HjeKF4jqdUbZzY2zE41GLtkYsYfdeiEt5p2
n0OCfeY1yXGmuTiCr9nvIoOI5w3OrVbpKk5qtPULZAIfmy9B6duVpvXgNq8X/900AnwQMstJwUpv
NqGtzXnEGX/bG+k9z5SSnYMEWndqBWn4OAOLbdbpstaWH0jCS3fjyL5/D5PWfOU0V7yLqYsOmmXN
ya4xt4M1rp+TtA3uZEfEf0N1VnR1pOfDpp98xqEwC8gGs1mJ7hUx+AedtuW7ofLynoGNXqG0rQfE
Fwp075JliD+SlbXWrKLvApzvYYnKeec5AR9nasx3SdcELw4GtlOO0oNz3G9sgOPaytci6gF7NTpR
hxzh46POxER/CK/9TeF1DaQJFwpBT0868QlvJjmh83OkzHAiGh7vvb6NDmkKzxtrNHWeBY4H6pDG
H4uHPZRwWxBtUcfKj3i5umG5mMbHLhXxg48+6O1aV4x/0tDCAIBf2DEY7UWjCBv79pp0iY+Y58vN
0JfhLXWNL8GSdjSajCyXxua9w0VxGIMOe4gcY95YxRiKw+xYXNZGZ/qb4mPy3s5i3sAIXY+s+0aa
Cn1XEa9KxvnMEgCilRkaOmHRcoLvie2Xn4Dm6GlbeKv3OLwT3upFRVyLzU2T5sRNGHREpiX7AORR
uAJDaHltN/pDtdHEDzFBuFk8jk8qE9Fu13woL8VfQTe5aruGvp1LhNxL7kpesqsCrP6KwVjm/dMQ
wEJ3/4rFzVU3bq4KMkYO/1hcVeXCZN1NJnIuzmr0X6bglF6tFisBuwa74r2thLirxBTsp6rDHpQI
tnx1Xp0qlzZ1QgLZxcZ9s3Mi90FWyn3AsJWSBRTTU3oVwcurHF7+VcZ7lzN2M/1VzGU7yd14ldGH
q6DuznN3l7XVVO4de5XdK9aQ993KsLjpuM68hX8l+vWvXO8ttQOyggERwbyLKJ27avst7zpOsCV8
buTkFburKxlaUFvrcZM6ceLgk2RTgG80eaDmJr9kfxcJrE4AvYzLvJ7j66bBRi7IGLxRd0CoWEQE
NLy+2ciET7zsAD9Wrcg/eIDFjb9MNSP033XGdbEhryuOpgxZPPF9ertkbeKzx0rgK4lGkjU5nTUY
h5g3T/VUsTrRf9cogewtaf3rdsX/u2ipdOPXvDUX19kNFnTUJmNrwPVdoBtu+yyDiD1YCIoQdkMP
PSRwPiHs2W81Vb3+tmdm3zUIDI+r1MOHkdHS7Npxqe+HWMIiiaN+a2FNof4Eo3iMbaQ/bDlzQ8sR
X6pHW+fCR/dq6RgM84DdDGCJlP3YOOPBE8DK/OPcuIB9DB/lYzp6yXtK0hNuokxhM5QoeT57Zxxo
Z8ywDh6+eqGON1rdd2udIDv0kYhvk2UivFN4mXo1Tlwt+II7YoEBLaBfFm+SOTRt1S03qegxZQsZ
Z/1Os6/MH3s/4MqhNZihTZy7K4cerBPOquWZZwZqEsQKYkH5yqzB2/+2z8djN1T17Rz7wTuvpfA5
MhwHqkiT23pc+m/zUtqSaWp9n9ZMOqzt1Gx5/Rb9tssFVRm8ktZ/Gq3+v9/n/+L3kQG3U0LvCQZW
/sZjPv3vHLF3n78/y//i+fk/foF/NBOi9uD1CVtTZ3tVR/53ElF6/wp9moAI8Ab8zTWE/49o4st/
UeuCKQU8GKUefzOK/4gmvofQItFghI+pMgwhpP8PzD/xlWD9n4yxOENoBJCCv/6rWBLoHkZq2edH
PcnqBl8d+YoCYT/Zxk3VXh2d9XornTo+DPCnWZuG8oxhk5N7jHq2jc3KwVHHS1jt5Ky7t9BJB4ru
4+WNRVcSoE3GdQN0syKCpKY2ea4ADT7JUgQzdU9VfA1arajjmybLmDeb0U33ljYdIs/XSpOfxBWc
hm2WCe6tF/pn/BvT55gu9c8mL2m/6oKiOZiq7sg2h7BVSGpbSCJUHUY/cB3SUO2bZF4OC5d2sfG0
HtuTNU7qbLHMBdAmCSq05yKO1BPe1DDbUhXQ4p4kC8w7acYBMBCKIwQcfXhLWV3m2V2c7Tx6Jbua
gijMDUd/fk0i5+KjLRaCe4mPJLxNyl4+z7UC9hMW/virCJ35nBRVcHbJpj0zuNWgh5T3zQuL4Z3U
X3jBPlw9ywpsvdMHyZHRZj2MYkZJcSKZ3o1oXcR2uJb4GfManhonviGdT60Vm9b8F82w/B4dbYEa
aS8aqYYqp/W2cSL/a0rH+RtMvPWPmiqMunAF2g9CPcFjMix0LuS2oMulCorsVQYaW/MwVP0lB9by
sMBrmDboCkCHhmwZD6VWGaaibJxe6e1x3lqM02hLkxSv8eDS65dEoGj3ytGCaFnu/SzcqWW9Fbdb
1+vhYs8iwxxTRw7vaXCMcl81vO4Y2Po7kh/AmVqfBLnkQkUrCrwnApFu3f+ogtKBP8oB8yer0vkl
HM0EfSvoUxeWjxNvJTDAewMyFQeoqbXe9UngHcq2sMkjKxXd7lkUYnNiaCG9tzjaqPtplTMxnKU1
wb4YMQDcoBHIP/S6pMjouqXOBn9ls+4jiolcmH1VYdCX8ACtgc6/c4vmRlupGXNCOJN/5KkhSIcv
p5rgDMuhZ+nRzQP1uxUAlWEc+D6JOtXzTrFaeQ7dvO346UfZ94rl7ZcqGrmcO+0Bjk6j/gilaXB/
AWFgtGG4d8eDX6UrH6kZlw+gQLYWF7zK7t2Q5HXKWlyTiZsm+2uI8nnvdM1Q74Sq+GfrWefOdRSk
rHGgTSMw61pcOIAibOlzGp6Kaale2z4Lfi/4Kz5Q/NN407FgbXa1wp/jCvgZhXDKAKtOPZ2aXHL3
zYtIsoh3UHV3oAR0vBWGReR2TLLhZklYsGzydYn/JGMXARWwCXYUqcOCrU8vn8SQ2hPBNsvCpBrm
b5Rj2p9JF9r3osjFAyRC0lLsqYin5DPoqaZLxqfrQPEOZTDckOM0t+vqtvSAScqv5riA9qfGdKSL
O+nBIZkcV1BTa34WlWGuYWpuIOHa8rZ2yzDfR0UE+r1IA4OpP8ML5KY+2Wc+lTgjxGTYXzHebcZC
RnvEwfEXcT3MVm4B2HLbLyu3cgwQz9gU8vgGUbNJIb8u8+HKHz64jRYn2ZSIth6/xo8uKdffvWOz
iJuEQIeDvHU/AHO/T1Dj8o1HoevzVDXq2zg6bFb0GLknMUXrMbBp96ziaXy0mYex6doItsvMUH+/
uqr344r1zZJMfukHXjkYrLL1Bli5Rv5MGrVnJ8yVcA3i4ketJvNY6C7c25aLV5HM82lIu/X3sPgm
3i7Uc7nkPQ2r3mhc+N1DxMhJ/k5Z8wFXpfyQbuZN58QHyb4NZ9lteIf3r/x25nEjyLw94u4C3MXl
bzk74TzZzYQtAQk7puYsVQ7WS2F9jNypLsxPTcripQ8wNbHDHMChUSJS/HBN0HwP22lKNm3bXf2D
Q4AIH0Srl29NWbCj72W3qoPXiObNFqT0nr0YFxC/Ep+XTiaCduc7kEBu82IR0w6ftbvCzOwpDY6a
ZeRmpyc/gEy6WLw6bdPdoxfBm5jqZCl3MP+Th66V+uecZ/lX7nRm11ihXjLEWrQyjYhMbznpsKJN
C3w1mZF7WJ1NQ2pBqiP6J3B6x4BnDcZ2zjGipfo8TCNmn3DUFTlA05sHUXhA4dzMotTF6XyZmpba
TgcI2WGscnFye7zukJp0sIXaHc43re8Xd37nOhgbTe9TaePnhxHS5jCTQs6NNdBLUKvvlqJp9kNV
QVkRbQBUoI2qAjxhWWNG8W+nWU1gXDQRV2jyY/vUGGnffR1PZ6xowmcV0odXCQ6deWMmoQjoS3Pm
sQnNe0VoAPdbb48yig+9pTVqs6B86xhDZh9VzA8lTeSbvE70OfevLFq36Foahm0aCnxda817KHQO
nYs2OT95rkk2sWALqTkNOKixxeha4/FdzbxdqjTeknXon+t0GL8CDp+Dn/X+2U+iT0mqdLdiIjuu
yAisbK199efQP8ZlKHl0NaN0H7vgwFUCkZOahOQyuK4PBX4aQAOQwT+7aV/tUZgGaLkuMBAfwb7b
TaqY71a/7e+o4hYkS9PyXoe8yK+MfGxS7pyZZQtN0kHCiNy03Oaj4x5ssSQFBNu2PK2KmAtUHX2e
+ajdxXGP5pKo4HbIB3ApgC3sd1BwCaaWOv5Fw6VXb6I6aB+DSsfPdSVYpvQ9/YJBk+Klmh3vNxqt
t0vhqT+1BWCCVtMouuc2GhxF2DevoqZmBsFuZaXdYqQlgFBtJo9CyI2KMrFxZSEfahyNv1yFQ3jf
4fXaRl3fXGuE4Nj0LX4kLEy/5sxtLhEpqPu6K2A7TGUBGy20cu+ziGJfhEkUdlrj98xcnvxBxUSx
oCzo+TUKVNBtyCpkf9K8zSkxcvw7LJGS7GzFU7iZmt7lAMWC/TEGi9zLsY2/OYEPs7YVafYhAe/i
SFXj/MOJcudHCRhHQWwoaE/CQ3fI40bC+4/8czJP5Rffb3chzb38TNZBAZtoFst4pjrN8riLe+AU
EyyMwk4h1+6MiPkmoqPoKc66+AaD8PRG8JuyprauPqltZtRgXTaxQbLp1G/Srq+7rdf62YFf1XTn
ZlnP20Gl3ZNCam8ZXyKoGP2qeVPhPO71vmEBoM6ycAZzGHqWPidSiiLbxQkO9hvt5u6DbZrg3ZMT
iDfPinK5UWM1utgrYiyECh/LrcrkWsGqnW2/I5/U5dsYypC/HbwWXFC6TN3H1Kuu2HWKgrutWnV6
r2gaNbuwj/ITn5BkxTGm+s8slxxqUxi7z+Uo+fnbGNFlg8FpQNyq9FsQ5O0zOAxbbjruQ8/FEiS7
0R0RhT0hb5UN40d3HsQfBetfwyGytbfn3EUVlh4k3k0Zd+E33A8Km97CSLCZOpvX+0ytIH1dhyvM
hcTdSCBoDIOj1J4xu7IMGhJV8PWIXnFUXEtm0ZvwlFdZtp0TIw8RCtiz1l7T7tZkiteNSXTwVVRO
Eu5qIl6vSegsWP8c8TuO9TAgoa+c5OwLe0DAM/vHTTu0c4OnvcD1bfv8WkmQfXmZUc/9CkxwSRpX
3TBjYsoKYkVLgumeBjowuZp3vKJqoIU3C1NbsQtm19tDoY15Tw1lDADBpp/J1HrPombE2DP1Js62
q5JQ7+cmmq8QVu18ATlZmdGG7pSgd+DAJT5146T1vO+kz2MScC5jd5sHd98Wwnz6Sdt4lLmzlaQh
g6BX480XIzTer7oxE9jIpktzUuCdtyVYkV+Qg4OTX8bwZUWFaRxdFYasHr0Wpr4/sdOWfMnslQJA
vie385u3ZpKx3bUAqr6MphaCoALZLI0nZIfoOuycgoZTzBf8krvZwXHV9XsaLxoWoIIJEAQwu7YM
MvceQxWfxUaV4SYUWfOZa6e7LeeVZc7sruvR6XELLoFMl0PqVHK+hwnivMA/4KvEOWJ9JmFvcLS7
kXcgJ5aeDZ/pX4tOGJpXwKTPnNxgvn0wqbdwJutT04uy2cBm9Q8CLzFUF/oHsfXP+6yjLjry2C8R
jpTrKSjw8juUAO0Tw7pqWOxAcW0fnDH+i+/MARTXsoKih135Dg+NNmwJ0hVwF+2G5CkA689FOTyb
YKDLrPK1scAtoSjjjlJPLKn13m3ASG/COAlvReUxToVluvei9CdzanIQPJN7M/R2H8AH+OF1Vf9z
ESKENgmqapctXvkjs0Y+ZatrUWyDqjhPhrqU1amq7YLD/WWe0wvmK/eDZEj+FKqO59KbJd6EKJzP
cTtOx6DR2S2CX8nPPVLnOIeNSQeeCg+mFN57261sTIwy0XVCZ7GfC4FVSf6b+zArmGZLJX6GvGKO
irEUXC/l4feUwEAvHX0ux90IPM1zVNGzf1z1CTI0Q7SolHkx1FffMMJFlwgK6rdgRc+VkXUuxuIJ
nbB3YWkqwAO1TpNNG9683olm9ngv5zF/4dFLISN7pHzidGDJCLubt8swYnHXNQgFXPv5GWd6dCE/
GoHajeMFm2gkyvvQ8YdjjhHtQQEOi4m4F6CYdZstu1BQkkwaRJ7SKlvYSQ9F/w33nnqFljZeEicL
f/Hsuhc375I/LemEGwCvKb0s3kKuwpkC952qJaZ6tyxOWNSLe2CG2DzFiJZR9byvsLV7gC7iCtpm
PeS7oa4q8qkt6iJ4YvimUbODuDHfOpo/bCn5Imi8NbmVPjNwvNmKvXccdTn/t1bfCIH1XQnCmKkH
nr/PB4f9yNB4LBuhH9+0ZUGZiu/N9waE6LWWc6JRL5B5/eJWLrnDYCwuJvC+JJdBTmWwIXY3sxe7
W4JZUpMYdPuxLNm/6DmY3iIO5f/F3Nn2tm0Dcfyr+NVeDYKoZ2NAgbbZlq1LmnUZ+nJgbSFWItuZ
bGNxPv1+fJBr2rLjmikgvYulHMnj8Xg83v2PuXz+d178Qr2h5fgheVq//5HDef34zyyuL+M1KGzL
unl6ugize+oXPK8n6cdntpTVRT28DxffJ7XwO8B7Wm+oKrT5sw51+nNVNutPJfnOy01SuXqrqyDe
zs/7qHXKdROyQVbGLTnivLZUPQBFfebEX6nK4E5ivu6S7u8xCrUEaG01BmYtwluY4n0UKslePbj/
6vnszr7OhwEOT2o5Kqg09Ri35xaHDvHg+PAMM49/4wzgIBxcDg5MFJMWeQobdqg4bKAsGjmUXOzr
hxTIbTaIIB3iJxBkh+uHyDHa6xkbCI/0ZINI1XRHMZmeZpyEBG6zIQnCFFs3i4jJUw8O6X6xQQC9
58+DPE1TQYSwGeQOD4YBN+YJgsD+rB6zAnskCsye93IA55CyJyD/2mXvLoeC1wBlZImq4dsvAQCZ
ODNSaSCJN9p1XyceVAZCBCGRrSEhba74F6Rp5wp1pHdakNxwgriTE3eDgyOPwyAnxRswaPCd1ePO
e54FOXG4guKfRva5qerX9Fs++OrBqAgyruLwFnTzIQ/YCRLu34ThQ++2AxGnhenU+csgGgYg8giu
Ht1VkAVxEkbcoRdGRvo3+CxSYAhI5vmDF8DDijCJkgMGQRYINCT60dpNvdsFqI+mLpL9mBAGoMMr
OEIobdsBGYoQFLlE2OXRu20A2IvCVwSimNt30mEJoDaCvqMMC/IWgG2MY6sEeicCiWCOfEVgGCRp
FBKUM+xkAusgLIYEhRlF2D+LMKLEgO+2GIVBSvwHuSvW/HdNwgL4FirJcUSyPOqdWYzNHvoyAdug
YJhAo7Hat5VBGmANJznBJkYGMJr6ZRREeeRtGUVZoHOGMmEPiDtMAP2bJRBSX8IwoXcigEFL7hP7
la9CyAPUoYLc2zGOhwEFAGBCalVB78SAavUK1c9rR0QMCAFLcQQYbbhjIBcoCiL5caj01ywwwFW+
jEAbCDzinLao3aKePWngmBRHFAw3T+/WA+F2wnTqfCMRC6EgwC6mWkrX5liQDAnwAR+k5vU3HJdO
8CdsXJHgY9Rj7YSsykWXr/LQB62BvP/e+t50jic+RudD5ZM0bZeb7NI3zpFSO8a2XraOMt2O/Xc7
wP2mnbbaUbU/XlZlI5sRlXB007ab13KKK/MtFZ8pjXTTyHG5mDhuUu0V+tqhveoSG51wlP5iIafb
ZFVoZPt3Z/zoSWSpgCmbloxiuPHf+Pb2UjZrOZPbhO2h0JtyNZUjAF87OZ2EMYdv3yZ+l4CwDX6Q
08efBh/kApAJh0Mcu5RN59vKB9nM8OI/uEwyh0dv2shpvUNYH8h8Cf8hHxYTOf6vLB9bDuhVqqKA
2x/OF8YrOZ6su9eQOVH5dv/juKL7bUdVz62B7kv4ZjVejSYl6XkO8SwWov3hfLbcrGb38ktLR/fa
WNS+vf4k7yURBtK51bH2qi/tv6qHh8pRWHFYKNelL+FbOa3qwbUcr1paWm0Zz6sv8b+XS6radShx
a7750v9cLpaDd+XsTtZO74054Ev9SqLMUVjLxpFxexL3pf7r6h7qy+1+b66/vGnPnR4ruvo+yZcu
u7KcypmpWFiN5l+Y3d8WNUASC3ccQgh1SvNujxzGw9sTkSiCdAr/Zq6q53njmgOQVqWh8Lj4juGW
RE2QQVtCWr8b4q+wer+pgOTGwDvPZLqmRKWa6p2RcFWhsDd82XS8ypdn169eALX3JH9R1pOqZYGd
YHWD8wrG08VmvRFy0tHEK+yH7xUQTLWHa7y5hPKd2VOQkz0nQO8zJGntSqdFtHkFFfEiYo7nCG5L
ltbdro3/1c3jOwmnJrF5DqNbHw3ezsaDg5Kc67qxYCRGuB7xx4joRaHuOm9uIjj2T6FtgErXv7lH
bPXFqC5l8+Z/AAAA//8=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7</xdr:col>
      <xdr:colOff>257175</xdr:colOff>
      <xdr:row>5</xdr:row>
      <xdr:rowOff>57150</xdr:rowOff>
    </xdr:from>
    <xdr:to>
      <xdr:col>8</xdr:col>
      <xdr:colOff>1333500</xdr:colOff>
      <xdr:row>11</xdr:row>
      <xdr:rowOff>28575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763D0CF-0B54-D0C4-5694-1F74614FCC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00" y="1009650"/>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5</xdr:row>
      <xdr:rowOff>57150</xdr:rowOff>
    </xdr:from>
    <xdr:to>
      <xdr:col>8</xdr:col>
      <xdr:colOff>1104900</xdr:colOff>
      <xdr:row>19</xdr:row>
      <xdr:rowOff>57150</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A2BD7570-C3DE-CDAB-9993-C0936F17DC8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486400" y="1009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2</xdr:row>
      <xdr:rowOff>71437</xdr:rowOff>
    </xdr:from>
    <xdr:to>
      <xdr:col>10</xdr:col>
      <xdr:colOff>447675</xdr:colOff>
      <xdr:row>16</xdr:row>
      <xdr:rowOff>147637</xdr:rowOff>
    </xdr:to>
    <xdr:graphicFrame macro="">
      <xdr:nvGraphicFramePr>
        <xdr:cNvPr id="3" name="Chart 2">
          <a:extLst>
            <a:ext uri="{FF2B5EF4-FFF2-40B4-BE49-F238E27FC236}">
              <a16:creationId xmlns:a16="http://schemas.microsoft.com/office/drawing/2014/main" id="{2EA7D2AD-858D-56EF-8A38-E05D0ABA2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xdr:colOff>
      <xdr:row>6</xdr:row>
      <xdr:rowOff>80962</xdr:rowOff>
    </xdr:from>
    <xdr:to>
      <xdr:col>22</xdr:col>
      <xdr:colOff>323850</xdr:colOff>
      <xdr:row>20</xdr:row>
      <xdr:rowOff>157162</xdr:rowOff>
    </xdr:to>
    <xdr:graphicFrame macro="">
      <xdr:nvGraphicFramePr>
        <xdr:cNvPr id="7" name="Chart 6">
          <a:extLst>
            <a:ext uri="{FF2B5EF4-FFF2-40B4-BE49-F238E27FC236}">
              <a16:creationId xmlns:a16="http://schemas.microsoft.com/office/drawing/2014/main" id="{729374AE-11EA-422D-CBF0-CB319327F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66675</xdr:colOff>
      <xdr:row>10</xdr:row>
      <xdr:rowOff>166687</xdr:rowOff>
    </xdr:from>
    <xdr:to>
      <xdr:col>35</xdr:col>
      <xdr:colOff>371475</xdr:colOff>
      <xdr:row>25</xdr:row>
      <xdr:rowOff>52387</xdr:rowOff>
    </xdr:to>
    <xdr:graphicFrame macro="">
      <xdr:nvGraphicFramePr>
        <xdr:cNvPr id="8" name="Chart 7">
          <a:extLst>
            <a:ext uri="{FF2B5EF4-FFF2-40B4-BE49-F238E27FC236}">
              <a16:creationId xmlns:a16="http://schemas.microsoft.com/office/drawing/2014/main" id="{B0037B92-813D-D924-BCE3-4D9728E46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600075</xdr:colOff>
      <xdr:row>33</xdr:row>
      <xdr:rowOff>47625</xdr:rowOff>
    </xdr:from>
    <xdr:to>
      <xdr:col>27</xdr:col>
      <xdr:colOff>733425</xdr:colOff>
      <xdr:row>47</xdr:row>
      <xdr:rowOff>47625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333691AF-C2D4-D8B5-F422-2EB52886C20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983200" y="63341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1028700</xdr:colOff>
      <xdr:row>31</xdr:row>
      <xdr:rowOff>119062</xdr:rowOff>
    </xdr:from>
    <xdr:to>
      <xdr:col>35</xdr:col>
      <xdr:colOff>257175</xdr:colOff>
      <xdr:row>51</xdr:row>
      <xdr:rowOff>171450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1E0BA76-9412-8092-8CB0-38D8DEC253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107275" y="6024562"/>
              <a:ext cx="4572000" cy="3862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504825</xdr:colOff>
      <xdr:row>4</xdr:row>
      <xdr:rowOff>38100</xdr:rowOff>
    </xdr:from>
    <xdr:to>
      <xdr:col>3</xdr:col>
      <xdr:colOff>504825</xdr:colOff>
      <xdr:row>18</xdr:row>
      <xdr:rowOff>38100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56ABC68A-D038-4A28-9E66-9E138E1DCF7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04825" y="8001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4</xdr:row>
      <xdr:rowOff>0</xdr:rowOff>
    </xdr:from>
    <xdr:to>
      <xdr:col>8</xdr:col>
      <xdr:colOff>9525</xdr:colOff>
      <xdr:row>18</xdr:row>
      <xdr:rowOff>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BA8D0D3D-87B3-4F4C-B871-657D0AF3D9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57525" y="762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7</xdr:row>
      <xdr:rowOff>0</xdr:rowOff>
    </xdr:from>
    <xdr:to>
      <xdr:col>14</xdr:col>
      <xdr:colOff>285750</xdr:colOff>
      <xdr:row>14</xdr:row>
      <xdr:rowOff>38100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F21F5A2D-0920-4B11-8CE0-C103D9A7C41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486400" y="1333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13</xdr:row>
      <xdr:rowOff>9525</xdr:rowOff>
    </xdr:from>
    <xdr:to>
      <xdr:col>6</xdr:col>
      <xdr:colOff>590550</xdr:colOff>
      <xdr:row>27</xdr:row>
      <xdr:rowOff>9525</xdr:rowOff>
    </xdr:to>
    <xdr:graphicFrame macro="">
      <xdr:nvGraphicFramePr>
        <xdr:cNvPr id="2" name="Chart 1">
          <a:extLst>
            <a:ext uri="{FF2B5EF4-FFF2-40B4-BE49-F238E27FC236}">
              <a16:creationId xmlns:a16="http://schemas.microsoft.com/office/drawing/2014/main" id="{FE5AD6DB-9639-4B96-8AFB-37CA8BFC1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13</xdr:row>
      <xdr:rowOff>0</xdr:rowOff>
    </xdr:from>
    <xdr:to>
      <xdr:col>13</xdr:col>
      <xdr:colOff>342900</xdr:colOff>
      <xdr:row>27</xdr:row>
      <xdr:rowOff>19050</xdr:rowOff>
    </xdr:to>
    <xdr:graphicFrame macro="">
      <xdr:nvGraphicFramePr>
        <xdr:cNvPr id="3" name="Chart 2">
          <a:extLst>
            <a:ext uri="{FF2B5EF4-FFF2-40B4-BE49-F238E27FC236}">
              <a16:creationId xmlns:a16="http://schemas.microsoft.com/office/drawing/2014/main" id="{D99EECEA-F09F-4B6F-90EF-3B14E43B2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341898</xdr:colOff>
      <xdr:row>13</xdr:row>
      <xdr:rowOff>19050</xdr:rowOff>
    </xdr:from>
    <xdr:to>
      <xdr:col>21</xdr:col>
      <xdr:colOff>37098</xdr:colOff>
      <xdr:row>27</xdr:row>
      <xdr:rowOff>19050</xdr:rowOff>
    </xdr:to>
    <xdr:graphicFrame macro="">
      <xdr:nvGraphicFramePr>
        <xdr:cNvPr id="4" name="Chart 3">
          <a:extLst>
            <a:ext uri="{FF2B5EF4-FFF2-40B4-BE49-F238E27FC236}">
              <a16:creationId xmlns:a16="http://schemas.microsoft.com/office/drawing/2014/main" id="{8A25AD95-8CA0-4A3E-A679-1473287FA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611605</xdr:colOff>
      <xdr:row>27</xdr:row>
      <xdr:rowOff>28574</xdr:rowOff>
    </xdr:from>
    <xdr:to>
      <xdr:col>13</xdr:col>
      <xdr:colOff>2435</xdr:colOff>
      <xdr:row>46</xdr:row>
      <xdr:rowOff>28574</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B226B370-B277-4B44-BC39-A8764BC6DA1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116052" y="5172074"/>
              <a:ext cx="1837251" cy="361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27</xdr:row>
      <xdr:rowOff>19050</xdr:rowOff>
    </xdr:from>
    <xdr:to>
      <xdr:col>18</xdr:col>
      <xdr:colOff>285750</xdr:colOff>
      <xdr:row>34</xdr:row>
      <xdr:rowOff>57150</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9A8154FE-ADC0-4AD6-A63F-41F62D58D1E0}"/>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975169" y="5249728"/>
              <a:ext cx="3353123" cy="13942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310815</xdr:colOff>
      <xdr:row>27</xdr:row>
      <xdr:rowOff>40104</xdr:rowOff>
    </xdr:from>
    <xdr:to>
      <xdr:col>21</xdr:col>
      <xdr:colOff>40104</xdr:colOff>
      <xdr:row>34</xdr:row>
      <xdr:rowOff>80211</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BEE3D021-A8DF-4273-BC47-41AA2D628F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319710" y="5183604"/>
              <a:ext cx="1564105" cy="1373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20052</xdr:colOff>
      <xdr:row>34</xdr:row>
      <xdr:rowOff>90236</xdr:rowOff>
    </xdr:from>
    <xdr:to>
      <xdr:col>16</xdr:col>
      <xdr:colOff>14036</xdr:colOff>
      <xdr:row>46</xdr:row>
      <xdr:rowOff>3735</xdr:rowOff>
    </xdr:to>
    <mc:AlternateContent xmlns:mc="http://schemas.openxmlformats.org/markup-compatibility/2006" xmlns:a14="http://schemas.microsoft.com/office/drawing/2010/main">
      <mc:Choice Requires="a14">
        <xdr:graphicFrame macro="">
          <xdr:nvGraphicFramePr>
            <xdr:cNvPr id="10" name="Payment_Mode 1">
              <a:extLst>
                <a:ext uri="{FF2B5EF4-FFF2-40B4-BE49-F238E27FC236}">
                  <a16:creationId xmlns:a16="http://schemas.microsoft.com/office/drawing/2014/main" id="{6F00B901-0FC3-4F35-9151-06ECDC3CDF74}"/>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7970920" y="6567236"/>
              <a:ext cx="1828800" cy="2195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85726</xdr:rowOff>
    </xdr:from>
    <xdr:to>
      <xdr:col>21</xdr:col>
      <xdr:colOff>584200</xdr:colOff>
      <xdr:row>5</xdr:row>
      <xdr:rowOff>123825</xdr:rowOff>
    </xdr:to>
    <xdr:sp macro="" textlink="">
      <xdr:nvSpPr>
        <xdr:cNvPr id="7" name="Rectangle: Rounded Corners 6">
          <a:extLst>
            <a:ext uri="{FF2B5EF4-FFF2-40B4-BE49-F238E27FC236}">
              <a16:creationId xmlns:a16="http://schemas.microsoft.com/office/drawing/2014/main" id="{73F744AF-3519-040D-4C8B-C60C0DDD7A9A}"/>
            </a:ext>
          </a:extLst>
        </xdr:cNvPr>
        <xdr:cNvSpPr/>
      </xdr:nvSpPr>
      <xdr:spPr>
        <a:xfrm>
          <a:off x="0" y="85726"/>
          <a:ext cx="13449300" cy="990599"/>
        </a:xfrm>
        <a:prstGeom prst="roundRect">
          <a:avLst/>
        </a:prstGeom>
        <a:solidFill>
          <a:schemeClr val="accent3">
            <a:lumMod val="20000"/>
            <a:lumOff val="80000"/>
          </a:schemeClr>
        </a:solidFill>
        <a:ln>
          <a:solidFill>
            <a:schemeClr val="accent6">
              <a:lumMod val="20000"/>
              <a:lumOff val="8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4400" b="1" baseline="0">
              <a:solidFill>
                <a:schemeClr val="tx1">
                  <a:lumMod val="95000"/>
                  <a:lumOff val="5000"/>
                </a:schemeClr>
              </a:solidFill>
              <a:latin typeface="Algerian" panose="04020705040A02060702" pitchFamily="82" charset="0"/>
            </a:rPr>
            <a:t>AMAZON sale DASHBOARD 2006</a:t>
          </a:r>
          <a:endParaRPr lang="en-IN" sz="4400" b="1">
            <a:solidFill>
              <a:schemeClr val="tx1">
                <a:lumMod val="95000"/>
                <a:lumOff val="5000"/>
              </a:schemeClr>
            </a:solidFill>
            <a:latin typeface="Algerian" panose="04020705040A02060702" pitchFamily="82" charset="0"/>
          </a:endParaRPr>
        </a:p>
      </xdr:txBody>
    </xdr:sp>
    <xdr:clientData/>
  </xdr:twoCellAnchor>
  <xdr:twoCellAnchor>
    <xdr:from>
      <xdr:col>0</xdr:col>
      <xdr:colOff>257174</xdr:colOff>
      <xdr:row>7</xdr:row>
      <xdr:rowOff>23812</xdr:rowOff>
    </xdr:from>
    <xdr:to>
      <xdr:col>3</xdr:col>
      <xdr:colOff>323849</xdr:colOff>
      <xdr:row>14</xdr:row>
      <xdr:rowOff>61912</xdr:rowOff>
    </xdr:to>
    <xdr:sp macro="" textlink="">
      <xdr:nvSpPr>
        <xdr:cNvPr id="8" name="Rectangle: Rounded Corners 7">
          <a:extLst>
            <a:ext uri="{FF2B5EF4-FFF2-40B4-BE49-F238E27FC236}">
              <a16:creationId xmlns:a16="http://schemas.microsoft.com/office/drawing/2014/main" id="{0A1EF8DA-54BD-5BC5-56AD-EF111CD8D39E}"/>
            </a:ext>
          </a:extLst>
        </xdr:cNvPr>
        <xdr:cNvSpPr/>
      </xdr:nvSpPr>
      <xdr:spPr>
        <a:xfrm>
          <a:off x="257174" y="1357312"/>
          <a:ext cx="1895475" cy="1371600"/>
        </a:xfrm>
        <a:prstGeom prst="roundRect">
          <a:avLst/>
        </a:prstGeom>
        <a:solidFill>
          <a:schemeClr val="accent3">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95000"/>
                  <a:lumOff val="5000"/>
                </a:schemeClr>
              </a:solidFill>
              <a:latin typeface="Algerian" panose="04020705040A02060702" pitchFamily="82" charset="0"/>
            </a:rPr>
            <a:t>TOTAL PROFIT</a:t>
          </a:r>
        </a:p>
      </xdr:txBody>
    </xdr:sp>
    <xdr:clientData/>
  </xdr:twoCellAnchor>
  <xdr:twoCellAnchor>
    <xdr:from>
      <xdr:col>4</xdr:col>
      <xdr:colOff>85724</xdr:colOff>
      <xdr:row>7</xdr:row>
      <xdr:rowOff>28575</xdr:rowOff>
    </xdr:from>
    <xdr:to>
      <xdr:col>7</xdr:col>
      <xdr:colOff>209548</xdr:colOff>
      <xdr:row>14</xdr:row>
      <xdr:rowOff>66675</xdr:rowOff>
    </xdr:to>
    <xdr:sp macro="" textlink="">
      <xdr:nvSpPr>
        <xdr:cNvPr id="9" name="Rectangle: Rounded Corners 8">
          <a:extLst>
            <a:ext uri="{FF2B5EF4-FFF2-40B4-BE49-F238E27FC236}">
              <a16:creationId xmlns:a16="http://schemas.microsoft.com/office/drawing/2014/main" id="{08085924-C493-4DD5-98F7-67A67F555C68}"/>
            </a:ext>
          </a:extLst>
        </xdr:cNvPr>
        <xdr:cNvSpPr/>
      </xdr:nvSpPr>
      <xdr:spPr>
        <a:xfrm>
          <a:off x="2524124" y="1362075"/>
          <a:ext cx="1952624" cy="1371600"/>
        </a:xfrm>
        <a:prstGeom prst="roundRect">
          <a:avLst/>
        </a:prstGeom>
        <a:solidFill>
          <a:schemeClr val="accent3">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lumMod val="95000"/>
                  <a:lumOff val="5000"/>
                </a:schemeClr>
              </a:solidFill>
              <a:latin typeface="Algerian" panose="04020705040A02060702" pitchFamily="82" charset="0"/>
            </a:rPr>
            <a:t>AVG SALE</a:t>
          </a:r>
        </a:p>
      </xdr:txBody>
    </xdr:sp>
    <xdr:clientData/>
  </xdr:twoCellAnchor>
  <xdr:twoCellAnchor>
    <xdr:from>
      <xdr:col>8</xdr:col>
      <xdr:colOff>57150</xdr:colOff>
      <xdr:row>7</xdr:row>
      <xdr:rowOff>23812</xdr:rowOff>
    </xdr:from>
    <xdr:to>
      <xdr:col>11</xdr:col>
      <xdr:colOff>123825</xdr:colOff>
      <xdr:row>14</xdr:row>
      <xdr:rowOff>61912</xdr:rowOff>
    </xdr:to>
    <xdr:sp macro="" textlink="AE7">
      <xdr:nvSpPr>
        <xdr:cNvPr id="10" name="Rectangle: Rounded Corners 9">
          <a:extLst>
            <a:ext uri="{FF2B5EF4-FFF2-40B4-BE49-F238E27FC236}">
              <a16:creationId xmlns:a16="http://schemas.microsoft.com/office/drawing/2014/main" id="{5D05E0D9-C5F8-4C6A-B8F2-BA86E02A7A2A}"/>
            </a:ext>
          </a:extLst>
        </xdr:cNvPr>
        <xdr:cNvSpPr/>
      </xdr:nvSpPr>
      <xdr:spPr>
        <a:xfrm>
          <a:off x="4933950" y="1357312"/>
          <a:ext cx="1895475" cy="1371600"/>
        </a:xfrm>
        <a:prstGeom prst="roundRect">
          <a:avLst/>
        </a:prstGeom>
        <a:solidFill>
          <a:schemeClr val="accent3">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ECBC85-AB7A-40BE-A4BB-48773EDA0D4B}" type="TxLink">
            <a:rPr lang="en-US" sz="2000" b="1" i="0" u="none" strike="noStrike">
              <a:solidFill>
                <a:srgbClr val="000000"/>
              </a:solidFill>
              <a:latin typeface="Aptos Narrow"/>
            </a:rPr>
            <a:pPr algn="ctr"/>
            <a:t>13</a:t>
          </a:fld>
          <a:endParaRPr lang="en-IN" sz="6000" b="1">
            <a:solidFill>
              <a:schemeClr val="tx1">
                <a:lumMod val="95000"/>
                <a:lumOff val="5000"/>
              </a:schemeClr>
            </a:solidFill>
            <a:latin typeface="Algerian" panose="04020705040A02060702" pitchFamily="82" charset="0"/>
          </a:endParaRPr>
        </a:p>
      </xdr:txBody>
    </xdr:sp>
    <xdr:clientData/>
  </xdr:twoCellAnchor>
  <xdr:twoCellAnchor>
    <xdr:from>
      <xdr:col>12</xdr:col>
      <xdr:colOff>9525</xdr:colOff>
      <xdr:row>7</xdr:row>
      <xdr:rowOff>23812</xdr:rowOff>
    </xdr:from>
    <xdr:to>
      <xdr:col>15</xdr:col>
      <xdr:colOff>76200</xdr:colOff>
      <xdr:row>14</xdr:row>
      <xdr:rowOff>61912</xdr:rowOff>
    </xdr:to>
    <xdr:sp macro="" textlink="">
      <xdr:nvSpPr>
        <xdr:cNvPr id="11" name="Rectangle: Rounded Corners 10">
          <a:extLst>
            <a:ext uri="{FF2B5EF4-FFF2-40B4-BE49-F238E27FC236}">
              <a16:creationId xmlns:a16="http://schemas.microsoft.com/office/drawing/2014/main" id="{6D79354F-F38F-4F14-8384-DD7F7A5BDA9E}"/>
            </a:ext>
          </a:extLst>
        </xdr:cNvPr>
        <xdr:cNvSpPr/>
      </xdr:nvSpPr>
      <xdr:spPr>
        <a:xfrm>
          <a:off x="7324725" y="1357312"/>
          <a:ext cx="1895475" cy="1371600"/>
        </a:xfrm>
        <a:prstGeom prst="roundRect">
          <a:avLst/>
        </a:prstGeom>
        <a:solidFill>
          <a:schemeClr val="accent3">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latin typeface="Algerian" panose="04020705040A02060702" pitchFamily="82" charset="0"/>
            </a:rPr>
            <a:t>DISCOUNT</a:t>
          </a:r>
        </a:p>
      </xdr:txBody>
    </xdr:sp>
    <xdr:clientData/>
  </xdr:twoCellAnchor>
  <xdr:twoCellAnchor>
    <xdr:from>
      <xdr:col>16</xdr:col>
      <xdr:colOff>3175</xdr:colOff>
      <xdr:row>6</xdr:row>
      <xdr:rowOff>188912</xdr:rowOff>
    </xdr:from>
    <xdr:to>
      <xdr:col>19</xdr:col>
      <xdr:colOff>76200</xdr:colOff>
      <xdr:row>14</xdr:row>
      <xdr:rowOff>36512</xdr:rowOff>
    </xdr:to>
    <xdr:sp macro="" textlink="">
      <xdr:nvSpPr>
        <xdr:cNvPr id="12" name="Rectangle: Rounded Corners 11">
          <a:extLst>
            <a:ext uri="{FF2B5EF4-FFF2-40B4-BE49-F238E27FC236}">
              <a16:creationId xmlns:a16="http://schemas.microsoft.com/office/drawing/2014/main" id="{73034EB8-D051-4F85-9394-749FE958CC37}"/>
            </a:ext>
          </a:extLst>
        </xdr:cNvPr>
        <xdr:cNvSpPr/>
      </xdr:nvSpPr>
      <xdr:spPr>
        <a:xfrm>
          <a:off x="9820275" y="1331912"/>
          <a:ext cx="1901825" cy="1371600"/>
        </a:xfrm>
        <a:prstGeom prst="roundRect">
          <a:avLst/>
        </a:prstGeom>
        <a:solidFill>
          <a:schemeClr val="accent3">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95000"/>
                  <a:lumOff val="5000"/>
                </a:schemeClr>
              </a:solidFill>
              <a:latin typeface="Algerian" panose="04020705040A02060702" pitchFamily="82" charset="0"/>
            </a:rPr>
            <a:t>QUANTITY</a:t>
          </a:r>
        </a:p>
      </xdr:txBody>
    </xdr:sp>
    <xdr:clientData/>
  </xdr:twoCellAnchor>
  <xdr:oneCellAnchor>
    <xdr:from>
      <xdr:col>8</xdr:col>
      <xdr:colOff>152401</xdr:colOff>
      <xdr:row>7</xdr:row>
      <xdr:rowOff>28575</xdr:rowOff>
    </xdr:from>
    <xdr:ext cx="1657350" cy="430887"/>
    <xdr:sp macro="" textlink="">
      <xdr:nvSpPr>
        <xdr:cNvPr id="13" name="TextBox 12">
          <a:extLst>
            <a:ext uri="{FF2B5EF4-FFF2-40B4-BE49-F238E27FC236}">
              <a16:creationId xmlns:a16="http://schemas.microsoft.com/office/drawing/2014/main" id="{784A5DF1-2864-5102-C41A-1FDCEF3600D4}"/>
            </a:ext>
          </a:extLst>
        </xdr:cNvPr>
        <xdr:cNvSpPr txBox="1"/>
      </xdr:nvSpPr>
      <xdr:spPr>
        <a:xfrm>
          <a:off x="5029201" y="1362075"/>
          <a:ext cx="165735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1">
              <a:latin typeface="Algerian" panose="04020705040A02060702" pitchFamily="82" charset="0"/>
            </a:rPr>
            <a:t>RATING</a:t>
          </a:r>
        </a:p>
      </xdr:txBody>
    </xdr:sp>
    <xdr:clientData/>
  </xdr:oneCellAnchor>
  <xdr:oneCellAnchor>
    <xdr:from>
      <xdr:col>4</xdr:col>
      <xdr:colOff>85724</xdr:colOff>
      <xdr:row>10</xdr:row>
      <xdr:rowOff>133350</xdr:rowOff>
    </xdr:from>
    <xdr:ext cx="1895475" cy="455060"/>
    <xdr:sp macro="" textlink="AE6">
      <xdr:nvSpPr>
        <xdr:cNvPr id="15" name="TextBox 14">
          <a:extLst>
            <a:ext uri="{FF2B5EF4-FFF2-40B4-BE49-F238E27FC236}">
              <a16:creationId xmlns:a16="http://schemas.microsoft.com/office/drawing/2014/main" id="{21A846E4-E98F-FD23-83B1-DCAC031ED51E}"/>
            </a:ext>
          </a:extLst>
        </xdr:cNvPr>
        <xdr:cNvSpPr txBox="1"/>
      </xdr:nvSpPr>
      <xdr:spPr>
        <a:xfrm>
          <a:off x="2524124" y="2038350"/>
          <a:ext cx="1895475"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211BC3-8937-4652-B395-8EF04ED12D64}" type="TxLink">
            <a:rPr lang="en-US" sz="1800" b="1" i="0" u="none" strike="noStrike">
              <a:solidFill>
                <a:srgbClr val="000000"/>
              </a:solidFill>
              <a:latin typeface="Aptos Narrow"/>
            </a:rPr>
            <a:pPr algn="ctr"/>
            <a:t> ₹ 3,62,68,467 </a:t>
          </a:fld>
          <a:endParaRPr lang="en-IN" sz="1800" b="1"/>
        </a:p>
      </xdr:txBody>
    </xdr:sp>
    <xdr:clientData/>
  </xdr:oneCellAnchor>
  <xdr:oneCellAnchor>
    <xdr:from>
      <xdr:col>0</xdr:col>
      <xdr:colOff>257175</xdr:colOff>
      <xdr:row>10</xdr:row>
      <xdr:rowOff>133350</xdr:rowOff>
    </xdr:from>
    <xdr:ext cx="1895474" cy="512210"/>
    <xdr:sp macro="" textlink="AE5">
      <xdr:nvSpPr>
        <xdr:cNvPr id="16" name="TextBox 15">
          <a:extLst>
            <a:ext uri="{FF2B5EF4-FFF2-40B4-BE49-F238E27FC236}">
              <a16:creationId xmlns:a16="http://schemas.microsoft.com/office/drawing/2014/main" id="{4143F4D2-FA9C-20AD-0196-76FC8A9AD555}"/>
            </a:ext>
          </a:extLst>
        </xdr:cNvPr>
        <xdr:cNvSpPr txBox="1"/>
      </xdr:nvSpPr>
      <xdr:spPr>
        <a:xfrm>
          <a:off x="257175" y="2038350"/>
          <a:ext cx="1895474" cy="512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A64965C-43D6-4F67-8114-7DFBD80BC814}" type="TxLink">
            <a:rPr lang="en-US" sz="1800" b="1" i="0" u="none" strike="noStrike">
              <a:solidFill>
                <a:srgbClr val="000000"/>
              </a:solidFill>
              <a:latin typeface="Aptos Narrow"/>
            </a:rPr>
            <a:pPr algn="ctr"/>
            <a:t>₹ 3,50,49,34,205</a:t>
          </a:fld>
          <a:endParaRPr lang="en-IN" sz="1800" b="1"/>
        </a:p>
      </xdr:txBody>
    </xdr:sp>
    <xdr:clientData/>
  </xdr:oneCellAnchor>
  <xdr:oneCellAnchor>
    <xdr:from>
      <xdr:col>12</xdr:col>
      <xdr:colOff>0</xdr:colOff>
      <xdr:row>11</xdr:row>
      <xdr:rowOff>0</xdr:rowOff>
    </xdr:from>
    <xdr:ext cx="1828800" cy="455060"/>
    <xdr:sp macro="" textlink="AE8">
      <xdr:nvSpPr>
        <xdr:cNvPr id="18" name="TextBox 17">
          <a:extLst>
            <a:ext uri="{FF2B5EF4-FFF2-40B4-BE49-F238E27FC236}">
              <a16:creationId xmlns:a16="http://schemas.microsoft.com/office/drawing/2014/main" id="{FFB4A18E-2486-DA1C-0407-ADB2F177E840}"/>
            </a:ext>
          </a:extLst>
        </xdr:cNvPr>
        <xdr:cNvSpPr txBox="1"/>
      </xdr:nvSpPr>
      <xdr:spPr>
        <a:xfrm>
          <a:off x="7315200" y="2095500"/>
          <a:ext cx="1828800"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9F18032-0348-403C-A051-6FCC9A1F0C58}" type="TxLink">
            <a:rPr lang="en-US" sz="2000" b="1" i="0" u="none" strike="noStrike">
              <a:solidFill>
                <a:srgbClr val="000000"/>
              </a:solidFill>
              <a:latin typeface="Aptos Narrow"/>
            </a:rPr>
            <a:pPr algn="ctr"/>
            <a:t>6301.00%</a:t>
          </a:fld>
          <a:endParaRPr lang="en-IN" sz="2000" b="1"/>
        </a:p>
      </xdr:txBody>
    </xdr:sp>
    <xdr:clientData/>
  </xdr:oneCellAnchor>
  <xdr:oneCellAnchor>
    <xdr:from>
      <xdr:col>16</xdr:col>
      <xdr:colOff>66675</xdr:colOff>
      <xdr:row>10</xdr:row>
      <xdr:rowOff>133350</xdr:rowOff>
    </xdr:from>
    <xdr:ext cx="1762125" cy="512210"/>
    <xdr:sp macro="" textlink="AE9">
      <xdr:nvSpPr>
        <xdr:cNvPr id="19" name="TextBox 18">
          <a:extLst>
            <a:ext uri="{FF2B5EF4-FFF2-40B4-BE49-F238E27FC236}">
              <a16:creationId xmlns:a16="http://schemas.microsoft.com/office/drawing/2014/main" id="{B7E6973E-6DBE-D608-6807-6AC49D64AB83}"/>
            </a:ext>
          </a:extLst>
        </xdr:cNvPr>
        <xdr:cNvSpPr txBox="1"/>
      </xdr:nvSpPr>
      <xdr:spPr>
        <a:xfrm>
          <a:off x="9877425" y="2038350"/>
          <a:ext cx="1762125" cy="512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76799E4-3288-4FF1-93A2-6B71F338575A}" type="TxLink">
            <a:rPr lang="en-US" sz="2400" b="1" i="0" u="none" strike="noStrike">
              <a:solidFill>
                <a:srgbClr val="000000"/>
              </a:solidFill>
              <a:latin typeface="Aptos Narrow"/>
            </a:rPr>
            <a:pPr algn="ctr"/>
            <a:t>7150</a:t>
          </a:fld>
          <a:endParaRPr lang="en-IN" sz="2400" b="1"/>
        </a:p>
      </xdr:txBody>
    </xdr:sp>
    <xdr:clientData/>
  </xdr:oneCellAnchor>
  <xdr:twoCellAnchor>
    <xdr:from>
      <xdr:col>0</xdr:col>
      <xdr:colOff>200025</xdr:colOff>
      <xdr:row>16</xdr:row>
      <xdr:rowOff>19050</xdr:rowOff>
    </xdr:from>
    <xdr:to>
      <xdr:col>7</xdr:col>
      <xdr:colOff>127187</xdr:colOff>
      <xdr:row>29</xdr:row>
      <xdr:rowOff>157256</xdr:rowOff>
    </xdr:to>
    <xdr:graphicFrame macro="">
      <xdr:nvGraphicFramePr>
        <xdr:cNvPr id="2" name="Chart 1">
          <a:extLst>
            <a:ext uri="{FF2B5EF4-FFF2-40B4-BE49-F238E27FC236}">
              <a16:creationId xmlns:a16="http://schemas.microsoft.com/office/drawing/2014/main" id="{CE29F96C-8DC5-466B-B6F4-EC28F3465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406400</xdr:colOff>
      <xdr:row>16</xdr:row>
      <xdr:rowOff>12700</xdr:rowOff>
    </xdr:from>
    <xdr:to>
      <xdr:col>14</xdr:col>
      <xdr:colOff>330947</xdr:colOff>
      <xdr:row>29</xdr:row>
      <xdr:rowOff>169956</xdr:rowOff>
    </xdr:to>
    <xdr:graphicFrame macro="">
      <xdr:nvGraphicFramePr>
        <xdr:cNvPr id="3" name="Chart 2">
          <a:extLst>
            <a:ext uri="{FF2B5EF4-FFF2-40B4-BE49-F238E27FC236}">
              <a16:creationId xmlns:a16="http://schemas.microsoft.com/office/drawing/2014/main" id="{742C9D0A-886F-4134-AA2F-03B5FC73A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520700</xdr:colOff>
      <xdr:row>16</xdr:row>
      <xdr:rowOff>25400</xdr:rowOff>
    </xdr:from>
    <xdr:to>
      <xdr:col>22</xdr:col>
      <xdr:colOff>131482</xdr:colOff>
      <xdr:row>29</xdr:row>
      <xdr:rowOff>163606</xdr:rowOff>
    </xdr:to>
    <xdr:graphicFrame macro="">
      <xdr:nvGraphicFramePr>
        <xdr:cNvPr id="6" name="Chart 5">
          <a:extLst>
            <a:ext uri="{FF2B5EF4-FFF2-40B4-BE49-F238E27FC236}">
              <a16:creationId xmlns:a16="http://schemas.microsoft.com/office/drawing/2014/main" id="{5AE8D7AF-C79E-4CF7-BC24-01E45742E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419916</xdr:colOff>
      <xdr:row>30</xdr:row>
      <xdr:rowOff>42825</xdr:rowOff>
    </xdr:from>
    <xdr:to>
      <xdr:col>20</xdr:col>
      <xdr:colOff>82759</xdr:colOff>
      <xdr:row>49</xdr:row>
      <xdr:rowOff>150395</xdr:rowOff>
    </xdr:to>
    <mc:AlternateContent xmlns:mc="http://schemas.openxmlformats.org/markup-compatibility/2006" xmlns:a14="http://schemas.microsoft.com/office/drawing/2010/main">
      <mc:Choice Requires="a14">
        <xdr:graphicFrame macro="">
          <xdr:nvGraphicFramePr>
            <xdr:cNvPr id="20" name="Product 2">
              <a:extLst>
                <a:ext uri="{FF2B5EF4-FFF2-40B4-BE49-F238E27FC236}">
                  <a16:creationId xmlns:a16="http://schemas.microsoft.com/office/drawing/2014/main" id="{6979E63A-D8DE-4435-82AA-FC2CDD16F28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268086" y="5655771"/>
              <a:ext cx="2112128" cy="366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386013</xdr:colOff>
      <xdr:row>30</xdr:row>
      <xdr:rowOff>67050</xdr:rowOff>
    </xdr:from>
    <xdr:to>
      <xdr:col>13</xdr:col>
      <xdr:colOff>379297</xdr:colOff>
      <xdr:row>49</xdr:row>
      <xdr:rowOff>190499</xdr:rowOff>
    </xdr:to>
    <mc:AlternateContent xmlns:mc="http://schemas.openxmlformats.org/markup-compatibility/2006" xmlns:a14="http://schemas.microsoft.com/office/drawing/2010/main">
      <mc:Choice Requires="a14">
        <xdr:graphicFrame macro="">
          <xdr:nvGraphicFramePr>
            <xdr:cNvPr id="21" name="Payment_Mode 2">
              <a:extLst>
                <a:ext uri="{FF2B5EF4-FFF2-40B4-BE49-F238E27FC236}">
                  <a16:creationId xmlns:a16="http://schemas.microsoft.com/office/drawing/2014/main" id="{3FC275D6-5FC7-4713-97D1-A9F8253940F8}"/>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6509227" y="5679996"/>
              <a:ext cx="1830249" cy="3678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596938</xdr:colOff>
      <xdr:row>30</xdr:row>
      <xdr:rowOff>43262</xdr:rowOff>
    </xdr:from>
    <xdr:to>
      <xdr:col>16</xdr:col>
      <xdr:colOff>234941</xdr:colOff>
      <xdr:row>49</xdr:row>
      <xdr:rowOff>170447</xdr:rowOff>
    </xdr:to>
    <mc:AlternateContent xmlns:mc="http://schemas.openxmlformats.org/markup-compatibility/2006" xmlns:a14="http://schemas.microsoft.com/office/drawing/2010/main">
      <mc:Choice Requires="a14">
        <xdr:graphicFrame macro="">
          <xdr:nvGraphicFramePr>
            <xdr:cNvPr id="23" name="Gender 2">
              <a:extLst>
                <a:ext uri="{FF2B5EF4-FFF2-40B4-BE49-F238E27FC236}">
                  <a16:creationId xmlns:a16="http://schemas.microsoft.com/office/drawing/2014/main" id="{76D36FD3-6CB0-4E47-BC66-B4D0CACDF84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57117" y="5656208"/>
              <a:ext cx="1525994" cy="3682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20053</xdr:colOff>
      <xdr:row>30</xdr:row>
      <xdr:rowOff>20053</xdr:rowOff>
    </xdr:from>
    <xdr:to>
      <xdr:col>7</xdr:col>
      <xdr:colOff>130342</xdr:colOff>
      <xdr:row>50</xdr:row>
      <xdr:rowOff>72441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73EA142-2EE1-4709-87E6-0A56CCFAD4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053" y="5735053"/>
              <a:ext cx="4377489" cy="3862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260683</xdr:colOff>
      <xdr:row>30</xdr:row>
      <xdr:rowOff>70183</xdr:rowOff>
    </xdr:from>
    <xdr:to>
      <xdr:col>10</xdr:col>
      <xdr:colOff>254667</xdr:colOff>
      <xdr:row>50</xdr:row>
      <xdr:rowOff>30078</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9942C2F0-384C-4062-B245-C6B0A605A18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546933" y="5683129"/>
              <a:ext cx="1830948" cy="370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834900810187" createdVersion="8" refreshedVersion="8" minRefreshableVersion="3" recordCount="1200" xr:uid="{C6F2E5C8-D609-4049-B2E4-B68BD53894D3}">
  <cacheSource type="worksheet">
    <worksheetSource ref="A1:Z1201" sheet="E-Commerce Sales Data"/>
  </cacheSource>
  <cacheFields count="29">
    <cacheField name="Order_ID" numFmtId="0">
      <sharedItems/>
    </cacheField>
    <cacheField name="Order_Date" numFmtId="14">
      <sharedItems containsSemiMixedTypes="0" containsNonDate="0" containsDate="1" containsString="0" minDate="2025-01-05T00:00:00" maxDate="2047-11-30T00:00:00" count="1200">
        <d v="2025-01-05T00:00:00"/>
        <d v="2025-01-07T00:00:00"/>
        <d v="2025-01-12T00:00:00"/>
        <d v="2025-01-18T00:00:00"/>
        <d v="2025-01-25T00:00:00"/>
        <d v="2025-02-02T00:00:00"/>
        <d v="2025-02-05T00:00:00"/>
        <d v="2025-02-11T00:00:00"/>
        <d v="2025-02-19T00:00:00"/>
        <d v="2025-02-28T00:00:00"/>
        <d v="2025-03-03T00:00:00"/>
        <d v="2025-03-08T00:00:00"/>
        <d v="2025-03-15T00:00:00"/>
        <d v="2025-03-21T00:00:00"/>
        <d v="2025-03-29T00:00:00"/>
        <d v="2025-04-04T00:00:00"/>
        <d v="2025-04-09T00:00:00"/>
        <d v="2025-04-16T00:00:00"/>
        <d v="2025-04-23T00:00:00"/>
        <d v="2025-04-30T00:00:00"/>
        <d v="2025-05-05T00:00:00"/>
        <d v="2025-05-12T00:00:00"/>
        <d v="2025-05-18T00:00:00"/>
        <d v="2025-05-25T00:00:00"/>
        <d v="2025-05-31T00:00:00"/>
        <d v="2025-06-06T00:00:00"/>
        <d v="2025-06-13T00:00:00"/>
        <d v="2025-06-20T00:00:00"/>
        <d v="2025-06-27T00:00:00"/>
        <d v="2025-07-03T00:00:00"/>
        <d v="2025-07-09T00:00:00"/>
        <d v="2025-07-16T00:00:00"/>
        <d v="2025-07-22T00:00:00"/>
        <d v="2025-07-29T00:00:00"/>
        <d v="2025-08-04T00:00:00"/>
        <d v="2025-08-11T00:00:00"/>
        <d v="2025-08-18T00:00:00"/>
        <d v="2025-08-25T00:00:00"/>
        <d v="2025-09-02T00:00:00"/>
        <d v="2025-09-09T00:00:00"/>
        <d v="2025-09-15T00:00:00"/>
        <d v="2025-09-22T00:00:00"/>
        <d v="2025-09-28T00:00:00"/>
        <d v="2025-10-05T00:00:00"/>
        <d v="2025-10-12T00:00:00"/>
        <d v="2025-10-19T00:00:00"/>
        <d v="2025-10-26T00:00:00"/>
        <d v="2025-11-02T00:00:00"/>
        <d v="2025-11-09T00:00:00"/>
        <d v="2025-11-16T00:00:00"/>
        <d v="2025-11-22T00:00:00"/>
        <d v="2025-11-29T00:00:00"/>
        <d v="2025-12-05T00:00:00"/>
        <d v="2025-12-12T00:00:00"/>
        <d v="2025-12-19T00:00:00"/>
        <d v="2025-12-26T00:00:00"/>
        <d v="2026-01-02T00:00:00"/>
        <d v="2026-01-09T00:00:00"/>
        <d v="2026-01-16T00:00:00"/>
        <d v="2026-01-23T00:00:00"/>
        <d v="2026-01-30T00:00:00"/>
        <d v="2026-02-06T00:00:00"/>
        <d v="2026-02-13T00:00:00"/>
        <d v="2026-02-20T00:00:00"/>
        <d v="2026-02-27T00:00:00"/>
        <d v="2026-03-06T00:00:00"/>
        <d v="2026-03-13T00:00:00"/>
        <d v="2026-03-20T00:00:00"/>
        <d v="2026-03-27T00:00:00"/>
        <d v="2026-04-03T00:00:00"/>
        <d v="2026-04-10T00:00:00"/>
        <d v="2026-04-17T00:00:00"/>
        <d v="2026-04-24T00:00:00"/>
        <d v="2026-05-01T00:00:00"/>
        <d v="2026-05-08T00:00:00"/>
        <d v="2026-05-15T00:00:00"/>
        <d v="2026-05-22T00:00:00"/>
        <d v="2026-05-29T00:00:00"/>
        <d v="2026-06-05T00:00:00"/>
        <d v="2026-06-12T00:00:00"/>
        <d v="2026-06-19T00:00:00"/>
        <d v="2026-06-26T00:00:00"/>
        <d v="2026-07-03T00:00:00"/>
        <d v="2026-07-10T00:00:00"/>
        <d v="2026-07-17T00:00:00"/>
        <d v="2026-07-24T00:00:00"/>
        <d v="2026-07-31T00:00:00"/>
        <d v="2026-08-07T00:00:00"/>
        <d v="2026-08-14T00:00:00"/>
        <d v="2026-08-21T00:00:00"/>
        <d v="2026-08-28T00:00:00"/>
        <d v="2026-09-04T00:00:00"/>
        <d v="2026-09-11T00:00:00"/>
        <d v="2026-09-18T00:00:00"/>
        <d v="2026-09-25T00:00:00"/>
        <d v="2026-10-02T00:00:00"/>
        <d v="2026-10-09T00:00:00"/>
        <d v="2026-10-16T00:00:00"/>
        <d v="2026-10-23T00:00:00"/>
        <d v="2026-10-30T00:00:00"/>
        <d v="2026-11-06T00:00:00"/>
        <d v="2026-11-13T00:00:00"/>
        <d v="2026-11-20T00:00:00"/>
        <d v="2026-11-27T00:00:00"/>
        <d v="2026-12-04T00:00:00"/>
        <d v="2026-12-11T00:00:00"/>
        <d v="2026-12-18T00:00:00"/>
        <d v="2026-12-25T00:00:00"/>
        <d v="2027-01-01T00:00:00"/>
        <d v="2027-01-08T00:00:00"/>
        <d v="2027-01-15T00:00:00"/>
        <d v="2027-01-22T00:00:00"/>
        <d v="2027-01-29T00:00:00"/>
        <d v="2027-02-05T00:00:00"/>
        <d v="2027-02-12T00:00:00"/>
        <d v="2027-02-19T00:00:00"/>
        <d v="2027-02-26T00:00:00"/>
        <d v="2027-03-05T00:00:00"/>
        <d v="2027-03-12T00:00:00"/>
        <d v="2027-03-19T00:00:00"/>
        <d v="2027-03-26T00:00:00"/>
        <d v="2027-04-02T00:00:00"/>
        <d v="2027-04-09T00:00:00"/>
        <d v="2027-04-16T00:00:00"/>
        <d v="2027-04-23T00:00:00"/>
        <d v="2027-04-30T00:00:00"/>
        <d v="2027-05-07T00:00:00"/>
        <d v="2027-05-14T00:00:00"/>
        <d v="2027-05-21T00:00:00"/>
        <d v="2027-05-28T00:00:00"/>
        <d v="2027-06-04T00:00:00"/>
        <d v="2027-06-11T00:00:00"/>
        <d v="2027-06-18T00:00:00"/>
        <d v="2027-06-25T00:00:00"/>
        <d v="2027-07-02T00:00:00"/>
        <d v="2027-07-09T00:00:00"/>
        <d v="2027-07-16T00:00:00"/>
        <d v="2027-07-23T00:00:00"/>
        <d v="2027-07-30T00:00:00"/>
        <d v="2027-08-06T00:00:00"/>
        <d v="2027-08-13T00:00:00"/>
        <d v="2027-08-20T00:00:00"/>
        <d v="2027-08-27T00:00:00"/>
        <d v="2027-09-03T00:00:00"/>
        <d v="2027-09-10T00:00:00"/>
        <d v="2027-09-17T00:00:00"/>
        <d v="2027-09-24T00:00:00"/>
        <d v="2027-10-01T00:00:00"/>
        <d v="2027-10-08T00:00:00"/>
        <d v="2027-10-15T00:00:00"/>
        <d v="2027-10-22T00:00:00"/>
        <d v="2027-10-29T00:00:00"/>
        <d v="2027-11-05T00:00:00"/>
        <d v="2027-11-12T00:00:00"/>
        <d v="2027-11-19T00:00:00"/>
        <d v="2027-11-26T00:00:00"/>
        <d v="2027-12-03T00:00:00"/>
        <d v="2027-12-10T00:00:00"/>
        <d v="2027-12-17T00:00:00"/>
        <d v="2027-12-24T00:00:00"/>
        <d v="2027-12-31T00:00:00"/>
        <d v="2028-01-07T00:00:00"/>
        <d v="2028-01-14T00:00:00"/>
        <d v="2028-01-21T00:00:00"/>
        <d v="2028-01-28T00:00:00"/>
        <d v="2028-02-04T00:00:00"/>
        <d v="2028-02-11T00:00:00"/>
        <d v="2028-02-18T00:00:00"/>
        <d v="2028-02-25T00:00:00"/>
        <d v="2028-03-03T00:00:00"/>
        <d v="2028-03-10T00:00:00"/>
        <d v="2028-03-17T00:00:00"/>
        <d v="2028-03-24T00:00:00"/>
        <d v="2028-03-31T00:00:00"/>
        <d v="2028-04-07T00:00:00"/>
        <d v="2028-04-14T00:00:00"/>
        <d v="2028-04-21T00:00:00"/>
        <d v="2028-04-28T00:00:00"/>
        <d v="2028-05-05T00:00:00"/>
        <d v="2028-05-12T00:00:00"/>
        <d v="2028-05-19T00:00:00"/>
        <d v="2028-05-26T00:00:00"/>
        <d v="2028-06-02T00:00:00"/>
        <d v="2028-06-09T00:00:00"/>
        <d v="2028-06-16T00:00:00"/>
        <d v="2028-06-23T00:00:00"/>
        <d v="2028-06-30T00:00:00"/>
        <d v="2028-07-07T00:00:00"/>
        <d v="2028-07-14T00:00:00"/>
        <d v="2028-07-21T00:00:00"/>
        <d v="2028-07-28T00:00:00"/>
        <d v="2028-08-04T00:00:00"/>
        <d v="2028-08-11T00:00:00"/>
        <d v="2028-08-18T00:00:00"/>
        <d v="2028-08-25T00:00:00"/>
        <d v="2028-09-01T00:00:00"/>
        <d v="2028-09-08T00:00:00"/>
        <d v="2028-09-15T00:00:00"/>
        <d v="2028-09-22T00:00:00"/>
        <d v="2028-09-29T00:00:00"/>
        <d v="2028-10-06T00:00:00"/>
        <d v="2028-10-13T00:00:00"/>
        <d v="2028-10-20T00:00:00"/>
        <d v="2028-10-27T00:00:00"/>
        <d v="2028-11-03T00:00:00"/>
        <d v="2028-11-10T00:00:00"/>
        <d v="2028-11-17T00:00:00"/>
        <d v="2028-11-24T00:00:00"/>
        <d v="2028-12-01T00:00:00"/>
        <d v="2028-12-08T00:00:00"/>
        <d v="2028-12-15T00:00:00"/>
        <d v="2028-12-22T00:00:00"/>
        <d v="2028-12-29T00:00:00"/>
        <d v="2029-01-05T00:00:00"/>
        <d v="2029-01-12T00:00:00"/>
        <d v="2029-01-19T00:00:00"/>
        <d v="2029-01-26T00:00:00"/>
        <d v="2029-02-02T00:00:00"/>
        <d v="2029-02-09T00:00:00"/>
        <d v="2029-02-16T00:00:00"/>
        <d v="2029-02-23T00:00:00"/>
        <d v="2029-03-02T00:00:00"/>
        <d v="2029-03-09T00:00:00"/>
        <d v="2029-03-16T00:00:00"/>
        <d v="2029-03-23T00:00:00"/>
        <d v="2029-03-30T00:00:00"/>
        <d v="2029-04-06T00:00:00"/>
        <d v="2029-04-13T00:00:00"/>
        <d v="2029-04-20T00:00:00"/>
        <d v="2029-04-27T00:00:00"/>
        <d v="2029-05-04T00:00:00"/>
        <d v="2029-05-11T00:00:00"/>
        <d v="2029-05-18T00:00:00"/>
        <d v="2029-05-25T00:00:00"/>
        <d v="2029-06-01T00:00:00"/>
        <d v="2029-06-08T00:00:00"/>
        <d v="2029-06-15T00:00:00"/>
        <d v="2029-06-22T00:00:00"/>
        <d v="2029-06-29T00:00:00"/>
        <d v="2029-07-06T00:00:00"/>
        <d v="2029-07-13T00:00:00"/>
        <d v="2029-07-20T00:00:00"/>
        <d v="2029-07-27T00:00:00"/>
        <d v="2029-08-03T00:00:00"/>
        <d v="2029-08-10T00:00:00"/>
        <d v="2029-08-17T00:00:00"/>
        <d v="2029-08-24T00:00:00"/>
        <d v="2029-08-31T00:00:00"/>
        <d v="2029-09-07T00:00:00"/>
        <d v="2029-09-14T00:00:00"/>
        <d v="2029-09-21T00:00:00"/>
        <d v="2029-09-28T00:00:00"/>
        <d v="2029-10-05T00:00:00"/>
        <d v="2029-10-12T00:00:00"/>
        <d v="2029-10-19T00:00:00"/>
        <d v="2029-10-26T00:00:00"/>
        <d v="2029-11-02T00:00:00"/>
        <d v="2029-11-09T00:00:00"/>
        <d v="2029-11-16T00:00:00"/>
        <d v="2029-11-23T00:00:00"/>
        <d v="2029-11-30T00:00:00"/>
        <d v="2029-12-07T00:00:00"/>
        <d v="2029-12-14T00:00:00"/>
        <d v="2029-12-21T00:00:00"/>
        <d v="2029-12-28T00:00:00"/>
        <d v="2030-01-04T00:00:00"/>
        <d v="2030-01-11T00:00:00"/>
        <d v="2030-01-18T00:00:00"/>
        <d v="2030-01-25T00:00:00"/>
        <d v="2030-02-01T00:00:00"/>
        <d v="2030-02-08T00:00:00"/>
        <d v="2030-02-15T00:00:00"/>
        <d v="2030-02-22T00:00:00"/>
        <d v="2030-03-01T00:00:00"/>
        <d v="2030-03-08T00:00:00"/>
        <d v="2030-03-15T00:00:00"/>
        <d v="2030-03-22T00:00:00"/>
        <d v="2030-03-29T00:00:00"/>
        <d v="2030-04-05T00:00:00"/>
        <d v="2030-04-12T00:00:00"/>
        <d v="2030-04-19T00:00:00"/>
        <d v="2030-04-26T00:00:00"/>
        <d v="2030-05-03T00:00:00"/>
        <d v="2030-05-10T00:00:00"/>
        <d v="2030-05-17T00:00:00"/>
        <d v="2030-05-24T00:00:00"/>
        <d v="2030-05-31T00:00:00"/>
        <d v="2030-06-07T00:00:00"/>
        <d v="2030-06-14T00:00:00"/>
        <d v="2030-06-21T00:00:00"/>
        <d v="2030-06-28T00:00:00"/>
        <d v="2030-07-05T00:00:00"/>
        <d v="2030-07-12T00:00:00"/>
        <d v="2030-07-19T00:00:00"/>
        <d v="2030-07-26T00:00:00"/>
        <d v="2030-08-02T00:00:00"/>
        <d v="2030-08-09T00:00:00"/>
        <d v="2030-08-16T00:00:00"/>
        <d v="2030-08-23T00:00:00"/>
        <d v="2030-08-30T00:00:00"/>
        <d v="2030-09-06T00:00:00"/>
        <d v="2030-09-13T00:00:00"/>
        <d v="2030-09-20T00:00:00"/>
        <d v="2030-09-27T00:00:00"/>
        <d v="2030-10-04T00:00:00"/>
        <d v="2030-10-11T00:00:00"/>
        <d v="2030-10-18T00:00:00"/>
        <d v="2030-10-25T00:00:00"/>
        <d v="2030-11-01T00:00:00"/>
        <d v="2030-11-08T00:00:00"/>
        <d v="2030-11-15T00:00:00"/>
        <d v="2030-11-22T00:00:00"/>
        <d v="2030-11-29T00:00:00"/>
        <d v="2030-12-06T00:00:00"/>
        <d v="2030-12-13T00:00:00"/>
        <d v="2030-12-20T00:00:00"/>
        <d v="2030-12-27T00:00:00"/>
        <d v="2031-01-03T00:00:00"/>
        <d v="2031-01-10T00:00:00"/>
        <d v="2031-01-17T00:00:00"/>
        <d v="2031-01-24T00:00:00"/>
        <d v="2031-01-31T00:00:00"/>
        <d v="2031-02-07T00:00:00"/>
        <d v="2031-02-14T00:00:00"/>
        <d v="2031-02-21T00:00:00"/>
        <d v="2031-02-28T00:00:00"/>
        <d v="2031-03-07T00:00:00"/>
        <d v="2031-03-14T00:00:00"/>
        <d v="2031-03-21T00:00:00"/>
        <d v="2031-03-28T00:00:00"/>
        <d v="2031-04-04T00:00:00"/>
        <d v="2031-04-11T00:00:00"/>
        <d v="2031-04-18T00:00:00"/>
        <d v="2031-04-25T00:00:00"/>
        <d v="2031-05-02T00:00:00"/>
        <d v="2031-05-09T00:00:00"/>
        <d v="2031-05-16T00:00:00"/>
        <d v="2031-05-23T00:00:00"/>
        <d v="2031-05-30T00:00:00"/>
        <d v="2031-06-06T00:00:00"/>
        <d v="2031-06-13T00:00:00"/>
        <d v="2031-06-20T00:00:00"/>
        <d v="2031-06-27T00:00:00"/>
        <d v="2031-07-04T00:00:00"/>
        <d v="2031-07-11T00:00:00"/>
        <d v="2031-07-18T00:00:00"/>
        <d v="2031-07-25T00:00:00"/>
        <d v="2031-08-01T00:00:00"/>
        <d v="2031-08-08T00:00:00"/>
        <d v="2031-08-15T00:00:00"/>
        <d v="2031-08-22T00:00:00"/>
        <d v="2031-08-29T00:00:00"/>
        <d v="2031-09-05T00:00:00"/>
        <d v="2031-09-12T00:00:00"/>
        <d v="2031-09-19T00:00:00"/>
        <d v="2031-09-26T00:00:00"/>
        <d v="2031-10-03T00:00:00"/>
        <d v="2031-10-10T00:00:00"/>
        <d v="2031-10-17T00:00:00"/>
        <d v="2031-10-24T00:00:00"/>
        <d v="2031-10-31T00:00:00"/>
        <d v="2031-11-07T00:00:00"/>
        <d v="2031-11-14T00:00:00"/>
        <d v="2031-11-21T00:00:00"/>
        <d v="2031-11-28T00:00:00"/>
        <d v="2031-12-05T00:00:00"/>
        <d v="2031-12-12T00:00:00"/>
        <d v="2031-12-19T00:00:00"/>
        <d v="2031-12-26T00:00:00"/>
        <d v="2032-01-02T00:00:00"/>
        <d v="2032-01-09T00:00:00"/>
        <d v="2032-01-16T00:00:00"/>
        <d v="2032-01-23T00:00:00"/>
        <d v="2032-01-30T00:00:00"/>
        <d v="2032-02-06T00:00:00"/>
        <d v="2032-02-13T00:00:00"/>
        <d v="2032-02-20T00:00:00"/>
        <d v="2032-02-27T00:00:00"/>
        <d v="2032-03-05T00:00:00"/>
        <d v="2032-03-12T00:00:00"/>
        <d v="2032-03-19T00:00:00"/>
        <d v="2032-03-26T00:00:00"/>
        <d v="2032-04-02T00:00:00"/>
        <d v="2032-04-09T00:00:00"/>
        <d v="2032-04-16T00:00:00"/>
        <d v="2032-04-23T00:00:00"/>
        <d v="2032-04-30T00:00:00"/>
        <d v="2032-05-07T00:00:00"/>
        <d v="2032-05-14T00:00:00"/>
        <d v="2032-05-21T00:00:00"/>
        <d v="2032-05-28T00:00:00"/>
        <d v="2032-06-04T00:00:00"/>
        <d v="2032-06-11T00:00:00"/>
        <d v="2032-06-18T00:00:00"/>
        <d v="2032-06-25T00:00:00"/>
        <d v="2032-07-02T00:00:00"/>
        <d v="2032-07-09T00:00:00"/>
        <d v="2032-07-16T00:00:00"/>
        <d v="2032-07-23T00:00:00"/>
        <d v="2032-07-30T00:00:00"/>
        <d v="2032-08-06T00:00:00"/>
        <d v="2032-08-13T00:00:00"/>
        <d v="2032-08-20T00:00:00"/>
        <d v="2032-08-27T00:00:00"/>
        <d v="2032-09-03T00:00:00"/>
        <d v="2032-09-10T00:00:00"/>
        <d v="2032-09-17T00:00:00"/>
        <d v="2032-09-24T00:00:00"/>
        <d v="2032-10-01T00:00:00"/>
        <d v="2032-10-08T00:00:00"/>
        <d v="2032-10-15T00:00:00"/>
        <d v="2032-10-22T00:00:00"/>
        <d v="2032-10-29T00:00:00"/>
        <d v="2032-11-05T00:00:00"/>
        <d v="2032-11-12T00:00:00"/>
        <d v="2032-11-19T00:00:00"/>
        <d v="2032-11-26T00:00:00"/>
        <d v="2032-12-03T00:00:00"/>
        <d v="2032-12-10T00:00:00"/>
        <d v="2032-12-17T00:00:00"/>
        <d v="2032-12-24T00:00:00"/>
        <d v="2032-12-31T00:00:00"/>
        <d v="2033-01-07T00:00:00"/>
        <d v="2033-01-14T00:00:00"/>
        <d v="2033-01-21T00:00:00"/>
        <d v="2033-01-28T00:00:00"/>
        <d v="2033-02-04T00:00:00"/>
        <d v="2033-02-11T00:00:00"/>
        <d v="2033-02-18T00:00:00"/>
        <d v="2033-02-25T00:00:00"/>
        <d v="2033-03-04T00:00:00"/>
        <d v="2033-03-11T00:00:00"/>
        <d v="2033-03-18T00:00:00"/>
        <d v="2033-03-25T00:00:00"/>
        <d v="2033-04-01T00:00:00"/>
        <d v="2033-04-08T00:00:00"/>
        <d v="2033-04-15T00:00:00"/>
        <d v="2033-04-22T00:00:00"/>
        <d v="2033-04-29T00:00:00"/>
        <d v="2033-05-06T00:00:00"/>
        <d v="2033-05-13T00:00:00"/>
        <d v="2033-05-20T00:00:00"/>
        <d v="2033-05-27T00:00:00"/>
        <d v="2033-06-03T00:00:00"/>
        <d v="2033-06-10T00:00:00"/>
        <d v="2033-06-17T00:00:00"/>
        <d v="2033-06-24T00:00:00"/>
        <d v="2033-07-01T00:00:00"/>
        <d v="2033-07-08T00:00:00"/>
        <d v="2033-07-15T00:00:00"/>
        <d v="2033-07-22T00:00:00"/>
        <d v="2033-07-29T00:00:00"/>
        <d v="2033-08-05T00:00:00"/>
        <d v="2033-08-12T00:00:00"/>
        <d v="2033-08-19T00:00:00"/>
        <d v="2033-08-26T00:00:00"/>
        <d v="2033-09-02T00:00:00"/>
        <d v="2033-09-09T00:00:00"/>
        <d v="2033-09-16T00:00:00"/>
        <d v="2033-09-23T00:00:00"/>
        <d v="2033-09-30T00:00:00"/>
        <d v="2033-10-07T00:00:00"/>
        <d v="2033-10-14T00:00:00"/>
        <d v="2033-10-21T00:00:00"/>
        <d v="2033-10-28T00:00:00"/>
        <d v="2033-11-04T00:00:00"/>
        <d v="2033-11-11T00:00:00"/>
        <d v="2033-11-18T00:00:00"/>
        <d v="2033-11-25T00:00:00"/>
        <d v="2033-12-02T00:00:00"/>
        <d v="2033-12-09T00:00:00"/>
        <d v="2033-12-16T00:00:00"/>
        <d v="2033-12-23T00:00:00"/>
        <d v="2033-12-30T00:00:00"/>
        <d v="2034-01-06T00:00:00"/>
        <d v="2034-01-13T00:00:00"/>
        <d v="2034-01-20T00:00:00"/>
        <d v="2034-01-27T00:00:00"/>
        <d v="2034-02-03T00:00:00"/>
        <d v="2034-02-10T00:00:00"/>
        <d v="2034-02-17T00:00:00"/>
        <d v="2034-02-24T00:00:00"/>
        <d v="2034-03-03T00:00:00"/>
        <d v="2034-03-10T00:00:00"/>
        <d v="2034-03-17T00:00:00"/>
        <d v="2034-03-24T00:00:00"/>
        <d v="2034-03-31T00:00:00"/>
        <d v="2034-04-07T00:00:00"/>
        <d v="2034-04-14T00:00:00"/>
        <d v="2034-04-21T00:00:00"/>
        <d v="2034-04-28T00:00:00"/>
        <d v="2034-05-05T00:00:00"/>
        <d v="2034-05-12T00:00:00"/>
        <d v="2034-05-19T00:00:00"/>
        <d v="2034-05-26T00:00:00"/>
        <d v="2034-06-02T00:00:00"/>
        <d v="2034-06-09T00:00:00"/>
        <d v="2034-06-16T00:00:00"/>
        <d v="2034-06-23T00:00:00"/>
        <d v="2034-06-30T00:00:00"/>
        <d v="2034-07-07T00:00:00"/>
        <d v="2034-07-14T00:00:00"/>
        <d v="2034-07-21T00:00:00"/>
        <d v="2034-07-28T00:00:00"/>
        <d v="2034-08-04T00:00:00"/>
        <d v="2034-08-11T00:00:00"/>
        <d v="2034-08-18T00:00:00"/>
        <d v="2034-08-25T00:00:00"/>
        <d v="2034-09-01T00:00:00"/>
        <d v="2034-09-08T00:00:00"/>
        <d v="2034-09-15T00:00:00"/>
        <d v="2034-09-22T00:00:00"/>
        <d v="2034-09-29T00:00:00"/>
        <d v="2034-10-06T00:00:00"/>
        <d v="2034-10-13T00:00:00"/>
        <d v="2034-10-20T00:00:00"/>
        <d v="2034-10-27T00:00:00"/>
        <d v="2034-11-03T00:00:00"/>
        <d v="2034-11-10T00:00:00"/>
        <d v="2034-11-17T00:00:00"/>
        <d v="2034-11-24T00:00:00"/>
        <d v="2034-12-01T00:00:00"/>
        <d v="2034-12-08T00:00:00"/>
        <d v="2034-12-15T00:00:00"/>
        <d v="2034-12-22T00:00:00"/>
        <d v="2034-12-29T00:00:00"/>
        <d v="2035-01-05T00:00:00"/>
        <d v="2035-01-12T00:00:00"/>
        <d v="2035-01-19T00:00:00"/>
        <d v="2035-01-26T00:00:00"/>
        <d v="2035-02-02T00:00:00"/>
        <d v="2035-02-09T00:00:00"/>
        <d v="2035-02-16T00:00:00"/>
        <d v="2035-02-23T00:00:00"/>
        <d v="2035-03-02T00:00:00"/>
        <d v="2035-03-09T00:00:00"/>
        <d v="2035-03-16T00:00:00"/>
        <d v="2035-03-23T00:00:00"/>
        <d v="2035-03-30T00:00:00"/>
        <d v="2035-04-06T00:00:00"/>
        <d v="2035-04-13T00:00:00"/>
        <d v="2035-04-20T00:00:00"/>
        <d v="2035-04-27T00:00:00"/>
        <d v="2035-05-04T00:00:00"/>
        <d v="2035-05-11T00:00:00"/>
        <d v="2035-05-18T00:00:00"/>
        <d v="2035-05-25T00:00:00"/>
        <d v="2035-06-01T00:00:00"/>
        <d v="2035-06-08T00:00:00"/>
        <d v="2035-06-15T00:00:00"/>
        <d v="2035-06-22T00:00:00"/>
        <d v="2035-06-29T00:00:00"/>
        <d v="2035-07-06T00:00:00"/>
        <d v="2035-07-13T00:00:00"/>
        <d v="2035-07-20T00:00:00"/>
        <d v="2035-07-27T00:00:00"/>
        <d v="2035-08-03T00:00:00"/>
        <d v="2035-08-10T00:00:00"/>
        <d v="2035-08-17T00:00:00"/>
        <d v="2035-08-24T00:00:00"/>
        <d v="2035-08-31T00:00:00"/>
        <d v="2035-09-07T00:00:00"/>
        <d v="2035-09-14T00:00:00"/>
        <d v="2035-09-21T00:00:00"/>
        <d v="2035-09-28T00:00:00"/>
        <d v="2035-10-05T00:00:00"/>
        <d v="2035-10-12T00:00:00"/>
        <d v="2035-10-19T00:00:00"/>
        <d v="2035-10-26T00:00:00"/>
        <d v="2035-11-02T00:00:00"/>
        <d v="2035-11-09T00:00:00"/>
        <d v="2035-11-16T00:00:00"/>
        <d v="2035-11-23T00:00:00"/>
        <d v="2035-11-30T00:00:00"/>
        <d v="2035-12-07T00:00:00"/>
        <d v="2035-12-14T00:00:00"/>
        <d v="2035-12-21T00:00:00"/>
        <d v="2035-12-28T00:00:00"/>
        <d v="2036-01-04T00:00:00"/>
        <d v="2036-01-11T00:00:00"/>
        <d v="2036-01-18T00:00:00"/>
        <d v="2036-01-25T00:00:00"/>
        <d v="2036-02-01T00:00:00"/>
        <d v="2036-02-08T00:00:00"/>
        <d v="2036-02-15T00:00:00"/>
        <d v="2036-02-22T00:00:00"/>
        <d v="2036-02-29T00:00:00"/>
        <d v="2036-03-07T00:00:00"/>
        <d v="2036-03-14T00:00:00"/>
        <d v="2036-03-21T00:00:00"/>
        <d v="2036-03-28T00:00:00"/>
        <d v="2036-04-04T00:00:00"/>
        <d v="2036-04-11T00:00:00"/>
        <d v="2036-04-18T00:00:00"/>
        <d v="2036-04-25T00:00:00"/>
        <d v="2036-05-02T00:00:00"/>
        <d v="2036-05-09T00:00:00"/>
        <d v="2036-05-16T00:00:00"/>
        <d v="2036-05-23T00:00:00"/>
        <d v="2036-05-30T00:00:00"/>
        <d v="2036-06-06T00:00:00"/>
        <d v="2036-06-13T00:00:00"/>
        <d v="2036-06-20T00:00:00"/>
        <d v="2036-06-27T00:00:00"/>
        <d v="2036-07-04T00:00:00"/>
        <d v="2036-07-11T00:00:00"/>
        <d v="2036-07-18T00:00:00"/>
        <d v="2036-07-25T00:00:00"/>
        <d v="2036-08-01T00:00:00"/>
        <d v="2036-08-08T00:00:00"/>
        <d v="2036-08-15T00:00:00"/>
        <d v="2036-08-22T00:00:00"/>
        <d v="2036-08-29T00:00:00"/>
        <d v="2036-09-05T00:00:00"/>
        <d v="2036-09-12T00:00:00"/>
        <d v="2036-09-19T00:00:00"/>
        <d v="2036-09-26T00:00:00"/>
        <d v="2036-10-03T00:00:00"/>
        <d v="2036-10-10T00:00:00"/>
        <d v="2036-10-17T00:00:00"/>
        <d v="2036-10-24T00:00:00"/>
        <d v="2036-10-31T00:00:00"/>
        <d v="2036-11-07T00:00:00"/>
        <d v="2036-11-14T00:00:00"/>
        <d v="2036-11-21T00:00:00"/>
        <d v="2036-11-28T00:00:00"/>
        <d v="2036-12-05T00:00:00"/>
        <d v="2036-12-12T00:00:00"/>
        <d v="2036-12-19T00:00:00"/>
        <d v="2036-12-26T00:00:00"/>
        <d v="2037-01-02T00:00:00"/>
        <d v="2037-01-09T00:00:00"/>
        <d v="2037-01-16T00:00:00"/>
        <d v="2037-01-23T00:00:00"/>
        <d v="2037-01-30T00:00:00"/>
        <d v="2037-02-06T00:00:00"/>
        <d v="2037-02-13T00:00:00"/>
        <d v="2037-02-20T00:00:00"/>
        <d v="2037-02-27T00:00:00"/>
        <d v="2037-03-06T00:00:00"/>
        <d v="2037-03-13T00:00:00"/>
        <d v="2037-03-20T00:00:00"/>
        <d v="2037-03-27T00:00:00"/>
        <d v="2037-04-03T00:00:00"/>
        <d v="2037-04-10T00:00:00"/>
        <d v="2037-04-17T00:00:00"/>
        <d v="2037-04-24T00:00:00"/>
        <d v="2037-05-01T00:00:00"/>
        <d v="2037-05-08T00:00:00"/>
        <d v="2037-05-15T00:00:00"/>
        <d v="2037-05-22T00:00:00"/>
        <d v="2037-05-29T00:00:00"/>
        <d v="2037-06-05T00:00:00"/>
        <d v="2037-06-12T00:00:00"/>
        <d v="2037-06-19T00:00:00"/>
        <d v="2037-06-26T00:00:00"/>
        <d v="2037-07-03T00:00:00"/>
        <d v="2037-07-10T00:00:00"/>
        <d v="2037-07-17T00:00:00"/>
        <d v="2037-07-24T00:00:00"/>
        <d v="2037-07-31T00:00:00"/>
        <d v="2037-08-07T00:00:00"/>
        <d v="2037-08-14T00:00:00"/>
        <d v="2037-08-21T00:00:00"/>
        <d v="2037-08-28T00:00:00"/>
        <d v="2037-09-04T00:00:00"/>
        <d v="2037-09-11T00:00:00"/>
        <d v="2037-09-18T00:00:00"/>
        <d v="2037-09-25T00:00:00"/>
        <d v="2037-10-02T00:00:00"/>
        <d v="2037-10-09T00:00:00"/>
        <d v="2037-10-16T00:00:00"/>
        <d v="2037-10-23T00:00:00"/>
        <d v="2037-10-30T00:00:00"/>
        <d v="2037-11-06T00:00:00"/>
        <d v="2037-11-13T00:00:00"/>
        <d v="2037-11-20T00:00:00"/>
        <d v="2037-11-27T00:00:00"/>
        <d v="2037-12-04T00:00:00"/>
        <d v="2037-12-11T00:00:00"/>
        <d v="2037-12-18T00:00:00"/>
        <d v="2037-12-25T00:00:00"/>
        <d v="2038-01-01T00:00:00"/>
        <d v="2038-01-08T00:00:00"/>
        <d v="2038-01-15T00:00:00"/>
        <d v="2038-01-22T00:00:00"/>
        <d v="2038-01-29T00:00:00"/>
        <d v="2038-02-05T00:00:00"/>
        <d v="2038-02-12T00:00:00"/>
        <d v="2038-02-19T00:00:00"/>
        <d v="2038-02-26T00:00:00"/>
        <d v="2038-03-05T00:00:00"/>
        <d v="2038-03-12T00:00:00"/>
        <d v="2038-03-19T00:00:00"/>
        <d v="2038-03-26T00:00:00"/>
        <d v="2038-04-02T00:00:00"/>
        <d v="2038-04-09T00:00:00"/>
        <d v="2038-04-16T00:00:00"/>
        <d v="2038-04-23T00:00:00"/>
        <d v="2038-04-30T00:00:00"/>
        <d v="2038-05-07T00:00:00"/>
        <d v="2038-05-14T00:00:00"/>
        <d v="2038-05-21T00:00:00"/>
        <d v="2038-05-28T00:00:00"/>
        <d v="2038-06-04T00:00:00"/>
        <d v="2038-06-11T00:00:00"/>
        <d v="2038-06-18T00:00:00"/>
        <d v="2038-06-25T00:00:00"/>
        <d v="2038-07-02T00:00:00"/>
        <d v="2038-07-09T00:00:00"/>
        <d v="2038-07-16T00:00:00"/>
        <d v="2038-07-23T00:00:00"/>
        <d v="2038-07-30T00:00:00"/>
        <d v="2038-08-06T00:00:00"/>
        <d v="2038-08-13T00:00:00"/>
        <d v="2038-08-20T00:00:00"/>
        <d v="2038-08-27T00:00:00"/>
        <d v="2038-09-03T00:00:00"/>
        <d v="2038-09-10T00:00:00"/>
        <d v="2038-09-17T00:00:00"/>
        <d v="2038-09-24T00:00:00"/>
        <d v="2038-10-01T00:00:00"/>
        <d v="2038-10-08T00:00:00"/>
        <d v="2038-10-15T00:00:00"/>
        <d v="2038-10-22T00:00:00"/>
        <d v="2038-10-29T00:00:00"/>
        <d v="2038-11-05T00:00:00"/>
        <d v="2038-11-12T00:00:00"/>
        <d v="2038-11-19T00:00:00"/>
        <d v="2038-11-26T00:00:00"/>
        <d v="2038-12-03T00:00:00"/>
        <d v="2038-12-10T00:00:00"/>
        <d v="2038-12-17T00:00:00"/>
        <d v="2038-12-24T00:00:00"/>
        <d v="2038-12-31T00:00:00"/>
        <d v="2039-01-07T00:00:00"/>
        <d v="2039-01-14T00:00:00"/>
        <d v="2039-01-21T00:00:00"/>
        <d v="2039-01-28T00:00:00"/>
        <d v="2039-02-04T00:00:00"/>
        <d v="2039-02-11T00:00:00"/>
        <d v="2039-02-18T00:00:00"/>
        <d v="2039-02-25T00:00:00"/>
        <d v="2039-03-04T00:00:00"/>
        <d v="2039-03-11T00:00:00"/>
        <d v="2039-03-18T00:00:00"/>
        <d v="2039-03-25T00:00:00"/>
        <d v="2039-04-01T00:00:00"/>
        <d v="2039-04-08T00:00:00"/>
        <d v="2039-04-15T00:00:00"/>
        <d v="2039-04-22T00:00:00"/>
        <d v="2039-04-29T00:00:00"/>
        <d v="2039-05-06T00:00:00"/>
        <d v="2039-05-13T00:00:00"/>
        <d v="2039-05-20T00:00:00"/>
        <d v="2039-05-27T00:00:00"/>
        <d v="2039-06-03T00:00:00"/>
        <d v="2039-06-10T00:00:00"/>
        <d v="2039-06-17T00:00:00"/>
        <d v="2039-06-24T00:00:00"/>
        <d v="2039-07-01T00:00:00"/>
        <d v="2039-07-08T00:00:00"/>
        <d v="2039-07-15T00:00:00"/>
        <d v="2039-07-22T00:00:00"/>
        <d v="2039-07-29T00:00:00"/>
        <d v="2039-08-05T00:00:00"/>
        <d v="2039-08-12T00:00:00"/>
        <d v="2039-08-19T00:00:00"/>
        <d v="2039-08-26T00:00:00"/>
        <d v="2039-09-02T00:00:00"/>
        <d v="2039-09-09T00:00:00"/>
        <d v="2039-09-16T00:00:00"/>
        <d v="2039-09-23T00:00:00"/>
        <d v="2039-09-30T00:00:00"/>
        <d v="2039-10-07T00:00:00"/>
        <d v="2039-10-14T00:00:00"/>
        <d v="2039-10-21T00:00:00"/>
        <d v="2039-10-28T00:00:00"/>
        <d v="2039-11-04T00:00:00"/>
        <d v="2039-11-11T00:00:00"/>
        <d v="2039-11-18T00:00:00"/>
        <d v="2039-11-25T00:00:00"/>
        <d v="2039-12-02T00:00:00"/>
        <d v="2039-12-09T00:00:00"/>
        <d v="2039-12-16T00:00:00"/>
        <d v="2039-12-23T00:00:00"/>
        <d v="2039-12-30T00:00:00"/>
        <d v="2040-01-06T00:00:00"/>
        <d v="2040-01-13T00:00:00"/>
        <d v="2040-01-20T00:00:00"/>
        <d v="2040-01-27T00:00:00"/>
        <d v="2040-02-03T00:00:00"/>
        <d v="2040-02-10T00:00:00"/>
        <d v="2040-02-17T00:00:00"/>
        <d v="2040-02-24T00:00:00"/>
        <d v="2040-03-02T00:00:00"/>
        <d v="2040-03-09T00:00:00"/>
        <d v="2040-03-16T00:00:00"/>
        <d v="2040-03-23T00:00:00"/>
        <d v="2040-03-30T00:00:00"/>
        <d v="2040-04-06T00:00:00"/>
        <d v="2040-04-13T00:00:00"/>
        <d v="2040-04-20T00:00:00"/>
        <d v="2040-04-27T00:00:00"/>
        <d v="2040-05-04T00:00:00"/>
        <d v="2040-05-11T00:00:00"/>
        <d v="2040-05-18T00:00:00"/>
        <d v="2040-05-25T00:00:00"/>
        <d v="2040-06-01T00:00:00"/>
        <d v="2040-06-08T00:00:00"/>
        <d v="2040-06-15T00:00:00"/>
        <d v="2040-06-22T00:00:00"/>
        <d v="2040-06-29T00:00:00"/>
        <d v="2040-07-06T00:00:00"/>
        <d v="2040-07-13T00:00:00"/>
        <d v="2040-07-20T00:00:00"/>
        <d v="2040-07-27T00:00:00"/>
        <d v="2040-08-03T00:00:00"/>
        <d v="2040-08-10T00:00:00"/>
        <d v="2040-08-17T00:00:00"/>
        <d v="2040-08-24T00:00:00"/>
        <d v="2040-08-31T00:00:00"/>
        <d v="2040-09-07T00:00:00"/>
        <d v="2040-09-14T00:00:00"/>
        <d v="2040-09-21T00:00:00"/>
        <d v="2040-09-28T00:00:00"/>
        <d v="2040-10-05T00:00:00"/>
        <d v="2040-10-12T00:00:00"/>
        <d v="2040-10-19T00:00:00"/>
        <d v="2040-10-26T00:00:00"/>
        <d v="2040-11-02T00:00:00"/>
        <d v="2040-11-09T00:00:00"/>
        <d v="2040-11-16T00:00:00"/>
        <d v="2040-11-23T00:00:00"/>
        <d v="2040-11-30T00:00:00"/>
        <d v="2040-12-07T00:00:00"/>
        <d v="2040-12-14T00:00:00"/>
        <d v="2040-12-21T00:00:00"/>
        <d v="2040-12-28T00:00:00"/>
        <d v="2041-01-04T00:00:00"/>
        <d v="2041-01-11T00:00:00"/>
        <d v="2041-01-18T00:00:00"/>
        <d v="2041-01-25T00:00:00"/>
        <d v="2041-02-01T00:00:00"/>
        <d v="2041-02-08T00:00:00"/>
        <d v="2041-02-15T00:00:00"/>
        <d v="2041-02-22T00:00:00"/>
        <d v="2041-03-01T00:00:00"/>
        <d v="2041-03-08T00:00:00"/>
        <d v="2041-03-15T00:00:00"/>
        <d v="2041-03-22T00:00:00"/>
        <d v="2041-03-29T00:00:00"/>
        <d v="2041-04-05T00:00:00"/>
        <d v="2041-04-12T00:00:00"/>
        <d v="2041-04-19T00:00:00"/>
        <d v="2041-04-26T00:00:00"/>
        <d v="2041-05-03T00:00:00"/>
        <d v="2041-05-10T00:00:00"/>
        <d v="2041-05-17T00:00:00"/>
        <d v="2041-05-24T00:00:00"/>
        <d v="2041-05-31T00:00:00"/>
        <d v="2041-06-07T00:00:00"/>
        <d v="2041-06-14T00:00:00"/>
        <d v="2041-06-21T00:00:00"/>
        <d v="2041-06-28T00:00:00"/>
        <d v="2041-07-05T00:00:00"/>
        <d v="2041-07-12T00:00:00"/>
        <d v="2041-07-19T00:00:00"/>
        <d v="2041-07-26T00:00:00"/>
        <d v="2041-08-02T00:00:00"/>
        <d v="2041-08-09T00:00:00"/>
        <d v="2041-08-16T00:00:00"/>
        <d v="2041-08-23T00:00:00"/>
        <d v="2041-08-30T00:00:00"/>
        <d v="2041-09-06T00:00:00"/>
        <d v="2041-09-13T00:00:00"/>
        <d v="2041-09-20T00:00:00"/>
        <d v="2041-09-27T00:00:00"/>
        <d v="2041-10-04T00:00:00"/>
        <d v="2041-10-11T00:00:00"/>
        <d v="2041-10-18T00:00:00"/>
        <d v="2041-10-25T00:00:00"/>
        <d v="2041-11-01T00:00:00"/>
        <d v="2041-11-08T00:00:00"/>
        <d v="2041-11-15T00:00:00"/>
        <d v="2041-11-22T00:00:00"/>
        <d v="2041-11-29T00:00:00"/>
        <d v="2041-12-06T00:00:00"/>
        <d v="2041-12-13T00:00:00"/>
        <d v="2041-12-20T00:00:00"/>
        <d v="2041-12-27T00:00:00"/>
        <d v="2042-01-03T00:00:00"/>
        <d v="2042-01-10T00:00:00"/>
        <d v="2042-01-17T00:00:00"/>
        <d v="2042-01-24T00:00:00"/>
        <d v="2042-01-31T00:00:00"/>
        <d v="2042-02-07T00:00:00"/>
        <d v="2042-02-14T00:00:00"/>
        <d v="2042-02-21T00:00:00"/>
        <d v="2042-02-28T00:00:00"/>
        <d v="2042-03-07T00:00:00"/>
        <d v="2042-03-14T00:00:00"/>
        <d v="2042-03-21T00:00:00"/>
        <d v="2042-03-28T00:00:00"/>
        <d v="2042-04-04T00:00:00"/>
        <d v="2042-04-11T00:00:00"/>
        <d v="2042-04-18T00:00:00"/>
        <d v="2042-04-25T00:00:00"/>
        <d v="2042-05-02T00:00:00"/>
        <d v="2042-05-09T00:00:00"/>
        <d v="2042-05-16T00:00:00"/>
        <d v="2042-05-23T00:00:00"/>
        <d v="2042-05-30T00:00:00"/>
        <d v="2042-06-06T00:00:00"/>
        <d v="2042-06-13T00:00:00"/>
        <d v="2042-06-20T00:00:00"/>
        <d v="2042-06-27T00:00:00"/>
        <d v="2042-07-04T00:00:00"/>
        <d v="2042-07-11T00:00:00"/>
        <d v="2042-07-18T00:00:00"/>
        <d v="2042-07-25T00:00:00"/>
        <d v="2042-08-01T00:00:00"/>
        <d v="2042-08-08T00:00:00"/>
        <d v="2042-08-15T00:00:00"/>
        <d v="2042-08-22T00:00:00"/>
        <d v="2042-08-29T00:00:00"/>
        <d v="2042-09-05T00:00:00"/>
        <d v="2042-09-12T00:00:00"/>
        <d v="2042-09-19T00:00:00"/>
        <d v="2042-09-26T00:00:00"/>
        <d v="2042-10-03T00:00:00"/>
        <d v="2042-10-10T00:00:00"/>
        <d v="2042-10-17T00:00:00"/>
        <d v="2042-10-24T00:00:00"/>
        <d v="2042-10-31T00:00:00"/>
        <d v="2042-11-07T00:00:00"/>
        <d v="2042-11-14T00:00:00"/>
        <d v="2042-11-21T00:00:00"/>
        <d v="2042-11-28T00:00:00"/>
        <d v="2042-12-05T00:00:00"/>
        <d v="2042-12-12T00:00:00"/>
        <d v="2042-12-19T00:00:00"/>
        <d v="2042-12-26T00:00:00"/>
        <d v="2043-01-02T00:00:00"/>
        <d v="2043-01-09T00:00:00"/>
        <d v="2043-01-16T00:00:00"/>
        <d v="2043-01-23T00:00:00"/>
        <d v="2043-01-30T00:00:00"/>
        <d v="2043-02-06T00:00:00"/>
        <d v="2043-02-13T00:00:00"/>
        <d v="2043-02-20T00:00:00"/>
        <d v="2043-02-27T00:00:00"/>
        <d v="2043-03-06T00:00:00"/>
        <d v="2043-03-13T00:00:00"/>
        <d v="2043-03-20T00:00:00"/>
        <d v="2043-03-27T00:00:00"/>
        <d v="2043-04-03T00:00:00"/>
        <d v="2043-04-10T00:00:00"/>
        <d v="2043-04-17T00:00:00"/>
        <d v="2043-04-24T00:00:00"/>
        <d v="2043-05-01T00:00:00"/>
        <d v="2043-05-08T00:00:00"/>
        <d v="2043-05-15T00:00:00"/>
        <d v="2043-05-22T00:00:00"/>
        <d v="2043-05-29T00:00:00"/>
        <d v="2043-06-05T00:00:00"/>
        <d v="2043-06-12T00:00:00"/>
        <d v="2043-06-19T00:00:00"/>
        <d v="2043-06-26T00:00:00"/>
        <d v="2043-07-03T00:00:00"/>
        <d v="2043-07-10T00:00:00"/>
        <d v="2043-07-17T00:00:00"/>
        <d v="2043-07-24T00:00:00"/>
        <d v="2043-07-31T00:00:00"/>
        <d v="2043-08-07T00:00:00"/>
        <d v="2043-08-14T00:00:00"/>
        <d v="2043-08-21T00:00:00"/>
        <d v="2043-08-28T00:00:00"/>
        <d v="2043-09-04T00:00:00"/>
        <d v="2043-09-11T00:00:00"/>
        <d v="2043-09-18T00:00:00"/>
        <d v="2043-09-25T00:00:00"/>
        <d v="2043-10-02T00:00:00"/>
        <d v="2043-10-09T00:00:00"/>
        <d v="2043-10-16T00:00:00"/>
        <d v="2043-10-23T00:00:00"/>
        <d v="2043-10-30T00:00:00"/>
        <d v="2043-11-06T00:00:00"/>
        <d v="2043-11-13T00:00:00"/>
        <d v="2043-11-20T00:00:00"/>
        <d v="2043-11-27T00:00:00"/>
        <d v="2043-12-04T00:00:00"/>
        <d v="2043-12-11T00:00:00"/>
        <d v="2043-12-18T00:00:00"/>
        <d v="2043-12-25T00:00:00"/>
        <d v="2044-01-01T00:00:00"/>
        <d v="2044-01-08T00:00:00"/>
        <d v="2044-01-15T00:00:00"/>
        <d v="2044-01-22T00:00:00"/>
        <d v="2044-01-29T00:00:00"/>
        <d v="2044-02-05T00:00:00"/>
        <d v="2044-02-12T00:00:00"/>
        <d v="2044-02-19T00:00:00"/>
        <d v="2044-02-26T00:00:00"/>
        <d v="2044-03-04T00:00:00"/>
        <d v="2044-03-11T00:00:00"/>
        <d v="2044-03-18T00:00:00"/>
        <d v="2044-03-25T00:00:00"/>
        <d v="2044-04-01T00:00:00"/>
        <d v="2044-04-08T00:00:00"/>
        <d v="2044-04-15T00:00:00"/>
        <d v="2044-04-22T00:00:00"/>
        <d v="2044-04-29T00:00:00"/>
        <d v="2044-05-06T00:00:00"/>
        <d v="2044-05-13T00:00:00"/>
        <d v="2044-05-20T00:00:00"/>
        <d v="2044-05-27T00:00:00"/>
        <d v="2044-06-03T00:00:00"/>
        <d v="2044-06-10T00:00:00"/>
        <d v="2044-06-17T00:00:00"/>
        <d v="2044-06-24T00:00:00"/>
        <d v="2044-07-01T00:00:00"/>
        <d v="2044-07-08T00:00:00"/>
        <d v="2044-07-15T00:00:00"/>
        <d v="2044-07-22T00:00:00"/>
        <d v="2044-07-29T00:00:00"/>
        <d v="2044-08-05T00:00:00"/>
        <d v="2044-08-12T00:00:00"/>
        <d v="2044-08-19T00:00:00"/>
        <d v="2044-08-26T00:00:00"/>
        <d v="2044-09-02T00:00:00"/>
        <d v="2044-09-09T00:00:00"/>
        <d v="2044-09-16T00:00:00"/>
        <d v="2044-09-23T00:00:00"/>
        <d v="2044-09-30T00:00:00"/>
        <d v="2044-10-07T00:00:00"/>
        <d v="2044-10-14T00:00:00"/>
        <d v="2044-10-21T00:00:00"/>
        <d v="2044-10-28T00:00:00"/>
        <d v="2044-11-04T00:00:00"/>
        <d v="2044-11-11T00:00:00"/>
        <d v="2044-11-18T00:00:00"/>
        <d v="2044-11-25T00:00:00"/>
        <d v="2044-12-02T00:00:00"/>
        <d v="2044-12-09T00:00:00"/>
        <d v="2044-12-16T00:00:00"/>
        <d v="2044-12-23T00:00:00"/>
        <d v="2044-12-30T00:00:00"/>
        <d v="2045-01-06T00:00:00"/>
        <d v="2045-01-13T00:00:00"/>
        <d v="2045-01-20T00:00:00"/>
        <d v="2045-01-27T00:00:00"/>
        <d v="2045-02-03T00:00:00"/>
        <d v="2045-02-10T00:00:00"/>
        <d v="2045-02-17T00:00:00"/>
        <d v="2045-02-24T00:00:00"/>
        <d v="2045-03-03T00:00:00"/>
        <d v="2045-03-10T00:00:00"/>
        <d v="2045-03-17T00:00:00"/>
        <d v="2045-03-24T00:00:00"/>
        <d v="2045-03-31T00:00:00"/>
        <d v="2045-04-07T00:00:00"/>
        <d v="2045-04-14T00:00:00"/>
        <d v="2045-04-21T00:00:00"/>
        <d v="2045-04-28T00:00:00"/>
        <d v="2045-05-05T00:00:00"/>
        <d v="2045-05-12T00:00:00"/>
        <d v="2045-05-19T00:00:00"/>
        <d v="2045-05-26T00:00:00"/>
        <d v="2045-06-02T00:00:00"/>
        <d v="2045-06-09T00:00:00"/>
        <d v="2045-06-16T00:00:00"/>
        <d v="2045-06-23T00:00:00"/>
        <d v="2045-06-30T00:00:00"/>
        <d v="2045-07-07T00:00:00"/>
        <d v="2045-07-14T00:00:00"/>
        <d v="2045-07-21T00:00:00"/>
        <d v="2045-07-28T00:00:00"/>
        <d v="2045-08-04T00:00:00"/>
        <d v="2045-08-11T00:00:00"/>
        <d v="2045-08-18T00:00:00"/>
        <d v="2045-08-25T00:00:00"/>
        <d v="2045-09-01T00:00:00"/>
        <d v="2045-09-08T00:00:00"/>
        <d v="2045-09-15T00:00:00"/>
        <d v="2045-09-22T00:00:00"/>
        <d v="2045-09-29T00:00:00"/>
        <d v="2045-10-06T00:00:00"/>
        <d v="2045-10-13T00:00:00"/>
        <d v="2045-10-20T00:00:00"/>
        <d v="2045-10-27T00:00:00"/>
        <d v="2045-11-03T00:00:00"/>
        <d v="2045-11-10T00:00:00"/>
        <d v="2045-11-17T00:00:00"/>
        <d v="2045-11-24T00:00:00"/>
        <d v="2045-12-01T00:00:00"/>
        <d v="2045-12-08T00:00:00"/>
        <d v="2045-12-15T00:00:00"/>
        <d v="2045-12-22T00:00:00"/>
        <d v="2045-12-29T00:00:00"/>
        <d v="2046-01-05T00:00:00"/>
        <d v="2046-01-12T00:00:00"/>
        <d v="2046-01-19T00:00:00"/>
        <d v="2046-01-26T00:00:00"/>
        <d v="2046-02-02T00:00:00"/>
        <d v="2046-02-09T00:00:00"/>
        <d v="2046-02-16T00:00:00"/>
        <d v="2046-02-23T00:00:00"/>
        <d v="2046-03-02T00:00:00"/>
        <d v="2046-03-09T00:00:00"/>
        <d v="2046-03-16T00:00:00"/>
        <d v="2046-03-23T00:00:00"/>
        <d v="2046-03-30T00:00:00"/>
        <d v="2046-04-06T00:00:00"/>
        <d v="2046-04-13T00:00:00"/>
        <d v="2046-04-20T00:00:00"/>
        <d v="2046-04-27T00:00:00"/>
        <d v="2046-05-04T00:00:00"/>
        <d v="2046-05-11T00:00:00"/>
        <d v="2046-05-18T00:00:00"/>
        <d v="2046-05-25T00:00:00"/>
        <d v="2046-06-01T00:00:00"/>
        <d v="2046-06-08T00:00:00"/>
        <d v="2046-06-15T00:00:00"/>
        <d v="2046-06-22T00:00:00"/>
        <d v="2046-06-29T00:00:00"/>
        <d v="2046-07-06T00:00:00"/>
        <d v="2046-07-13T00:00:00"/>
        <d v="2046-07-20T00:00:00"/>
        <d v="2046-07-27T00:00:00"/>
        <d v="2046-08-03T00:00:00"/>
        <d v="2046-08-10T00:00:00"/>
        <d v="2046-08-17T00:00:00"/>
        <d v="2046-08-24T00:00:00"/>
        <d v="2046-08-31T00:00:00"/>
        <d v="2046-09-07T00:00:00"/>
        <d v="2046-09-14T00:00:00"/>
        <d v="2046-09-21T00:00:00"/>
        <d v="2046-09-28T00:00:00"/>
        <d v="2046-10-05T00:00:00"/>
        <d v="2046-10-12T00:00:00"/>
        <d v="2046-10-19T00:00:00"/>
        <d v="2046-10-26T00:00:00"/>
        <d v="2046-11-02T00:00:00"/>
        <d v="2046-11-09T00:00:00"/>
        <d v="2046-11-16T00:00:00"/>
        <d v="2046-11-23T00:00:00"/>
        <d v="2046-11-30T00:00:00"/>
        <d v="2046-12-07T00:00:00"/>
        <d v="2046-12-14T00:00:00"/>
        <d v="2046-12-21T00:00:00"/>
        <d v="2046-12-28T00:00:00"/>
        <d v="2047-01-04T00:00:00"/>
        <d v="2047-01-11T00:00:00"/>
        <d v="2047-01-18T00:00:00"/>
        <d v="2047-01-25T00:00:00"/>
        <d v="2047-02-01T00:00:00"/>
        <d v="2047-02-08T00:00:00"/>
        <d v="2047-02-15T00:00:00"/>
        <d v="2047-02-22T00:00:00"/>
        <d v="2047-03-01T00:00:00"/>
        <d v="2047-03-08T00:00:00"/>
        <d v="2047-03-15T00:00:00"/>
        <d v="2047-03-22T00:00:00"/>
        <d v="2047-03-29T00:00:00"/>
        <d v="2047-04-05T00:00:00"/>
        <d v="2047-04-12T00:00:00"/>
        <d v="2047-04-19T00:00:00"/>
        <d v="2047-04-26T00:00:00"/>
        <d v="2047-05-03T00:00:00"/>
        <d v="2047-05-10T00:00:00"/>
        <d v="2047-05-17T00:00:00"/>
        <d v="2047-05-24T00:00:00"/>
        <d v="2047-05-31T00:00:00"/>
        <d v="2047-06-07T00:00:00"/>
        <d v="2047-06-14T00:00:00"/>
        <d v="2047-06-21T00:00:00"/>
        <d v="2047-06-28T00:00:00"/>
        <d v="2047-07-05T00:00:00"/>
        <d v="2047-07-12T00:00:00"/>
        <d v="2047-07-19T00:00:00"/>
        <d v="2047-07-26T00:00:00"/>
        <d v="2047-08-02T00:00:00"/>
        <d v="2047-08-09T00:00:00"/>
        <d v="2047-08-16T00:00:00"/>
        <d v="2047-08-23T00:00:00"/>
        <d v="2047-08-30T00:00:00"/>
        <d v="2047-09-06T00:00:00"/>
        <d v="2047-09-13T00:00:00"/>
        <d v="2047-09-20T00:00:00"/>
        <d v="2047-09-27T00:00:00"/>
        <d v="2047-10-04T00:00:00"/>
        <d v="2047-10-11T00:00:00"/>
        <d v="2047-10-18T00:00:00"/>
        <d v="2047-10-25T00:00:00"/>
        <d v="2047-11-01T00:00:00"/>
        <d v="2047-11-08T00:00:00"/>
        <d v="2047-11-15T00:00:00"/>
        <d v="2047-11-22T00:00:00"/>
        <d v="2047-11-29T00:00:00"/>
      </sharedItems>
      <fieldGroup par="28"/>
    </cacheField>
    <cacheField name="Fist_name" numFmtId="0">
      <sharedItems count="314">
        <s v="Rahul"/>
        <s v="Priya"/>
        <s v="Amit"/>
        <s v="Sneha"/>
        <s v="Rohan"/>
        <s v="Neha"/>
        <s v="Vikas"/>
        <s v="Anjali"/>
        <s v="Suresh"/>
        <s v="Pooja"/>
        <s v="Raj"/>
        <s v="Kiran"/>
        <s v="Arjun"/>
        <s v="Meena"/>
        <s v="Sameer"/>
        <s v="Priyanka"/>
        <s v="Aakash"/>
        <s v="Divya"/>
        <s v="Manish"/>
        <s v="Swati"/>
        <s v="Akshay"/>
        <s v="Isha"/>
        <s v="Nikhil"/>
        <s v="Shreya"/>
        <s v="Omkar"/>
        <s v="Riya"/>
        <s v="Aditya"/>
        <s v="Tanvi"/>
        <s v="Harsh"/>
        <s v="Mitali"/>
        <s v="Siddharth"/>
        <s v="Kavya"/>
        <s v="Pranav"/>
        <s v="Ananya"/>
        <s v="Varun"/>
        <s v="Simran"/>
        <s v="Manav"/>
        <s v="Aarohi"/>
        <s v="Yash"/>
        <s v="Myra"/>
        <s v="Devendra"/>
        <s v="Saumya"/>
        <s v="Chirag"/>
        <s v="Pallavi"/>
        <s v="Ritesh"/>
        <s v="Nandini"/>
        <s v="Abhishek"/>
        <s v="Trisha"/>
        <s v="Kunal"/>
        <s v="Diya"/>
        <s v="Anirudh"/>
        <s v="Radhika"/>
        <s v="Shubham"/>
        <s v="Aditi"/>
        <s v="Tejas"/>
        <s v="Meher"/>
        <s v="Parth"/>
        <s v="Sana"/>
        <s v="Abhinav"/>
        <s v="Muskaan"/>
        <s v="Shreyas"/>
        <s v="Vaishnavi"/>
        <s v="Akash"/>
        <s v="Roshni"/>
        <s v="Mayur"/>
        <s v="Heena"/>
        <s v="Swapnil"/>
        <s v="Komal"/>
        <s v="Deepak"/>
        <s v="Nisha"/>
        <s v="Harshit"/>
        <s v="Ekta"/>
        <s v="Neelam"/>
        <s v="Dhruv"/>
        <s v="Ayesha"/>
        <s v="Jayesh"/>
        <s v="Palak"/>
        <s v="Abhay"/>
        <s v="Anushka"/>
        <s v="Sachin"/>
        <s v="Manisha"/>
        <s v="Pratik"/>
        <s v="Sonali"/>
        <s v="Rajat"/>
        <s v="Shalini"/>
        <s v="Amol"/>
        <s v="Reema"/>
        <s v="Varsha"/>
        <s v="Arvind"/>
        <s v="Chaitanya"/>
        <s v="Swara"/>
        <s v="Rohit"/>
        <s v="Poonam"/>
        <s v="Shantanu"/>
        <s v="Farah"/>
        <s v="Hemant"/>
        <s v="Rupali"/>
        <s v="Vivek"/>
        <s v="Sakshi"/>
        <s v="Milind"/>
        <s v="Shivani"/>
        <s v="Kaustubh"/>
        <s v="Leena"/>
        <s v="Gaurav"/>
        <s v="Reshma"/>
        <s v="Nachiket"/>
        <s v="Charu"/>
        <s v="Pradeep"/>
        <s v="Ruchi"/>
        <s v="Mayank"/>
        <s v="Shweta"/>
        <s v="Prakash"/>
        <s v="Ankita"/>
        <s v="Mahesh"/>
        <s v="Kirti"/>
        <s v="Sagar"/>
        <s v="Manasi"/>
        <s v="Tushar"/>
        <s v="Deepali"/>
        <s v="Prasad"/>
        <s v="Tejal"/>
        <s v="Onkar"/>
        <s v="Madhura"/>
        <s v="Ajit"/>
        <s v="Pranali"/>
        <s v="Rushikesh"/>
        <s v="Sonam"/>
        <s v="Abhijeet"/>
        <s v="Monali"/>
        <s v="Swapna"/>
        <s v="Raghav"/>
        <s v="Ankit"/>
        <s v="Prachi"/>
        <s v="Akshara"/>
        <s v="Manoj"/>
        <s v="Krishna"/>
        <s v="Lakshmi"/>
        <s v="Arun"/>
        <s v="Megha"/>
        <s v="Suraj"/>
        <s v="Namrata"/>
        <s v="Praveen"/>
        <s v="Harini"/>
        <s v="Naveen"/>
        <s v="Sai"/>
        <s v="Keerthana"/>
        <s v="Deepa"/>
        <s v="Girish"/>
        <s v="Anusha"/>
        <s v="Vijay"/>
        <s v="Harish"/>
        <s v="Shilpa"/>
        <s v="Ramesh"/>
        <s v="Swetha"/>
        <s v="Amrutha"/>
        <s v="Joseph"/>
        <s v="Thomas"/>
        <s v="Maya"/>
        <s v="Elsa"/>
        <s v="George"/>
        <s v="Mathew"/>
        <s v="Grace"/>
        <s v="Antony"/>
        <s v="Liya"/>
        <s v="Basil"/>
        <s v="Anu"/>
        <s v="Rajeev"/>
        <s v="Deepthi"/>
        <s v="Ajay"/>
        <s v="Remya"/>
        <s v="Sanjay"/>
        <s v="Meera"/>
        <s v="Manu"/>
        <s v="Sharon"/>
        <s v="Philip"/>
        <s v="Ann"/>
        <s v="Josephine"/>
        <s v="Vinod"/>
        <s v="Sreeram"/>
        <s v="Anitha"/>
        <s v="Bindu"/>
        <s v="Sunil"/>
        <s v="Asha"/>
        <s v="Krishnan"/>
        <s v="Rekha"/>
        <s v="Harikrishnan"/>
        <s v="Amala"/>
        <s v="Jincy"/>
        <s v="Sobin"/>
        <s v="Anju"/>
        <s v="Paul"/>
        <s v="Merin"/>
        <s v="Alex"/>
        <s v="Elsy"/>
        <s v="Sheeba"/>
        <s v="Maria"/>
        <s v="Francis"/>
        <s v="Merlyn"/>
        <s v="Adwait"/>
        <s v="Mrunal"/>
        <s v="Chinmay"/>
        <s v="Ishita"/>
        <s v="Abhiraj"/>
        <s v="Rutuja"/>
        <s v="Manas"/>
        <s v="Shalmali"/>
        <s v="Tejaswini"/>
        <s v="Ronit"/>
        <s v="Avani"/>
        <s v="Neel"/>
        <s v="Saee"/>
        <s v="Soham"/>
        <s v="Urvi"/>
        <s v="Arnav"/>
        <s v="Ketaki"/>
        <s v="Varad"/>
        <s v="Mihika"/>
        <s v="Dhananjay"/>
        <s v="Esha"/>
        <s v="Om"/>
        <s v="Anvi"/>
        <s v="Rudra"/>
        <s v="Maithili"/>
        <s v="Anish"/>
        <s v="Shruti"/>
        <s v="Parthiv"/>
        <s v="Devika"/>
        <s v="Harshvardhan"/>
        <s v="Anushree"/>
        <s v="Yuvraj"/>
        <s v="Apeksha"/>
        <s v="Shrikant"/>
        <s v="Mansi"/>
        <s v="Reyansh"/>
        <s v="Shlok"/>
        <s v="Prisha"/>
        <s v="Chaitali"/>
        <s v="Aarya"/>
        <s v="Ronak"/>
        <s v="Sanika"/>
        <s v="Ria"/>
        <s v="Suyog"/>
        <s v="Shreeya"/>
        <s v="Jayant"/>
        <s v="Amruta"/>
        <s v="Vedant"/>
        <s v="Shubhangi"/>
        <s v="Mrunmayee"/>
        <s v="Riddhi"/>
        <s v="Sayali"/>
        <s v="Pranita"/>
        <s v="Mugdha"/>
        <s v="Samarth"/>
        <s v="Niranjan"/>
        <s v="Shashank"/>
        <s v="Vrushali"/>
        <s v="Parag"/>
        <s v="Rupal"/>
        <s v="Shivangi"/>
        <s v="Yatin"/>
        <s v="Anagha"/>
        <s v="Vinayak"/>
        <s v="Pradnya"/>
        <s v="Rasika"/>
        <s v="Revati"/>
        <s v="Ameya"/>
        <s v="Ninad"/>
        <s v="Mrudula"/>
        <s v="Prathamesh"/>
        <s v="Kedar"/>
        <s v="Rucha"/>
        <s v="Suyash"/>
        <s v="Tejashree"/>
        <s v="Aishwarya"/>
        <s v="Vaidehi"/>
        <s v="Vishal"/>
        <s v="Aarti"/>
        <s v="Jaydeep"/>
        <s v="Rajvardhan"/>
        <s v="Meenal"/>
        <s v="Yogesh"/>
        <s v="Aniket"/>
        <s v="Sarthak"/>
        <s v="Harshad"/>
        <s v="Sanket"/>
        <s v="Manjiri"/>
        <s v="Ashwini"/>
        <s v="Madhavi"/>
        <s v="Aniruddha"/>
        <s v="Mandar"/>
        <s v="Snehal"/>
        <s v="Atul"/>
        <s v="Pravin"/>
        <s v="Kavita"/>
        <s v="Nilesh"/>
        <s v="Shailesh"/>
        <s v="Dinesh"/>
        <s v="Ajinkya"/>
        <s v="Sharmila"/>
        <s v="Ranjana"/>
        <s v="Aparna"/>
        <s v="Rajendra"/>
        <s v="Monika"/>
        <s v="Shirish"/>
        <s v="Alka"/>
        <s v="Nitin"/>
        <s v="Archana"/>
        <s v="Sandeep"/>
        <s v="Smita"/>
        <s v="Geeta"/>
        <s v="Prashant"/>
        <s v="Ganesh"/>
        <s v="Rajiv"/>
        <s v="Alisha"/>
      </sharedItems>
    </cacheField>
    <cacheField name="Last_name" numFmtId="0">
      <sharedItems count="168">
        <s v="Patil"/>
        <s v="Shah"/>
        <s v="Kumar"/>
        <s v="Joshi"/>
        <s v="Mehta"/>
        <s v="Singh"/>
        <s v="Rao"/>
        <s v="Verma"/>
        <s v="Khan"/>
        <s v="Deshmukh"/>
        <s v="Kulkarni"/>
        <s v="Bhosale"/>
        <s v="Nair"/>
        <s v="Jadhav"/>
        <s v="Chavan"/>
        <s v="Sawant"/>
        <s v="More"/>
        <s v="Vora"/>
        <s v="Kapoor"/>
        <s v="Malhotra"/>
        <s v="Iyer"/>
        <s v="Rane"/>
        <s v="Shetty"/>
        <s v="Kaur"/>
        <s v="Sethi"/>
        <s v="Thakur"/>
        <s v="Fernandes"/>
        <s v="Pawar"/>
        <s v="Agarwal"/>
        <s v="Jain"/>
        <s v="Gokhale"/>
        <s v="Mahajan"/>
        <s v="Bose"/>
        <s v="Tiwari"/>
        <s v="Mukherjee"/>
        <s v="Soni"/>
        <s v="Menon"/>
        <s v="Pillai"/>
        <s v="Mishra"/>
        <s v="Saxena"/>
        <s v="Kamat"/>
        <s v="Trivedi"/>
        <s v="Qureshi"/>
        <s v="Gupta"/>
        <s v="Arora"/>
        <s v="Bhat"/>
        <s v="Sinha"/>
        <s v="Khedekar"/>
        <s v="Shaikh"/>
        <s v="Wagh"/>
        <s v="Yadav"/>
        <s v="Bansal"/>
        <s v="Choudhary"/>
        <s v="Parmar"/>
        <s v="Rawat"/>
        <s v="Roy"/>
        <s v="Reddy"/>
        <s v="Gawde"/>
        <s v="Deshpande"/>
        <s v="Zende"/>
        <s v="Das"/>
        <s v="Nambiar"/>
        <s v="Bhandari"/>
        <s v="Khatri"/>
        <s v="Ansari"/>
        <s v="Patwardhan"/>
        <s v="Raut"/>
        <s v="Naik"/>
        <s v="Jagtap"/>
        <s v="Desai"/>
        <s v="Thomas"/>
        <s v="Singhania"/>
        <s v="Bapat"/>
        <s v="Suri"/>
        <s v="Srivastava"/>
        <s v="Sheikh"/>
        <s v="Naidu"/>
        <s v="Vaidya"/>
        <s v="Borkar"/>
        <s v="Shinde"/>
        <s v="Khot"/>
        <s v="Karmarkar"/>
        <s v="Salve"/>
        <s v="Kale"/>
        <s v="Gawande"/>
        <s v="Dhumal"/>
        <s v="Bhagat"/>
        <s v="Mhatre"/>
        <s v="Shukla"/>
        <s v="Solanki"/>
        <s v="Vyas"/>
        <s v="Dube"/>
        <s v="Murthy"/>
        <s v="Krishnan"/>
        <s v="Prakash"/>
        <s v="Kiran"/>
        <s v="Gowda"/>
        <s v="Pai"/>
        <s v="Hegde"/>
        <s v="Nayak"/>
        <s v="Mathew"/>
        <s v="George"/>
        <s v="Joseph"/>
        <s v="Kurian"/>
        <s v="Varghese"/>
        <s v="Paul"/>
        <s v="Kurup"/>
        <s v="Maria"/>
        <s v="Varma"/>
        <s v="Ranade"/>
        <s v="Bendre"/>
        <s v="Apte"/>
        <s v="Lele"/>
        <s v="Inamdar"/>
        <s v="Datar"/>
        <s v="Oak"/>
        <s v="Mankar"/>
        <s v="Sardesai"/>
        <s v="Prabhu"/>
        <s v="Limaye"/>
        <s v="Tamhane"/>
        <s v="Moghe"/>
        <s v="Kothari"/>
        <s v="Vartak"/>
        <s v="Pansare"/>
        <s v="Kelkar"/>
        <s v="Bhave"/>
        <s v="Modak"/>
        <s v="Bhide"/>
        <s v="Purohit"/>
        <s v="Bhonsle"/>
        <s v="Chitale"/>
        <s v="Dighe"/>
        <s v="Keni"/>
        <s v="Damle"/>
        <s v="Tare"/>
        <s v="Pote"/>
        <s v="Mahadik"/>
        <s v="Mistry"/>
        <s v="Vaze"/>
        <s v="Karkhanis"/>
        <s v="Soman"/>
        <s v="Gupte"/>
        <s v="Kunte"/>
        <s v="Saraf"/>
        <s v="Salunkhe"/>
        <s v="Kharat"/>
        <s v="Korde"/>
        <s v="Dandekar"/>
        <s v="Puranik"/>
        <s v="Waghmare"/>
        <s v="Ingle"/>
        <s v="Pande"/>
        <s v="Dhere"/>
        <s v="Sane"/>
        <s v="Kelekar"/>
        <s v="Ghadge"/>
        <s v="Kumbhar"/>
        <s v="Thorat"/>
        <s v="Shirole"/>
        <s v="Phadke"/>
        <s v="Joglekar"/>
        <s v="Gite"/>
        <s v="Bhalerao"/>
        <s v="Nene"/>
        <s v="Mane"/>
        <s v="Khandekar"/>
        <s v="Sutar"/>
      </sharedItems>
    </cacheField>
    <cacheField name="Customer_Age" numFmtId="0">
      <sharedItems containsSemiMixedTypes="0" containsString="0" containsNumber="1" containsInteger="1" minValue="23" maxValue="55" count="33">
        <n v="28"/>
        <n v="34"/>
        <n v="41"/>
        <n v="26"/>
        <n v="39"/>
        <n v="31"/>
        <n v="29"/>
        <n v="37"/>
        <n v="45"/>
        <n v="25"/>
        <n v="33"/>
        <n v="42"/>
        <n v="30"/>
        <n v="36"/>
        <n v="40"/>
        <n v="27"/>
        <n v="35"/>
        <n v="24"/>
        <n v="43"/>
        <n v="32"/>
        <n v="38"/>
        <n v="23"/>
        <n v="44"/>
        <n v="46"/>
        <n v="47"/>
        <n v="48"/>
        <n v="51"/>
        <n v="49"/>
        <n v="50"/>
        <n v="52"/>
        <n v="55"/>
        <n v="54"/>
        <n v="53"/>
      </sharedItems>
    </cacheField>
    <cacheField name="Gender" numFmtId="0">
      <sharedItems count="2">
        <s v="Male"/>
        <s v="Female"/>
      </sharedItems>
    </cacheField>
    <cacheField name="City" numFmtId="0">
      <sharedItems count="56">
        <s v="Mumbai"/>
        <s v="Bengaluru"/>
        <s v="Delhi"/>
        <s v="Pune"/>
        <s v="Ahmedabad"/>
        <s v="Hyderabad"/>
        <s v="Nagpur"/>
        <s v="Jaipur"/>
        <s v="Kolkata"/>
        <s v="Chennai"/>
        <s v="Nashik"/>
        <s v="Thane"/>
        <s v="Kolhapur"/>
        <s v="Aurangabad"/>
        <s v="Goa"/>
        <s v="Chandigarh"/>
        <s v="Surat"/>
        <s v="Indore"/>
        <s v="Dehradun"/>
        <s v="Lucknow"/>
        <s v="Vadodara"/>
        <s v="Kanpur"/>
        <s v="Kochi"/>
        <s v="Coimbatore"/>
        <s v="Bhopal"/>
        <s v="Noida"/>
        <s v="Panaji"/>
        <s v="Rajkot"/>
        <s v="Amritsar"/>
        <s v="Satara"/>
        <s v="Mangaluru"/>
        <s v="Patna"/>
        <s v="Amravati"/>
        <s v="Ludhiana"/>
        <s v="Meerut"/>
        <s v="Jodhpur"/>
        <s v="Gurugram"/>
        <s v="Agra"/>
        <s v="Akola"/>
        <s v="Bhubaneswar"/>
        <s v="Thiruvananthapuram"/>
        <s v="Visakhapatnam"/>
        <s v="Solapur"/>
        <s v="Sangli"/>
        <s v="Varanasi"/>
        <s v="Vijayawada"/>
        <s v="Mysuru"/>
        <s v="Warangal"/>
        <s v="Udupi"/>
        <s v="Kozhikode"/>
        <s v="Kottayam"/>
        <s v="Thrissur"/>
        <s v="Alappuzha"/>
        <s v="Kollam"/>
        <s v="Ahmednagar"/>
        <s v="Navi Mumbai"/>
      </sharedItems>
    </cacheField>
    <cacheField name="State" numFmtId="0">
      <sharedItems count="19">
        <s v="Maharashtra"/>
        <s v="Karnataka"/>
        <s v="Delhi"/>
        <s v="Gujarat"/>
        <s v="Telangana"/>
        <s v="Rajasthan"/>
        <s v="West Bengal"/>
        <s v="Tamil Nadu"/>
        <s v="Goa"/>
        <s v="Chandigarh"/>
        <s v="Madhya Pradesh"/>
        <s v="Uttarakhand"/>
        <s v="Uttar Pradesh"/>
        <s v="Kerala"/>
        <s v="Punjab"/>
        <s v="Bihar"/>
        <s v="Haryana"/>
        <s v="Odisha"/>
        <s v="Andhra Pradesh"/>
      </sharedItems>
    </cacheField>
    <cacheField name="Region" numFmtId="0">
      <sharedItems count="5">
        <s v="West"/>
        <s v="South"/>
        <s v="North"/>
        <s v="East"/>
        <s v="Central"/>
      </sharedItems>
    </cacheField>
    <cacheField name="Segment" numFmtId="0">
      <sharedItems/>
    </cacheField>
    <cacheField name="Category" numFmtId="0">
      <sharedItems count="3">
        <s v="Electronics"/>
        <s v="Furniture"/>
        <s v="Office Supplies"/>
      </sharedItems>
    </cacheField>
    <cacheField name="Sub_Category" numFmtId="0">
      <sharedItems/>
    </cacheField>
    <cacheField name="Product" numFmtId="0">
      <sharedItems count="13">
        <s v="Laptop"/>
        <s v="Office Chair"/>
        <s v="Monitor"/>
        <s v="Printer Paper"/>
        <s v="Office Desk"/>
        <s v="Keyboard"/>
        <s v="Mouse"/>
        <s v="Notebook"/>
        <s v="Filing Cabinet"/>
        <s v="Printer"/>
        <s v="Pen Set"/>
        <s v="Conference Table"/>
        <s v="File Folder"/>
      </sharedItems>
    </cacheField>
    <cacheField name="Sales" numFmtId="0">
      <sharedItems containsSemiMixedTypes="0" containsString="0" containsNumber="1" containsInteger="1" minValue="450" maxValue="149000"/>
    </cacheField>
    <cacheField name="Quantity" numFmtId="0">
      <sharedItems containsSemiMixedTypes="0" containsString="0" containsNumber="1" containsInteger="1" minValue="1" maxValue="25" count="14">
        <n v="1"/>
        <n v="2"/>
        <n v="10"/>
        <n v="3"/>
        <n v="5"/>
        <n v="15"/>
        <n v="20"/>
        <n v="12"/>
        <n v="8"/>
        <n v="4"/>
        <n v="6"/>
        <n v="25"/>
        <n v="7"/>
        <n v="18"/>
      </sharedItems>
    </cacheField>
    <cacheField name="Discount" numFmtId="164">
      <sharedItems containsSemiMixedTypes="0" containsString="0" containsNumber="1" minValue="0" maxValue="0.1"/>
    </cacheField>
    <cacheField name="Profit" numFmtId="0">
      <sharedItems containsSemiMixedTypes="0" containsString="0" containsNumber="1" containsInteger="1" minValue="120" maxValue="17800"/>
    </cacheField>
    <cacheField name="Payment_Mode" numFmtId="0">
      <sharedItems count="4">
        <s v="UPI"/>
        <s v="Credit Card"/>
        <s v="Debit Card"/>
        <s v="Cash"/>
      </sharedItems>
    </cacheField>
    <cacheField name="Shipping_Mode" numFmtId="0">
      <sharedItems/>
    </cacheField>
    <cacheField name="Order_Status" numFmtId="0">
      <sharedItems/>
    </cacheField>
    <cacheField name="Customer_Rating" numFmtId="0">
      <sharedItems containsSemiMixedTypes="0" containsString="0" containsNumber="1" containsInteger="1" minValue="3" maxValue="5"/>
    </cacheField>
    <cacheField name="Month" numFmtId="0">
      <sharedItems/>
    </cacheField>
    <cacheField name="Total_profit" numFmtId="0">
      <sharedItems containsSemiMixedTypes="0" containsString="0" containsNumber="1" containsInteger="1" minValue="3120" maxValue="4919470" count="1200">
        <n v="4919470"/>
        <n v="4912470"/>
        <n v="4910870"/>
        <n v="4907670"/>
        <n v="4906770"/>
        <n v="4904270"/>
        <n v="4903670"/>
        <n v="4903320"/>
        <n v="4903200"/>
        <n v="4901100"/>
        <n v="4898400"/>
        <n v="4898220"/>
        <n v="4894020"/>
        <n v="4887220"/>
        <n v="4886970"/>
        <n v="4885070"/>
        <n v="4881670"/>
        <n v="4880820"/>
        <n v="4878520"/>
        <n v="4877870"/>
        <n v="4877480"/>
        <n v="4869980"/>
        <n v="4868380"/>
        <n v="4865380"/>
        <n v="4865240"/>
        <n v="4862640"/>
        <n v="4862020"/>
        <n v="4861720"/>
        <n v="4860800"/>
        <n v="4858600"/>
        <n v="4855800"/>
        <n v="4855600"/>
        <n v="4851600"/>
        <n v="4844500"/>
        <n v="4844220"/>
        <n v="4842370"/>
        <n v="4838770"/>
        <n v="4837870"/>
        <n v="4835470"/>
        <n v="4834770"/>
        <n v="4834400"/>
        <n v="4826400"/>
        <n v="4824650"/>
        <n v="4821500"/>
        <n v="4821370"/>
        <n v="4818470"/>
        <n v="4817790"/>
        <n v="4817380"/>
        <n v="4816430"/>
        <n v="4814280"/>
        <n v="4811530"/>
        <n v="4803930"/>
        <n v="4802230"/>
        <n v="4799180"/>
        <n v="4799045"/>
        <n v="4796295"/>
        <n v="4795685"/>
        <n v="4795325"/>
        <n v="4794345"/>
        <n v="4792165"/>
        <n v="4789315"/>
        <n v="4789125"/>
        <n v="4784825"/>
        <n v="4777625"/>
        <n v="4777385"/>
        <n v="4775435"/>
        <n v="4771935"/>
        <n v="4771065"/>
        <n v="4768565"/>
        <n v="4767875"/>
        <n v="4767525"/>
        <n v="4759725"/>
        <n v="4758075"/>
        <n v="4754825"/>
        <n v="4754685"/>
        <n v="4752035"/>
        <n v="4751385"/>
        <n v="4751055"/>
        <n v="4750115"/>
        <n v="4747865"/>
        <n v="4745085"/>
        <n v="4744875"/>
        <n v="4740775"/>
        <n v="4733475"/>
        <n v="4733205"/>
        <n v="4731405"/>
        <n v="4727855"/>
        <n v="4726925"/>
        <n v="4724375"/>
        <n v="4723655"/>
        <n v="4723255"/>
        <n v="4715155"/>
        <n v="4713375"/>
        <n v="4710275"/>
        <n v="4710150"/>
        <n v="4707300"/>
        <n v="4706670"/>
        <n v="4706250"/>
        <n v="4705290"/>
        <n v="4703100"/>
        <n v="4700300"/>
        <n v="4693100"/>
        <n v="4691350"/>
        <n v="4688200"/>
        <n v="4688055"/>
        <n v="4685375"/>
        <n v="4684715"/>
        <n v="4684375"/>
        <n v="4683385"/>
        <n v="4681245"/>
        <n v="4678525"/>
        <n v="4678330"/>
        <n v="4674130"/>
        <n v="4666880"/>
        <n v="4666620"/>
        <n v="4664740"/>
        <n v="4661260"/>
        <n v="4660390"/>
        <n v="4657870"/>
        <n v="4657175"/>
        <n v="4656810"/>
        <n v="4648910"/>
        <n v="4647220"/>
        <n v="4644040"/>
        <n v="4643902"/>
        <n v="4640982"/>
        <n v="4640357"/>
        <n v="4640022"/>
        <n v="4639072"/>
        <n v="4636832"/>
        <n v="4634012"/>
        <n v="4633807"/>
        <n v="4629657"/>
        <n v="4622257"/>
        <n v="4621982"/>
        <n v="4620152"/>
        <n v="4616632"/>
        <n v="4615692"/>
        <n v="4613092"/>
        <n v="4612357"/>
        <n v="4611972"/>
        <n v="4603822"/>
        <n v="4602022"/>
        <n v="4598742"/>
        <n v="4598610"/>
        <n v="4595610"/>
        <n v="4594940"/>
        <n v="4594535"/>
        <n v="4593565"/>
        <n v="4591395"/>
        <n v="4588495"/>
        <n v="4588280"/>
        <n v="4583930"/>
        <n v="4576430"/>
        <n v="4576140"/>
        <n v="4574220"/>
        <n v="4570570"/>
        <n v="4569650"/>
        <n v="4566980"/>
        <n v="4566230"/>
        <n v="4565815"/>
        <n v="4557765"/>
        <n v="4555995"/>
        <n v="4552645"/>
        <n v="4552495"/>
        <n v="4549625"/>
        <n v="4548985"/>
        <n v="4548630"/>
        <n v="4547630"/>
        <n v="4545340"/>
        <n v="4542390"/>
        <n v="4542170"/>
        <n v="4537750"/>
        <n v="4530400"/>
        <n v="4530120"/>
        <n v="4528140"/>
        <n v="4524420"/>
        <n v="4523470"/>
        <n v="4520720"/>
        <n v="4519940"/>
        <n v="4519510"/>
        <n v="4511210"/>
        <n v="4509390"/>
        <n v="4505990"/>
        <n v="4505835"/>
        <n v="4502855"/>
        <n v="4502165"/>
        <n v="4501720"/>
        <n v="4500690"/>
        <n v="4498340"/>
        <n v="4495320"/>
        <n v="4495090"/>
        <n v="4490540"/>
        <n v="4482940"/>
        <n v="4482640"/>
        <n v="4480590"/>
        <n v="4476790"/>
        <n v="4475810"/>
        <n v="4472960"/>
        <n v="4472150"/>
        <n v="4471690"/>
        <n v="4463290"/>
        <n v="4461390"/>
        <n v="4457940"/>
        <n v="4457780"/>
        <n v="4454680"/>
        <n v="4453960"/>
        <n v="4453490"/>
        <n v="4452430"/>
        <n v="4450030"/>
        <n v="4446930"/>
        <n v="4446690"/>
        <n v="4442070"/>
        <n v="4434320"/>
        <n v="4434010"/>
        <n v="4431910"/>
        <n v="4427960"/>
        <n v="4426950"/>
        <n v="4424000"/>
        <n v="4423170"/>
        <n v="4422690"/>
        <n v="4414190"/>
        <n v="4412240"/>
        <n v="4408690"/>
        <n v="4408525"/>
        <n v="4405275"/>
        <n v="4404525"/>
        <n v="4404025"/>
        <n v="4402925"/>
        <n v="4400445"/>
        <n v="4397265"/>
        <n v="4397015"/>
        <n v="4392265"/>
        <n v="4384365"/>
        <n v="4384045"/>
        <n v="4381865"/>
        <n v="4377765"/>
        <n v="4376705"/>
        <n v="4373655"/>
        <n v="4372805"/>
        <n v="4372285"/>
        <n v="4363535"/>
        <n v="4361515"/>
        <n v="4357835"/>
        <n v="4357665"/>
        <n v="4354295"/>
        <n v="4353515"/>
        <n v="4352975"/>
        <n v="4351835"/>
        <n v="4349285"/>
        <n v="4346025"/>
        <n v="4345765"/>
        <n v="4340865"/>
        <n v="4332815"/>
        <n v="4332485"/>
        <n v="4330235"/>
        <n v="4325985"/>
        <n v="4324865"/>
        <n v="4321685"/>
        <n v="4320805"/>
        <n v="4320245"/>
        <n v="4311245"/>
        <n v="4309165"/>
        <n v="4305345"/>
        <n v="4305170"/>
        <n v="4301670"/>
        <n v="4300860"/>
        <n v="4300280"/>
        <n v="4299100"/>
        <n v="4296470"/>
        <n v="4293120"/>
        <n v="4292850"/>
        <n v="4287800"/>
        <n v="4279600"/>
        <n v="4279260"/>
        <n v="4276940"/>
        <n v="4272540"/>
        <n v="4271360"/>
        <n v="4268060"/>
        <n v="4267150"/>
        <n v="4266550"/>
        <n v="4257300"/>
        <n v="4255150"/>
        <n v="4251200"/>
        <n v="4251020"/>
        <n v="4247370"/>
        <n v="4246530"/>
        <n v="4245910"/>
        <n v="4244690"/>
        <n v="4241990"/>
        <n v="4238540"/>
        <n v="4238260"/>
        <n v="4233060"/>
        <n v="4224660"/>
        <n v="4224310"/>
        <n v="4221910"/>
        <n v="4217360"/>
        <n v="4216120"/>
        <n v="4212670"/>
        <n v="4211730"/>
        <n v="4211080"/>
        <n v="4201580"/>
        <n v="4199380"/>
        <n v="4195280"/>
        <n v="4195090"/>
        <n v="4191310"/>
        <n v="4190440"/>
        <n v="4189770"/>
        <n v="4188490"/>
        <n v="4185710"/>
        <n v="4182190"/>
        <n v="4181900"/>
        <n v="4176550"/>
        <n v="4167950"/>
        <n v="4167585"/>
        <n v="4165065"/>
        <n v="4160365"/>
        <n v="4159075"/>
        <n v="4155495"/>
        <n v="4154525"/>
        <n v="4153825"/>
        <n v="4144125"/>
        <n v="4141845"/>
        <n v="4137595"/>
        <n v="4137400"/>
        <n v="4133500"/>
        <n v="4132600"/>
        <n v="4131890"/>
        <n v="4130560"/>
        <n v="4127700"/>
        <n v="4124100"/>
        <n v="4123800"/>
        <n v="4118320"/>
        <n v="4109520"/>
        <n v="4109140"/>
        <n v="4106520"/>
        <n v="4101670"/>
        <n v="4100330"/>
        <n v="4096630"/>
        <n v="4095630"/>
        <n v="4094900"/>
        <n v="4085000"/>
        <n v="4082650"/>
        <n v="4078250"/>
        <n v="4078050"/>
        <n v="4074000"/>
        <n v="4073070"/>
        <n v="4072320"/>
        <n v="4070940"/>
        <n v="4068000"/>
        <n v="4064320"/>
        <n v="4064010"/>
        <n v="4058390"/>
        <n v="4049390"/>
        <n v="4048995"/>
        <n v="4046295"/>
        <n v="4041295"/>
        <n v="4039905"/>
        <n v="4036085"/>
        <n v="4035065"/>
        <n v="4034285"/>
        <n v="4024185"/>
        <n v="4021765"/>
        <n v="4017215"/>
        <n v="4017005"/>
        <n v="4012805"/>
        <n v="4011845"/>
        <n v="4011045"/>
        <n v="4009615"/>
        <n v="4006595"/>
        <n v="4002835"/>
        <n v="4002515"/>
        <n v="3996765"/>
        <n v="3987565"/>
        <n v="3987155"/>
        <n v="3984355"/>
        <n v="3979205"/>
        <n v="3977755"/>
        <n v="3973805"/>
        <n v="3972755"/>
        <n v="3971935"/>
        <n v="3961635"/>
        <n v="3959135"/>
        <n v="3954435"/>
        <n v="3954215"/>
        <n v="3949865"/>
        <n v="3948875"/>
        <n v="3948035"/>
        <n v="3946555"/>
        <n v="3943455"/>
        <n v="3939605"/>
        <n v="3939275"/>
        <n v="3933375"/>
        <n v="3923975"/>
        <n v="3923550"/>
        <n v="3920650"/>
        <n v="3915350"/>
        <n v="3913840"/>
        <n v="3909760"/>
        <n v="3908680"/>
        <n v="3907820"/>
        <n v="3897320"/>
        <n v="3894740"/>
        <n v="3889890"/>
        <n v="3889665"/>
        <n v="3885185"/>
        <n v="3884165"/>
        <n v="3883275"/>
        <n v="3881745"/>
        <n v="3878565"/>
        <n v="3874625"/>
        <n v="3874285"/>
        <n v="3868235"/>
        <n v="3858635"/>
        <n v="3858195"/>
        <n v="3855195"/>
        <n v="3849745"/>
        <n v="3848185"/>
        <n v="3843985"/>
        <n v="3842875"/>
        <n v="3841965"/>
        <n v="3831265"/>
        <n v="3828615"/>
        <n v="3823615"/>
        <n v="3823385"/>
        <n v="3818765"/>
        <n v="3817715"/>
        <n v="3816775"/>
        <n v="3815195"/>
        <n v="3811935"/>
        <n v="3807915"/>
        <n v="3807565"/>
        <n v="3801365"/>
        <n v="3791565"/>
        <n v="3791115"/>
        <n v="3788015"/>
        <n v="3782415"/>
        <n v="3780805"/>
        <n v="3776485"/>
        <n v="3775345"/>
        <n v="3774385"/>
        <n v="3763485"/>
        <n v="3760765"/>
        <n v="3755615"/>
        <n v="3755380"/>
        <n v="3750620"/>
        <n v="3749540"/>
        <n v="3748570"/>
        <n v="3746940"/>
        <n v="3743600"/>
        <n v="3739500"/>
        <n v="3739140"/>
        <n v="3732790"/>
        <n v="3722790"/>
        <n v="3722325"/>
        <n v="3719125"/>
        <n v="3713375"/>
        <n v="3711715"/>
        <n v="3707275"/>
        <n v="3706105"/>
        <n v="3705105"/>
        <n v="3694005"/>
        <n v="3691205"/>
        <n v="3685905"/>
        <n v="3685665"/>
        <n v="3680765"/>
        <n v="3679655"/>
        <n v="3678625"/>
        <n v="3676945"/>
        <n v="3673525"/>
        <n v="3669345"/>
        <n v="3668975"/>
        <n v="3662475"/>
        <n v="3652275"/>
        <n v="3651795"/>
        <n v="3648495"/>
        <n v="3642595"/>
        <n v="3640885"/>
        <n v="3636325"/>
        <n v="3635125"/>
        <n v="3634075"/>
        <n v="3622775"/>
        <n v="3619895"/>
        <n v="3614445"/>
        <n v="3614195"/>
        <n v="3609155"/>
        <n v="3608015"/>
        <n v="3606955"/>
        <n v="3605225"/>
        <n v="3601725"/>
        <n v="3597465"/>
        <n v="3597085"/>
        <n v="3590435"/>
        <n v="3580035"/>
        <n v="3579540"/>
        <n v="3576140"/>
        <n v="3570090"/>
        <n v="3568330"/>
        <n v="3563650"/>
        <n v="3562420"/>
        <n v="3561330"/>
        <n v="3549830"/>
        <n v="3546880"/>
        <n v="3541280"/>
        <n v="3541025"/>
        <n v="3535845"/>
        <n v="3534675"/>
        <n v="3533555"/>
        <n v="3531775"/>
        <n v="3528195"/>
        <n v="3523855"/>
        <n v="3523465"/>
        <n v="3516665"/>
        <n v="3506065"/>
        <n v="3505555"/>
        <n v="3502055"/>
        <n v="3495855"/>
        <n v="3494045"/>
        <n v="3489245"/>
        <n v="3487985"/>
        <n v="3486845"/>
        <n v="3475145"/>
        <n v="3472125"/>
        <n v="3466375"/>
        <n v="3466115"/>
        <n v="3460795"/>
        <n v="3459595"/>
        <n v="3458425"/>
        <n v="3456595"/>
        <n v="3452935"/>
        <n v="3448515"/>
        <n v="3448115"/>
        <n v="3441165"/>
        <n v="3430365"/>
        <n v="3429840"/>
        <n v="3426240"/>
        <n v="3419890"/>
        <n v="3418030"/>
        <n v="3413110"/>
        <n v="3411820"/>
        <n v="3410640"/>
        <n v="3398740"/>
        <n v="3395640"/>
        <n v="3389740"/>
        <n v="3389470"/>
        <n v="3384010"/>
        <n v="3382780"/>
        <n v="3381570"/>
        <n v="3379690"/>
        <n v="3375950"/>
        <n v="3371450"/>
        <n v="3371040"/>
        <n v="3363940"/>
        <n v="3352940"/>
        <n v="3352400"/>
        <n v="3348700"/>
        <n v="3342200"/>
        <n v="3340290"/>
        <n v="3335250"/>
        <n v="3333930"/>
        <n v="3332700"/>
        <n v="3320600"/>
        <n v="3317420"/>
        <n v="3311370"/>
        <n v="3311095"/>
        <n v="3305495"/>
        <n v="3304235"/>
        <n v="3302975"/>
        <n v="3301045"/>
        <n v="3297225"/>
        <n v="3292645"/>
        <n v="3292225"/>
        <n v="3284975"/>
        <n v="3273775"/>
        <n v="3273220"/>
        <n v="3269420"/>
        <n v="3262770"/>
        <n v="3260810"/>
        <n v="3255650"/>
        <n v="3254300"/>
        <n v="3253020"/>
        <n v="3240720"/>
        <n v="3237470"/>
        <n v="3231270"/>
        <n v="3230990"/>
        <n v="3225250"/>
        <n v="3223960"/>
        <n v="3222670"/>
        <n v="3220690"/>
        <n v="3216790"/>
        <n v="3212130"/>
        <n v="3211700"/>
        <n v="3204300"/>
        <n v="3192900"/>
        <n v="3192330"/>
        <n v="3188430"/>
        <n v="3181630"/>
        <n v="3179620"/>
        <n v="3174340"/>
        <n v="3172960"/>
        <n v="3171640"/>
        <n v="3159140"/>
        <n v="3155820"/>
        <n v="3149470"/>
        <n v="3149185"/>
        <n v="3143305"/>
        <n v="3141985"/>
        <n v="3140665"/>
        <n v="3138635"/>
        <n v="3134655"/>
        <n v="3129915"/>
        <n v="3129475"/>
        <n v="3121925"/>
        <n v="3110325"/>
        <n v="3109740"/>
        <n v="3105740"/>
        <n v="3098790"/>
        <n v="3096730"/>
        <n v="3091330"/>
        <n v="3089920"/>
        <n v="3088570"/>
        <n v="3075870"/>
        <n v="3072470"/>
        <n v="3065970"/>
        <n v="3065680"/>
        <n v="3059660"/>
        <n v="3058310"/>
        <n v="3056930"/>
        <n v="3054850"/>
        <n v="3050790"/>
        <n v="3045970"/>
        <n v="3045520"/>
        <n v="3037820"/>
        <n v="3026020"/>
        <n v="3025420"/>
        <n v="3021320"/>
        <n v="3014220"/>
        <n v="3012110"/>
        <n v="3006590"/>
        <n v="3005150"/>
        <n v="3003740"/>
        <n v="2990840"/>
        <n v="2987360"/>
        <n v="2980710"/>
        <n v="2980415"/>
        <n v="2974255"/>
        <n v="2972875"/>
        <n v="2971435"/>
        <n v="2969305"/>
        <n v="2965165"/>
        <n v="2960265"/>
        <n v="2959805"/>
        <n v="2951955"/>
        <n v="2939955"/>
        <n v="2939340"/>
        <n v="2935140"/>
        <n v="2927890"/>
        <n v="2925730"/>
        <n v="2920090"/>
        <n v="2918620"/>
        <n v="2917150"/>
        <n v="2904050"/>
        <n v="2900490"/>
        <n v="2893690"/>
        <n v="2893385"/>
        <n v="2887085"/>
        <n v="2885675"/>
        <n v="2884175"/>
        <n v="2881995"/>
        <n v="2877775"/>
        <n v="2872795"/>
        <n v="2872325"/>
        <n v="2864325"/>
        <n v="2852125"/>
        <n v="2851495"/>
        <n v="2847195"/>
        <n v="2839795"/>
        <n v="2837585"/>
        <n v="2831825"/>
        <n v="2830325"/>
        <n v="2828795"/>
        <n v="2815495"/>
        <n v="2811855"/>
        <n v="2804905"/>
        <n v="2804595"/>
        <n v="2798155"/>
        <n v="2796715"/>
        <n v="2795155"/>
        <n v="2792925"/>
        <n v="2788625"/>
        <n v="2783565"/>
        <n v="2783085"/>
        <n v="2774935"/>
        <n v="2762535"/>
        <n v="2761890"/>
        <n v="2757490"/>
        <n v="2749940"/>
        <n v="2747680"/>
        <n v="2741800"/>
        <n v="2740270"/>
        <n v="2738680"/>
        <n v="2725180"/>
        <n v="2721460"/>
        <n v="2714360"/>
        <n v="2714045"/>
        <n v="2707465"/>
        <n v="2705995"/>
        <n v="2704375"/>
        <n v="2702095"/>
        <n v="2697715"/>
        <n v="2692575"/>
        <n v="2692085"/>
        <n v="2683785"/>
        <n v="2671185"/>
        <n v="2670525"/>
        <n v="2666025"/>
        <n v="2658325"/>
        <n v="2656015"/>
        <n v="2650015"/>
        <n v="2648455"/>
        <n v="2646805"/>
        <n v="2633105"/>
        <n v="2629305"/>
        <n v="2622055"/>
        <n v="2621735"/>
        <n v="2615015"/>
        <n v="2613515"/>
        <n v="2611835"/>
        <n v="2609505"/>
        <n v="2605045"/>
        <n v="2599825"/>
        <n v="2599325"/>
        <n v="2590875"/>
        <n v="2578075"/>
        <n v="2577400"/>
        <n v="2572800"/>
        <n v="2564950"/>
        <n v="2562590"/>
        <n v="2556470"/>
        <n v="2554880"/>
        <n v="2553170"/>
        <n v="2539270"/>
        <n v="2535390"/>
        <n v="2527990"/>
        <n v="2527665"/>
        <n v="2520805"/>
        <n v="2519275"/>
        <n v="2517535"/>
        <n v="2515155"/>
        <n v="2510615"/>
        <n v="2505315"/>
        <n v="2504805"/>
        <n v="2496205"/>
        <n v="2483205"/>
        <n v="2482515"/>
        <n v="2477815"/>
        <n v="2469815"/>
        <n v="2467405"/>
        <n v="2461165"/>
        <n v="2459545"/>
        <n v="2457775"/>
        <n v="2443675"/>
        <n v="2439715"/>
        <n v="2432165"/>
        <n v="2431835"/>
        <n v="2424835"/>
        <n v="2423275"/>
        <n v="2421475"/>
        <n v="2419045"/>
        <n v="2414425"/>
        <n v="2409045"/>
        <n v="2408525"/>
        <n v="2399775"/>
        <n v="2386575"/>
        <n v="2385870"/>
        <n v="2381070"/>
        <n v="2372920"/>
        <n v="2370460"/>
        <n v="2364100"/>
        <n v="2362450"/>
        <n v="2360620"/>
        <n v="2346320"/>
        <n v="2342280"/>
        <n v="2334580"/>
        <n v="2334245"/>
        <n v="2327105"/>
        <n v="2325515"/>
        <n v="2323655"/>
        <n v="2321175"/>
        <n v="2316475"/>
        <n v="2311015"/>
        <n v="2310485"/>
        <n v="2301585"/>
        <n v="2288185"/>
        <n v="2287465"/>
        <n v="2282565"/>
        <n v="2274265"/>
        <n v="2271755"/>
        <n v="2265275"/>
        <n v="2263595"/>
        <n v="2261705"/>
        <n v="2247205"/>
        <n v="2243355"/>
        <n v="2235555"/>
        <n v="2235215"/>
        <n v="2228015"/>
        <n v="2226395"/>
        <n v="2224515"/>
        <n v="2221995"/>
        <n v="2217245"/>
        <n v="2211725"/>
        <n v="2211185"/>
        <n v="2202135"/>
        <n v="2188535"/>
        <n v="2187800"/>
        <n v="2182850"/>
        <n v="2174400"/>
        <n v="2171840"/>
        <n v="2165240"/>
        <n v="2163540"/>
        <n v="2161590"/>
        <n v="2146890"/>
        <n v="2142770"/>
        <n v="2134820"/>
        <n v="2134470"/>
        <n v="2127070"/>
        <n v="2125420"/>
        <n v="2123410"/>
        <n v="2120810"/>
        <n v="2115970"/>
        <n v="2110370"/>
        <n v="2109820"/>
        <n v="2100620"/>
        <n v="2086820"/>
        <n v="2086070"/>
        <n v="2081020"/>
        <n v="2072420"/>
        <n v="2069760"/>
        <n v="2063040"/>
        <n v="2061310"/>
        <n v="2059270"/>
        <n v="2044370"/>
        <n v="2040170"/>
        <n v="2032070"/>
        <n v="2031710"/>
        <n v="2024150"/>
        <n v="2022470"/>
        <n v="2020400"/>
        <n v="2017700"/>
        <n v="2012770"/>
        <n v="2007090"/>
        <n v="2006530"/>
        <n v="1997180"/>
        <n v="1983180"/>
        <n v="1982415"/>
        <n v="1977265"/>
        <n v="1968515"/>
        <n v="1965755"/>
        <n v="1958915"/>
        <n v="1957155"/>
        <n v="1955055"/>
        <n v="1939955"/>
        <n v="1935675"/>
        <n v="1927425"/>
        <n v="1927055"/>
        <n v="1919335"/>
        <n v="1917625"/>
        <n v="1915495"/>
        <n v="1912695"/>
        <n v="1907675"/>
        <n v="1901915"/>
        <n v="1901345"/>
        <n v="1891845"/>
        <n v="1877645"/>
        <n v="1876865"/>
        <n v="1871615"/>
        <n v="1862715"/>
        <n v="1859855"/>
        <n v="1852895"/>
        <n v="1851105"/>
        <n v="1848945"/>
        <n v="1833645"/>
        <n v="1829285"/>
        <n v="1820885"/>
        <n v="1820505"/>
        <n v="1812625"/>
        <n v="1810885"/>
        <n v="1808695"/>
        <n v="1805795"/>
        <n v="1800685"/>
        <n v="1794845"/>
        <n v="1794265"/>
        <n v="1784615"/>
        <n v="1770215"/>
        <n v="1769420"/>
        <n v="1764070"/>
        <n v="1755020"/>
        <n v="1752060"/>
        <n v="1744980"/>
        <n v="1743160"/>
        <n v="1740940"/>
        <n v="1725440"/>
        <n v="1721000"/>
        <n v="1712450"/>
        <n v="1712060"/>
        <n v="1704060"/>
        <n v="1702290"/>
        <n v="1700040"/>
        <n v="1697040"/>
        <n v="1691840"/>
        <n v="1685920"/>
        <n v="1685330"/>
        <n v="1675530"/>
        <n v="1660930"/>
        <n v="1660120"/>
        <n v="1654670"/>
        <n v="1645470"/>
        <n v="1642410"/>
        <n v="1635210"/>
        <n v="1633360"/>
        <n v="1631080"/>
        <n v="1615380"/>
        <n v="1610860"/>
        <n v="1602160"/>
        <n v="1601760"/>
        <n v="1593620"/>
        <n v="1591820"/>
        <n v="1589510"/>
        <n v="1586410"/>
        <n v="1581120"/>
        <n v="1575120"/>
        <n v="1574520"/>
        <n v="1564570"/>
        <n v="1549770"/>
        <n v="1548945"/>
        <n v="1543395"/>
        <n v="1534045"/>
        <n v="1530885"/>
        <n v="1523565"/>
        <n v="1521685"/>
        <n v="1519345"/>
        <n v="1503445"/>
        <n v="1498845"/>
        <n v="1489995"/>
        <n v="1489585"/>
        <n v="1481305"/>
        <n v="1479475"/>
        <n v="1477105"/>
        <n v="1473905"/>
        <n v="1468525"/>
        <n v="1462445"/>
        <n v="1461835"/>
        <n v="1451735"/>
        <n v="1436735"/>
        <n v="1435895"/>
        <n v="1430245"/>
        <n v="1420745"/>
        <n v="1417485"/>
        <n v="1410045"/>
        <n v="1408135"/>
        <n v="1405735"/>
        <n v="1389635"/>
        <n v="1384955"/>
        <n v="1375955"/>
        <n v="1375535"/>
        <n v="1367115"/>
        <n v="1365255"/>
        <n v="1362825"/>
        <n v="1359525"/>
        <n v="1354055"/>
        <n v="1347895"/>
        <n v="1347275"/>
        <n v="1337025"/>
        <n v="1321825"/>
        <n v="1320970"/>
        <n v="1315220"/>
        <n v="1305570"/>
        <n v="1302210"/>
        <n v="1294650"/>
        <n v="1292710"/>
        <n v="1290250"/>
        <n v="1273950"/>
        <n v="1269190"/>
        <n v="1260040"/>
        <n v="1259610"/>
        <n v="1251050"/>
        <n v="1249160"/>
        <n v="1246670"/>
        <n v="1243270"/>
        <n v="1237710"/>
        <n v="1231470"/>
        <n v="1230840"/>
        <n v="1220440"/>
        <n v="1205040"/>
        <n v="1204170"/>
        <n v="1198320"/>
        <n v="1188520"/>
        <n v="1185060"/>
        <n v="1177380"/>
        <n v="1175410"/>
        <n v="1172890"/>
        <n v="1158690"/>
        <n v="1154790"/>
        <n v="1146740"/>
        <n v="1146380"/>
        <n v="1139030"/>
        <n v="1137360"/>
        <n v="1135360"/>
        <n v="1132680"/>
        <n v="1127700"/>
        <n v="1122000"/>
        <n v="1121440"/>
        <n v="1112040"/>
        <n v="1098340"/>
        <n v="1097580"/>
        <n v="1092480"/>
        <n v="1084130"/>
        <n v="1081490"/>
        <n v="1074590"/>
        <n v="1072840"/>
        <n v="1070700"/>
        <n v="1055800"/>
        <n v="1051350"/>
        <n v="1043150"/>
        <n v="1042770"/>
        <n v="1035120"/>
        <n v="1033340"/>
        <n v="1031140"/>
        <n v="1028360"/>
        <n v="1023280"/>
        <n v="1017480"/>
        <n v="1016940"/>
        <n v="1007390"/>
        <n v="993290"/>
        <n v="992500"/>
        <n v="987300"/>
        <n v="978700"/>
        <n v="975880"/>
        <n v="968830"/>
        <n v="967010"/>
        <n v="964730"/>
        <n v="949330"/>
        <n v="944710"/>
        <n v="935960"/>
        <n v="935570"/>
        <n v="927750"/>
        <n v="926020"/>
        <n v="923670"/>
        <n v="920750"/>
        <n v="915510"/>
        <n v="909560"/>
        <n v="908980"/>
        <n v="899280"/>
        <n v="884780"/>
        <n v="883970"/>
        <n v="878620"/>
        <n v="869720"/>
        <n v="866740"/>
        <n v="859540"/>
        <n v="857670"/>
        <n v="855240"/>
        <n v="839540"/>
        <n v="834760"/>
        <n v="825710"/>
        <n v="825310"/>
        <n v="817210"/>
        <n v="815430"/>
        <n v="812950"/>
        <n v="809910"/>
        <n v="804550"/>
        <n v="798450"/>
        <n v="797860"/>
        <n v="788010"/>
        <n v="772910"/>
        <n v="772070"/>
        <n v="766520"/>
        <n v="757270"/>
        <n v="754130"/>
        <n v="746730"/>
        <n v="744820"/>
        <n v="742300"/>
        <n v="726300"/>
        <n v="721380"/>
        <n v="711930"/>
        <n v="711520"/>
        <n v="703220"/>
        <n v="701380"/>
        <n v="698810"/>
        <n v="695630"/>
        <n v="690150"/>
        <n v="683950"/>
        <n v="683350"/>
        <n v="673300"/>
        <n v="658000"/>
        <n v="657130"/>
        <n v="651380"/>
        <n v="641730"/>
        <n v="638510"/>
        <n v="630910"/>
        <n v="628950"/>
        <n v="626340"/>
        <n v="609840"/>
        <n v="604790"/>
        <n v="594940"/>
        <n v="594520"/>
        <n v="586020"/>
        <n v="584130"/>
        <n v="581460"/>
        <n v="578180"/>
        <n v="572580"/>
        <n v="566230"/>
        <n v="565610"/>
        <n v="555410"/>
        <n v="539810"/>
        <n v="538920"/>
        <n v="532970"/>
        <n v="522970"/>
        <n v="519630"/>
        <n v="511830"/>
        <n v="509820"/>
        <n v="507090"/>
        <n v="490290"/>
        <n v="485110"/>
        <n v="474960"/>
        <n v="474530"/>
        <n v="465830"/>
        <n v="463890"/>
        <n v="461120"/>
        <n v="457740"/>
        <n v="452020"/>
        <n v="445520"/>
        <n v="444880"/>
        <n v="434480"/>
        <n v="418580"/>
        <n v="417670"/>
        <n v="411570"/>
        <n v="401270"/>
        <n v="397830"/>
        <n v="389830"/>
        <n v="387780"/>
        <n v="384960"/>
        <n v="367860"/>
        <n v="362560"/>
        <n v="352060"/>
        <n v="351620"/>
        <n v="342720"/>
        <n v="340720"/>
        <n v="337860"/>
        <n v="334360"/>
        <n v="328510"/>
        <n v="321860"/>
        <n v="321200"/>
        <n v="310600"/>
        <n v="294400"/>
        <n v="293470"/>
        <n v="287220"/>
        <n v="276520"/>
        <n v="272980"/>
        <n v="264780"/>
        <n v="262690"/>
        <n v="259780"/>
        <n v="242380"/>
        <n v="236960"/>
        <n v="226060"/>
        <n v="225610"/>
        <n v="216510"/>
        <n v="214460"/>
        <n v="211510"/>
        <n v="207890"/>
        <n v="201910"/>
        <n v="195110"/>
        <n v="194430"/>
        <n v="183630"/>
        <n v="167130"/>
        <n v="166170"/>
        <n v="159770"/>
        <n v="148770"/>
        <n v="145090"/>
        <n v="136690"/>
        <n v="134560"/>
        <n v="131560"/>
        <n v="113760"/>
        <n v="108200"/>
        <n v="97000"/>
        <n v="96540"/>
        <n v="87240"/>
        <n v="85060"/>
        <n v="82000"/>
        <n v="78240"/>
        <n v="72140"/>
        <n v="65190"/>
        <n v="64490"/>
        <n v="53490"/>
        <n v="36690"/>
        <n v="35700"/>
        <n v="29150"/>
        <n v="17750"/>
        <n v="13930"/>
        <n v="5330"/>
        <n v="3120"/>
      </sharedItems>
    </cacheField>
    <cacheField name="count_of_customar " numFmtId="0">
      <sharedItems containsSemiMixedTypes="0" containsString="0" containsNumber="1" containsInteger="1" minValue="1" maxValue="1200"/>
    </cacheField>
    <cacheField name="Avg_sale " numFmtId="0">
      <sharedItems containsSemiMixedTypes="0" containsString="0" containsNumber="1" minValue="9375" maxValue="41868.888888888891"/>
    </cacheField>
    <cacheField name="Max_cus_age " numFmtId="0">
      <sharedItems containsSemiMixedTypes="0" containsString="0" containsNumber="1" containsInteger="1" minValue="30" maxValue="55"/>
    </cacheField>
    <cacheField name="Months (Order_Date)" numFmtId="0" databaseField="0">
      <fieldGroup base="1">
        <rangePr groupBy="months" startDate="2025-01-05T00:00:00" endDate="2047-11-30T00:00:00"/>
        <groupItems count="14">
          <s v="&lt;05-01-2025"/>
          <s v="Jan"/>
          <s v="Feb"/>
          <s v="Mar"/>
          <s v="Apr"/>
          <s v="May"/>
          <s v="Jun"/>
          <s v="Jul"/>
          <s v="Aug"/>
          <s v="Sep"/>
          <s v="Oct"/>
          <s v="Nov"/>
          <s v="Dec"/>
          <s v="&gt;30-11-2047"/>
        </groupItems>
      </fieldGroup>
    </cacheField>
    <cacheField name="Quarters (Order_Date)" numFmtId="0" databaseField="0">
      <fieldGroup base="1">
        <rangePr groupBy="quarters" startDate="2025-01-05T00:00:00" endDate="2047-11-30T00:00:00"/>
        <groupItems count="6">
          <s v="&lt;05-01-2025"/>
          <s v="Qtr1"/>
          <s v="Qtr2"/>
          <s v="Qtr3"/>
          <s v="Qtr4"/>
          <s v="&gt;30-11-2047"/>
        </groupItems>
      </fieldGroup>
    </cacheField>
    <cacheField name="Years (Order_Date)" numFmtId="0" databaseField="0">
      <fieldGroup base="1">
        <rangePr groupBy="years" startDate="2025-01-05T00:00:00" endDate="2047-11-30T00:00:00"/>
        <groupItems count="25">
          <s v="&lt;05-01-2025"/>
          <s v="2025"/>
          <s v="2026"/>
          <s v="2027"/>
          <s v="2028"/>
          <s v="2029"/>
          <s v="2030"/>
          <s v="2031"/>
          <s v="2032"/>
          <s v="2033"/>
          <s v="2034"/>
          <s v="2035"/>
          <s v="2036"/>
          <s v="2037"/>
          <s v="2038"/>
          <s v="2039"/>
          <s v="2040"/>
          <s v="2041"/>
          <s v="2042"/>
          <s v="2043"/>
          <s v="2044"/>
          <s v="2045"/>
          <s v="2046"/>
          <s v="2047"/>
          <s v="&gt;30-11-2047"/>
        </groupItems>
      </fieldGroup>
    </cacheField>
  </cacheFields>
  <extLst>
    <ext xmlns:x14="http://schemas.microsoft.com/office/spreadsheetml/2009/9/main" uri="{725AE2AE-9491-48be-B2B4-4EB974FC3084}">
      <x14:pivotCacheDefinition pivotCacheId="343859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1"/>
    <x v="0"/>
    <x v="0"/>
    <x v="0"/>
    <x v="0"/>
    <x v="0"/>
    <x v="0"/>
    <x v="0"/>
    <x v="0"/>
    <s v="Consumer"/>
    <x v="0"/>
    <s v="Computers"/>
    <x v="0"/>
    <n v="55000"/>
    <x v="0"/>
    <n v="0.05"/>
    <n v="7000"/>
    <x v="0"/>
    <s v="Standard"/>
    <s v="Delivered"/>
    <n v="5"/>
    <s v="January"/>
    <x v="0"/>
    <n v="1200"/>
    <n v="24114.85"/>
    <n v="55"/>
  </r>
  <r>
    <s v="ORD0002"/>
    <x v="1"/>
    <x v="1"/>
    <x v="1"/>
    <x v="1"/>
    <x v="1"/>
    <x v="1"/>
    <x v="1"/>
    <x v="1"/>
    <s v="Corporate"/>
    <x v="1"/>
    <s v="Chairs"/>
    <x v="1"/>
    <n v="8500"/>
    <x v="1"/>
    <n v="0.1"/>
    <n v="1600"/>
    <x v="1"/>
    <s v="Express"/>
    <s v="Delivered"/>
    <n v="4"/>
    <s v="January"/>
    <x v="1"/>
    <n v="1199"/>
    <n v="24089.090909090908"/>
    <n v="55"/>
  </r>
  <r>
    <s v="ORD0003"/>
    <x v="2"/>
    <x v="2"/>
    <x v="2"/>
    <x v="2"/>
    <x v="0"/>
    <x v="2"/>
    <x v="2"/>
    <x v="2"/>
    <s v="Consumer"/>
    <x v="0"/>
    <s v="Accessories"/>
    <x v="2"/>
    <n v="18000"/>
    <x v="1"/>
    <n v="0.05"/>
    <n v="3200"/>
    <x v="2"/>
    <s v="Standard"/>
    <s v="Delivered"/>
    <n v="4"/>
    <s v="January"/>
    <x v="2"/>
    <n v="1198"/>
    <n v="24102.103505843072"/>
    <n v="55"/>
  </r>
  <r>
    <s v="ORD0004"/>
    <x v="3"/>
    <x v="3"/>
    <x v="3"/>
    <x v="3"/>
    <x v="1"/>
    <x v="3"/>
    <x v="0"/>
    <x v="0"/>
    <s v="Consumer"/>
    <x v="2"/>
    <s v="Paper"/>
    <x v="3"/>
    <n v="3200"/>
    <x v="2"/>
    <n v="0.02"/>
    <n v="900"/>
    <x v="0"/>
    <s v="Standard"/>
    <s v="Delivered"/>
    <n v="5"/>
    <s v="January"/>
    <x v="3"/>
    <n v="1197"/>
    <n v="24107.201336675022"/>
    <n v="55"/>
  </r>
  <r>
    <s v="ORD0005"/>
    <x v="4"/>
    <x v="4"/>
    <x v="4"/>
    <x v="4"/>
    <x v="0"/>
    <x v="4"/>
    <x v="3"/>
    <x v="0"/>
    <s v="Corporate"/>
    <x v="1"/>
    <s v="Tables"/>
    <x v="4"/>
    <n v="15000"/>
    <x v="1"/>
    <n v="0.08"/>
    <n v="2500"/>
    <x v="1"/>
    <s v="Express"/>
    <s v="Delivered"/>
    <n v="4"/>
    <s v="January"/>
    <x v="4"/>
    <n v="1196"/>
    <n v="24124.682274247491"/>
    <n v="55"/>
  </r>
  <r>
    <s v="ORD0006"/>
    <x v="5"/>
    <x v="5"/>
    <x v="5"/>
    <x v="5"/>
    <x v="1"/>
    <x v="5"/>
    <x v="4"/>
    <x v="1"/>
    <s v="Consumer"/>
    <x v="0"/>
    <s v="Accessories"/>
    <x v="5"/>
    <n v="2500"/>
    <x v="3"/>
    <n v="0.05"/>
    <n v="600"/>
    <x v="0"/>
    <s v="Standard"/>
    <s v="Delivered"/>
    <n v="4"/>
    <s v="February"/>
    <x v="5"/>
    <n v="1195"/>
    <n v="24132.3179916318"/>
    <n v="55"/>
  </r>
  <r>
    <s v="ORD0007"/>
    <x v="6"/>
    <x v="6"/>
    <x v="0"/>
    <x v="6"/>
    <x v="0"/>
    <x v="6"/>
    <x v="0"/>
    <x v="0"/>
    <s v="Consumer"/>
    <x v="0"/>
    <s v="Accessories"/>
    <x v="6"/>
    <n v="1200"/>
    <x v="4"/>
    <n v="0"/>
    <n v="350"/>
    <x v="3"/>
    <s v="Standard"/>
    <s v="Delivered"/>
    <n v="3"/>
    <s v="February"/>
    <x v="6"/>
    <n v="1194"/>
    <n v="24150.435510887772"/>
    <n v="55"/>
  </r>
  <r>
    <s v="ORD0008"/>
    <x v="7"/>
    <x v="7"/>
    <x v="6"/>
    <x v="7"/>
    <x v="1"/>
    <x v="7"/>
    <x v="5"/>
    <x v="2"/>
    <s v="Corporate"/>
    <x v="2"/>
    <s v="Paper"/>
    <x v="7"/>
    <n v="450"/>
    <x v="5"/>
    <n v="0.02"/>
    <n v="120"/>
    <x v="0"/>
    <s v="Standard"/>
    <s v="Delivered"/>
    <n v="5"/>
    <s v="February"/>
    <x v="7"/>
    <n v="1193"/>
    <n v="24169.673093042751"/>
    <n v="55"/>
  </r>
  <r>
    <s v="ORD0009"/>
    <x v="8"/>
    <x v="8"/>
    <x v="1"/>
    <x v="8"/>
    <x v="0"/>
    <x v="8"/>
    <x v="6"/>
    <x v="3"/>
    <s v="Corporate"/>
    <x v="1"/>
    <s v="Storage"/>
    <x v="8"/>
    <n v="12500"/>
    <x v="0"/>
    <n v="0.1"/>
    <n v="2100"/>
    <x v="1"/>
    <s v="Express"/>
    <s v="Delivered"/>
    <n v="4"/>
    <s v="February"/>
    <x v="8"/>
    <n v="1192"/>
    <n v="24189.572147651008"/>
    <n v="55"/>
  </r>
  <r>
    <s v="ORD0010"/>
    <x v="9"/>
    <x v="9"/>
    <x v="4"/>
    <x v="9"/>
    <x v="1"/>
    <x v="0"/>
    <x v="0"/>
    <x v="0"/>
    <s v="Consumer"/>
    <x v="0"/>
    <s v="Printers"/>
    <x v="9"/>
    <n v="14500"/>
    <x v="1"/>
    <n v="0.05"/>
    <n v="2700"/>
    <x v="0"/>
    <s v="Standard"/>
    <s v="Delivered"/>
    <n v="4"/>
    <s v="February"/>
    <x v="9"/>
    <n v="1191"/>
    <n v="24199.387069689335"/>
    <n v="55"/>
  </r>
  <r>
    <s v="ORD0011"/>
    <x v="10"/>
    <x v="10"/>
    <x v="7"/>
    <x v="10"/>
    <x v="0"/>
    <x v="9"/>
    <x v="7"/>
    <x v="1"/>
    <s v="Consumer"/>
    <x v="2"/>
    <s v="Accessories"/>
    <x v="10"/>
    <n v="650"/>
    <x v="6"/>
    <n v="0"/>
    <n v="180"/>
    <x v="2"/>
    <s v="Standard"/>
    <s v="Delivered"/>
    <n v="5"/>
    <s v="March"/>
    <x v="10"/>
    <n v="1190"/>
    <n v="24207.537815126052"/>
    <n v="55"/>
  </r>
  <r>
    <s v="ORD0012"/>
    <x v="11"/>
    <x v="11"/>
    <x v="3"/>
    <x v="11"/>
    <x v="1"/>
    <x v="2"/>
    <x v="2"/>
    <x v="2"/>
    <s v="Corporate"/>
    <x v="1"/>
    <s v="Tables"/>
    <x v="11"/>
    <n v="22000"/>
    <x v="0"/>
    <n v="0.08"/>
    <n v="4200"/>
    <x v="1"/>
    <s v="Express"/>
    <s v="Delivered"/>
    <n v="4"/>
    <s v="March"/>
    <x v="11"/>
    <n v="1189"/>
    <n v="24227.350714886459"/>
    <n v="55"/>
  </r>
  <r>
    <s v="ORD0013"/>
    <x v="12"/>
    <x v="12"/>
    <x v="0"/>
    <x v="12"/>
    <x v="0"/>
    <x v="3"/>
    <x v="0"/>
    <x v="0"/>
    <s v="Consumer"/>
    <x v="0"/>
    <s v="Computers"/>
    <x v="0"/>
    <n v="62000"/>
    <x v="0"/>
    <n v="0.1"/>
    <n v="6800"/>
    <x v="0"/>
    <s v="Express"/>
    <s v="Delivered"/>
    <n v="5"/>
    <s v="March"/>
    <x v="12"/>
    <n v="1188"/>
    <n v="24229.225589225589"/>
    <n v="55"/>
  </r>
  <r>
    <s v="ORD0014"/>
    <x v="13"/>
    <x v="13"/>
    <x v="1"/>
    <x v="13"/>
    <x v="1"/>
    <x v="4"/>
    <x v="3"/>
    <x v="0"/>
    <s v="Consumer"/>
    <x v="2"/>
    <s v="Storage"/>
    <x v="12"/>
    <n v="900"/>
    <x v="7"/>
    <n v="0.05"/>
    <n v="250"/>
    <x v="3"/>
    <s v="Standard"/>
    <s v="Delivered"/>
    <n v="4"/>
    <s v="March"/>
    <x v="13"/>
    <n v="1187"/>
    <n v="24197.405223251895"/>
    <n v="55"/>
  </r>
  <r>
    <s v="ORD0015"/>
    <x v="14"/>
    <x v="14"/>
    <x v="8"/>
    <x v="14"/>
    <x v="0"/>
    <x v="5"/>
    <x v="4"/>
    <x v="1"/>
    <s v="Corporate"/>
    <x v="1"/>
    <s v="Chairs"/>
    <x v="1"/>
    <n v="9200"/>
    <x v="3"/>
    <n v="7.0000000000000007E-2"/>
    <n v="1900"/>
    <x v="1"/>
    <s v="Standard"/>
    <s v="Delivered"/>
    <n v="4"/>
    <s v="March"/>
    <x v="14"/>
    <n v="1186"/>
    <n v="24217.048903878582"/>
    <n v="55"/>
  </r>
  <r>
    <s v="ORD0016"/>
    <x v="15"/>
    <x v="15"/>
    <x v="6"/>
    <x v="15"/>
    <x v="1"/>
    <x v="1"/>
    <x v="1"/>
    <x v="1"/>
    <s v="Consumer"/>
    <x v="0"/>
    <s v="Accessories"/>
    <x v="2"/>
    <n v="19500"/>
    <x v="1"/>
    <n v="0.05"/>
    <n v="3400"/>
    <x v="0"/>
    <s v="Express"/>
    <s v="Delivered"/>
    <n v="5"/>
    <s v="April"/>
    <x v="15"/>
    <n v="1185"/>
    <n v="24229.721518987342"/>
    <n v="55"/>
  </r>
  <r>
    <s v="ORD0017"/>
    <x v="16"/>
    <x v="16"/>
    <x v="5"/>
    <x v="16"/>
    <x v="0"/>
    <x v="7"/>
    <x v="5"/>
    <x v="2"/>
    <s v="Corporate"/>
    <x v="2"/>
    <s v="Paper"/>
    <x v="3"/>
    <n v="3500"/>
    <x v="8"/>
    <n v="0.03"/>
    <n v="850"/>
    <x v="2"/>
    <s v="Standard"/>
    <s v="Delivered"/>
    <n v="4"/>
    <s v="April"/>
    <x v="16"/>
    <n v="1184"/>
    <n v="24233.716216216217"/>
    <n v="55"/>
  </r>
  <r>
    <s v="ORD0018"/>
    <x v="17"/>
    <x v="17"/>
    <x v="0"/>
    <x v="17"/>
    <x v="1"/>
    <x v="0"/>
    <x v="0"/>
    <x v="0"/>
    <s v="Consumer"/>
    <x v="1"/>
    <s v="Tables"/>
    <x v="4"/>
    <n v="16500"/>
    <x v="1"/>
    <n v="0.1"/>
    <n v="2300"/>
    <x v="0"/>
    <s v="Express"/>
    <s v="Delivered"/>
    <n v="5"/>
    <s v="April"/>
    <x v="17"/>
    <n v="1183"/>
    <n v="24251.242603550298"/>
    <n v="55"/>
  </r>
  <r>
    <s v="ORD0019"/>
    <x v="18"/>
    <x v="18"/>
    <x v="2"/>
    <x v="18"/>
    <x v="0"/>
    <x v="9"/>
    <x v="7"/>
    <x v="1"/>
    <s v="Corporate"/>
    <x v="0"/>
    <s v="Accessories"/>
    <x v="5"/>
    <n v="2800"/>
    <x v="9"/>
    <n v="0.05"/>
    <n v="650"/>
    <x v="1"/>
    <s v="Standard"/>
    <s v="Delivered"/>
    <n v="3"/>
    <s v="April"/>
    <x v="18"/>
    <n v="1182"/>
    <n v="24257.800338409477"/>
    <n v="55"/>
  </r>
  <r>
    <s v="ORD0020"/>
    <x v="19"/>
    <x v="19"/>
    <x v="7"/>
    <x v="19"/>
    <x v="1"/>
    <x v="6"/>
    <x v="0"/>
    <x v="0"/>
    <s v="Consumer"/>
    <x v="0"/>
    <s v="Accessories"/>
    <x v="6"/>
    <n v="1350"/>
    <x v="10"/>
    <n v="0"/>
    <n v="390"/>
    <x v="0"/>
    <s v="Standard"/>
    <s v="Delivered"/>
    <n v="4"/>
    <s v="April"/>
    <x v="19"/>
    <n v="1181"/>
    <n v="24275.969517358171"/>
    <n v="55"/>
  </r>
  <r>
    <s v="ORD0021"/>
    <x v="20"/>
    <x v="0"/>
    <x v="0"/>
    <x v="0"/>
    <x v="0"/>
    <x v="0"/>
    <x v="0"/>
    <x v="0"/>
    <s v="Consumer"/>
    <x v="0"/>
    <s v="Computers"/>
    <x v="0"/>
    <n v="58000"/>
    <x v="0"/>
    <n v="0.05"/>
    <n v="7500"/>
    <x v="0"/>
    <s v="Express"/>
    <s v="Delivered"/>
    <n v="5"/>
    <s v="May"/>
    <x v="20"/>
    <n v="1180"/>
    <n v="24295.398305084746"/>
    <n v="55"/>
  </r>
  <r>
    <s v="ORD0022"/>
    <x v="21"/>
    <x v="1"/>
    <x v="1"/>
    <x v="1"/>
    <x v="1"/>
    <x v="1"/>
    <x v="1"/>
    <x v="1"/>
    <s v="Corporate"/>
    <x v="1"/>
    <s v="Chairs"/>
    <x v="1"/>
    <n v="7800"/>
    <x v="3"/>
    <n v="0.1"/>
    <n v="1600"/>
    <x v="1"/>
    <s v="Standard"/>
    <s v="Delivered"/>
    <n v="4"/>
    <s v="May"/>
    <x v="21"/>
    <n v="1179"/>
    <n v="24266.810856658183"/>
    <n v="55"/>
  </r>
  <r>
    <s v="ORD0023"/>
    <x v="22"/>
    <x v="2"/>
    <x v="2"/>
    <x v="2"/>
    <x v="0"/>
    <x v="2"/>
    <x v="2"/>
    <x v="2"/>
    <s v="Consumer"/>
    <x v="0"/>
    <s v="Accessories"/>
    <x v="2"/>
    <n v="17500"/>
    <x v="1"/>
    <n v="0.05"/>
    <n v="3000"/>
    <x v="2"/>
    <s v="Standard"/>
    <s v="Delivered"/>
    <n v="4"/>
    <s v="May"/>
    <x v="22"/>
    <n v="1178"/>
    <n v="24280.78947368421"/>
    <n v="55"/>
  </r>
  <r>
    <s v="ORD0024"/>
    <x v="23"/>
    <x v="3"/>
    <x v="3"/>
    <x v="3"/>
    <x v="1"/>
    <x v="3"/>
    <x v="0"/>
    <x v="0"/>
    <s v="Consumer"/>
    <x v="2"/>
    <s v="Paper"/>
    <x v="7"/>
    <n v="520"/>
    <x v="6"/>
    <n v="0.02"/>
    <n v="140"/>
    <x v="0"/>
    <s v="Standard"/>
    <s v="Delivered"/>
    <n v="5"/>
    <s v="May"/>
    <x v="23"/>
    <n v="1177"/>
    <n v="24286.550552251487"/>
    <n v="55"/>
  </r>
  <r>
    <s v="ORD0025"/>
    <x v="24"/>
    <x v="4"/>
    <x v="4"/>
    <x v="4"/>
    <x v="0"/>
    <x v="4"/>
    <x v="3"/>
    <x v="0"/>
    <s v="Corporate"/>
    <x v="1"/>
    <s v="Tables"/>
    <x v="4"/>
    <n v="15200"/>
    <x v="1"/>
    <n v="0.08"/>
    <n v="2600"/>
    <x v="1"/>
    <s v="Express"/>
    <s v="Delivered"/>
    <n v="4"/>
    <s v="May"/>
    <x v="24"/>
    <n v="1176"/>
    <n v="24306.760204081631"/>
    <n v="55"/>
  </r>
  <r>
    <s v="ORD0026"/>
    <x v="25"/>
    <x v="5"/>
    <x v="5"/>
    <x v="5"/>
    <x v="1"/>
    <x v="5"/>
    <x v="4"/>
    <x v="1"/>
    <s v="Consumer"/>
    <x v="0"/>
    <s v="Accessories"/>
    <x v="5"/>
    <n v="2600"/>
    <x v="3"/>
    <n v="0.05"/>
    <n v="620"/>
    <x v="0"/>
    <s v="Standard"/>
    <s v="Delivered"/>
    <n v="4"/>
    <s v="June"/>
    <x v="25"/>
    <n v="1175"/>
    <n v="24314.510638297874"/>
    <n v="55"/>
  </r>
  <r>
    <s v="ORD0027"/>
    <x v="26"/>
    <x v="6"/>
    <x v="0"/>
    <x v="6"/>
    <x v="0"/>
    <x v="6"/>
    <x v="0"/>
    <x v="0"/>
    <s v="Consumer"/>
    <x v="0"/>
    <s v="Accessories"/>
    <x v="6"/>
    <n v="1100"/>
    <x v="4"/>
    <n v="0"/>
    <n v="300"/>
    <x v="3"/>
    <s v="Standard"/>
    <s v="Delivered"/>
    <n v="3"/>
    <s v="June"/>
    <x v="26"/>
    <n v="1174"/>
    <n v="24333.006814310051"/>
    <n v="55"/>
  </r>
  <r>
    <s v="ORD0028"/>
    <x v="27"/>
    <x v="7"/>
    <x v="6"/>
    <x v="7"/>
    <x v="1"/>
    <x v="7"/>
    <x v="5"/>
    <x v="2"/>
    <s v="Corporate"/>
    <x v="2"/>
    <s v="Paper"/>
    <x v="3"/>
    <n v="3300"/>
    <x v="2"/>
    <n v="0.02"/>
    <n v="920"/>
    <x v="0"/>
    <s v="Standard"/>
    <s v="Delivered"/>
    <n v="5"/>
    <s v="June"/>
    <x v="27"/>
    <n v="1173"/>
    <n v="24352.813299232737"/>
    <n v="55"/>
  </r>
  <r>
    <s v="ORD0029"/>
    <x v="28"/>
    <x v="8"/>
    <x v="1"/>
    <x v="8"/>
    <x v="0"/>
    <x v="8"/>
    <x v="6"/>
    <x v="3"/>
    <s v="Corporate"/>
    <x v="1"/>
    <s v="Storage"/>
    <x v="8"/>
    <n v="13200"/>
    <x v="0"/>
    <n v="0.1"/>
    <n v="2200"/>
    <x v="1"/>
    <s v="Express"/>
    <s v="Delivered"/>
    <n v="4"/>
    <s v="June"/>
    <x v="28"/>
    <n v="1172"/>
    <n v="24370.776450511945"/>
    <n v="55"/>
  </r>
  <r>
    <s v="ORD0030"/>
    <x v="29"/>
    <x v="9"/>
    <x v="4"/>
    <x v="9"/>
    <x v="1"/>
    <x v="0"/>
    <x v="0"/>
    <x v="0"/>
    <s v="Consumer"/>
    <x v="0"/>
    <s v="Printers"/>
    <x v="9"/>
    <n v="15100"/>
    <x v="1"/>
    <n v="0.05"/>
    <n v="2800"/>
    <x v="0"/>
    <s v="Standard"/>
    <s v="Delivered"/>
    <n v="4"/>
    <s v="July"/>
    <x v="29"/>
    <n v="1171"/>
    <n v="24380.315969257044"/>
    <n v="55"/>
  </r>
  <r>
    <s v="ORD0031"/>
    <x v="30"/>
    <x v="10"/>
    <x v="7"/>
    <x v="10"/>
    <x v="0"/>
    <x v="9"/>
    <x v="7"/>
    <x v="1"/>
    <s v="Consumer"/>
    <x v="2"/>
    <s v="Accessories"/>
    <x v="10"/>
    <n v="700"/>
    <x v="11"/>
    <n v="0"/>
    <n v="200"/>
    <x v="2"/>
    <s v="Standard"/>
    <s v="Delivered"/>
    <n v="5"/>
    <s v="July"/>
    <x v="30"/>
    <n v="1170"/>
    <n v="24388.247863247863"/>
    <n v="55"/>
  </r>
  <r>
    <s v="ORD0032"/>
    <x v="31"/>
    <x v="11"/>
    <x v="3"/>
    <x v="11"/>
    <x v="1"/>
    <x v="2"/>
    <x v="2"/>
    <x v="2"/>
    <s v="Corporate"/>
    <x v="1"/>
    <s v="Tables"/>
    <x v="11"/>
    <n v="21500"/>
    <x v="0"/>
    <n v="0.08"/>
    <n v="4000"/>
    <x v="1"/>
    <s v="Express"/>
    <s v="Delivered"/>
    <n v="4"/>
    <s v="July"/>
    <x v="31"/>
    <n v="1169"/>
    <n v="24408.511548331906"/>
    <n v="55"/>
  </r>
  <r>
    <s v="ORD0033"/>
    <x v="32"/>
    <x v="12"/>
    <x v="0"/>
    <x v="12"/>
    <x v="0"/>
    <x v="3"/>
    <x v="0"/>
    <x v="0"/>
    <s v="Consumer"/>
    <x v="0"/>
    <s v="Computers"/>
    <x v="0"/>
    <n v="64000"/>
    <x v="0"/>
    <n v="0.1"/>
    <n v="7100"/>
    <x v="0"/>
    <s v="Express"/>
    <s v="Delivered"/>
    <n v="5"/>
    <s v="July"/>
    <x v="32"/>
    <n v="1168"/>
    <n v="24411.001712328769"/>
    <n v="55"/>
  </r>
  <r>
    <s v="ORD0034"/>
    <x v="33"/>
    <x v="13"/>
    <x v="1"/>
    <x v="13"/>
    <x v="1"/>
    <x v="4"/>
    <x v="3"/>
    <x v="0"/>
    <s v="Consumer"/>
    <x v="2"/>
    <s v="Storage"/>
    <x v="12"/>
    <n v="950"/>
    <x v="5"/>
    <n v="0.05"/>
    <n v="280"/>
    <x v="3"/>
    <s v="Standard"/>
    <s v="Delivered"/>
    <n v="4"/>
    <s v="July"/>
    <x v="33"/>
    <n v="1167"/>
    <n v="24377.077977720652"/>
    <n v="55"/>
  </r>
  <r>
    <s v="ORD0035"/>
    <x v="34"/>
    <x v="14"/>
    <x v="8"/>
    <x v="14"/>
    <x v="0"/>
    <x v="5"/>
    <x v="4"/>
    <x v="1"/>
    <s v="Corporate"/>
    <x v="1"/>
    <s v="Chairs"/>
    <x v="1"/>
    <n v="8800"/>
    <x v="9"/>
    <n v="7.0000000000000007E-2"/>
    <n v="1850"/>
    <x v="1"/>
    <s v="Standard"/>
    <s v="Delivered"/>
    <n v="4"/>
    <s v="August"/>
    <x v="34"/>
    <n v="1166"/>
    <n v="24397.169811320753"/>
    <n v="55"/>
  </r>
  <r>
    <s v="ORD0036"/>
    <x v="35"/>
    <x v="15"/>
    <x v="6"/>
    <x v="15"/>
    <x v="1"/>
    <x v="1"/>
    <x v="1"/>
    <x v="1"/>
    <s v="Consumer"/>
    <x v="0"/>
    <s v="Accessories"/>
    <x v="2"/>
    <n v="20500"/>
    <x v="1"/>
    <n v="0.05"/>
    <n v="3600"/>
    <x v="0"/>
    <s v="Express"/>
    <s v="Delivered"/>
    <n v="5"/>
    <s v="August"/>
    <x v="35"/>
    <n v="1165"/>
    <n v="24410.557939914164"/>
    <n v="55"/>
  </r>
  <r>
    <s v="ORD0037"/>
    <x v="36"/>
    <x v="16"/>
    <x v="5"/>
    <x v="16"/>
    <x v="0"/>
    <x v="7"/>
    <x v="5"/>
    <x v="2"/>
    <s v="Corporate"/>
    <x v="2"/>
    <s v="Paper"/>
    <x v="3"/>
    <n v="3700"/>
    <x v="2"/>
    <n v="0.03"/>
    <n v="900"/>
    <x v="2"/>
    <s v="Standard"/>
    <s v="Delivered"/>
    <n v="4"/>
    <s v="August"/>
    <x v="36"/>
    <n v="1164"/>
    <n v="24413.917525773195"/>
    <n v="55"/>
  </r>
  <r>
    <s v="ORD0038"/>
    <x v="37"/>
    <x v="17"/>
    <x v="0"/>
    <x v="17"/>
    <x v="1"/>
    <x v="0"/>
    <x v="0"/>
    <x v="0"/>
    <s v="Consumer"/>
    <x v="1"/>
    <s v="Tables"/>
    <x v="4"/>
    <n v="15800"/>
    <x v="1"/>
    <n v="0.1"/>
    <n v="2400"/>
    <x v="0"/>
    <s v="Express"/>
    <s v="Delivered"/>
    <n v="5"/>
    <s v="August"/>
    <x v="37"/>
    <n v="1163"/>
    <n v="24431.728288907998"/>
    <n v="55"/>
  </r>
  <r>
    <s v="ORD0039"/>
    <x v="38"/>
    <x v="18"/>
    <x v="2"/>
    <x v="18"/>
    <x v="0"/>
    <x v="9"/>
    <x v="7"/>
    <x v="1"/>
    <s v="Corporate"/>
    <x v="0"/>
    <s v="Accessories"/>
    <x v="5"/>
    <n v="2900"/>
    <x v="9"/>
    <n v="0.05"/>
    <n v="700"/>
    <x v="1"/>
    <s v="Standard"/>
    <s v="Delivered"/>
    <n v="3"/>
    <s v="September"/>
    <x v="38"/>
    <n v="1162"/>
    <n v="24439.156626506025"/>
    <n v="55"/>
  </r>
  <r>
    <s v="ORD0040"/>
    <x v="39"/>
    <x v="19"/>
    <x v="7"/>
    <x v="19"/>
    <x v="1"/>
    <x v="6"/>
    <x v="0"/>
    <x v="0"/>
    <s v="Consumer"/>
    <x v="0"/>
    <s v="Accessories"/>
    <x v="6"/>
    <n v="1250"/>
    <x v="12"/>
    <n v="0"/>
    <n v="370"/>
    <x v="0"/>
    <s v="Standard"/>
    <s v="Delivered"/>
    <n v="4"/>
    <s v="September"/>
    <x v="39"/>
    <n v="1161"/>
    <n v="24457.708871662358"/>
    <n v="55"/>
  </r>
  <r>
    <s v="ORD0041"/>
    <x v="40"/>
    <x v="0"/>
    <x v="0"/>
    <x v="0"/>
    <x v="0"/>
    <x v="0"/>
    <x v="0"/>
    <x v="0"/>
    <s v="Consumer"/>
    <x v="0"/>
    <s v="Computers"/>
    <x v="0"/>
    <n v="61000"/>
    <x v="0"/>
    <n v="0.05"/>
    <n v="8000"/>
    <x v="0"/>
    <s v="Express"/>
    <s v="Delivered"/>
    <n v="5"/>
    <s v="September"/>
    <x v="40"/>
    <n v="1160"/>
    <n v="24477.71551724138"/>
    <n v="55"/>
  </r>
  <r>
    <s v="ORD0042"/>
    <x v="41"/>
    <x v="1"/>
    <x v="1"/>
    <x v="1"/>
    <x v="1"/>
    <x v="1"/>
    <x v="1"/>
    <x v="1"/>
    <s v="Corporate"/>
    <x v="1"/>
    <s v="Chairs"/>
    <x v="1"/>
    <n v="8100"/>
    <x v="3"/>
    <n v="0.1"/>
    <n v="1750"/>
    <x v="1"/>
    <s v="Standard"/>
    <s v="Delivered"/>
    <n v="4"/>
    <s v="September"/>
    <x v="41"/>
    <n v="1159"/>
    <n v="24446.203623813632"/>
    <n v="55"/>
  </r>
  <r>
    <s v="ORD0043"/>
    <x v="42"/>
    <x v="2"/>
    <x v="2"/>
    <x v="2"/>
    <x v="0"/>
    <x v="2"/>
    <x v="2"/>
    <x v="2"/>
    <s v="Consumer"/>
    <x v="0"/>
    <s v="Accessories"/>
    <x v="2"/>
    <n v="18200"/>
    <x v="1"/>
    <n v="0.05"/>
    <n v="3150"/>
    <x v="2"/>
    <s v="Standard"/>
    <s v="Delivered"/>
    <n v="4"/>
    <s v="September"/>
    <x v="42"/>
    <n v="1158"/>
    <n v="24460.319516407599"/>
    <n v="55"/>
  </r>
  <r>
    <s v="ORD0044"/>
    <x v="43"/>
    <x v="3"/>
    <x v="3"/>
    <x v="3"/>
    <x v="1"/>
    <x v="3"/>
    <x v="0"/>
    <x v="0"/>
    <s v="Consumer"/>
    <x v="2"/>
    <s v="Paper"/>
    <x v="7"/>
    <n v="480"/>
    <x v="13"/>
    <n v="0.02"/>
    <n v="130"/>
    <x v="0"/>
    <s v="Standard"/>
    <s v="Delivered"/>
    <n v="5"/>
    <s v="October"/>
    <x v="43"/>
    <n v="1157"/>
    <n v="24465.73033707865"/>
    <n v="55"/>
  </r>
  <r>
    <s v="ORD0045"/>
    <x v="44"/>
    <x v="4"/>
    <x v="4"/>
    <x v="4"/>
    <x v="0"/>
    <x v="4"/>
    <x v="3"/>
    <x v="0"/>
    <s v="Corporate"/>
    <x v="1"/>
    <s v="Tables"/>
    <x v="4"/>
    <n v="17000"/>
    <x v="1"/>
    <n v="0.08"/>
    <n v="2900"/>
    <x v="1"/>
    <s v="Express"/>
    <s v="Delivered"/>
    <n v="4"/>
    <s v="October"/>
    <x v="44"/>
    <n v="1156"/>
    <n v="24486.479238754324"/>
    <n v="55"/>
  </r>
  <r>
    <s v="ORD0046"/>
    <x v="45"/>
    <x v="5"/>
    <x v="5"/>
    <x v="5"/>
    <x v="1"/>
    <x v="5"/>
    <x v="4"/>
    <x v="1"/>
    <s v="Consumer"/>
    <x v="0"/>
    <s v="Accessories"/>
    <x v="5"/>
    <n v="2750"/>
    <x v="3"/>
    <n v="0.05"/>
    <n v="680"/>
    <x v="0"/>
    <s v="Standard"/>
    <s v="Delivered"/>
    <n v="4"/>
    <s v="October"/>
    <x v="45"/>
    <n v="1155"/>
    <n v="24492.961038961039"/>
    <n v="55"/>
  </r>
  <r>
    <s v="ORD0047"/>
    <x v="46"/>
    <x v="6"/>
    <x v="0"/>
    <x v="6"/>
    <x v="0"/>
    <x v="6"/>
    <x v="0"/>
    <x v="0"/>
    <s v="Consumer"/>
    <x v="0"/>
    <s v="Accessories"/>
    <x v="6"/>
    <n v="1400"/>
    <x v="10"/>
    <n v="0"/>
    <n v="410"/>
    <x v="3"/>
    <s v="Standard"/>
    <s v="Delivered"/>
    <n v="3"/>
    <s v="October"/>
    <x v="46"/>
    <n v="1154"/>
    <n v="24511.802426343154"/>
    <n v="55"/>
  </r>
  <r>
    <s v="ORD0048"/>
    <x v="47"/>
    <x v="7"/>
    <x v="6"/>
    <x v="7"/>
    <x v="1"/>
    <x v="7"/>
    <x v="5"/>
    <x v="2"/>
    <s v="Corporate"/>
    <x v="2"/>
    <s v="Paper"/>
    <x v="3"/>
    <n v="3400"/>
    <x v="2"/>
    <n v="0.02"/>
    <n v="950"/>
    <x v="0"/>
    <s v="Standard"/>
    <s v="Delivered"/>
    <n v="5"/>
    <s v="November"/>
    <x v="47"/>
    <n v="1153"/>
    <n v="24531.8473547268"/>
    <n v="55"/>
  </r>
  <r>
    <s v="ORD0049"/>
    <x v="48"/>
    <x v="8"/>
    <x v="1"/>
    <x v="8"/>
    <x v="0"/>
    <x v="8"/>
    <x v="6"/>
    <x v="3"/>
    <s v="Corporate"/>
    <x v="1"/>
    <s v="Storage"/>
    <x v="8"/>
    <n v="12800"/>
    <x v="0"/>
    <n v="0.1"/>
    <n v="2150"/>
    <x v="1"/>
    <s v="Express"/>
    <s v="Delivered"/>
    <n v="4"/>
    <s v="November"/>
    <x v="48"/>
    <n v="1152"/>
    <n v="24550.190972222223"/>
    <n v="55"/>
  </r>
  <r>
    <s v="ORD0050"/>
    <x v="49"/>
    <x v="9"/>
    <x v="4"/>
    <x v="9"/>
    <x v="1"/>
    <x v="0"/>
    <x v="0"/>
    <x v="0"/>
    <s v="Consumer"/>
    <x v="0"/>
    <s v="Printers"/>
    <x v="9"/>
    <n v="14800"/>
    <x v="1"/>
    <n v="0.05"/>
    <n v="2750"/>
    <x v="0"/>
    <s v="Standard"/>
    <s v="Delivered"/>
    <n v="4"/>
    <s v="November"/>
    <x v="49"/>
    <n v="1151"/>
    <n v="24560.399652476106"/>
    <n v="55"/>
  </r>
  <r>
    <s v="ORD0051"/>
    <x v="50"/>
    <x v="0"/>
    <x v="0"/>
    <x v="0"/>
    <x v="0"/>
    <x v="0"/>
    <x v="0"/>
    <x v="0"/>
    <s v="Consumer"/>
    <x v="0"/>
    <s v="Computers"/>
    <x v="0"/>
    <n v="59000"/>
    <x v="0"/>
    <n v="0.05"/>
    <n v="7600"/>
    <x v="0"/>
    <s v="Express"/>
    <s v="Delivered"/>
    <n v="5"/>
    <s v="November"/>
    <x v="50"/>
    <n v="1150"/>
    <n v="24568.886956521739"/>
    <n v="55"/>
  </r>
  <r>
    <s v="ORD0052"/>
    <x v="51"/>
    <x v="1"/>
    <x v="1"/>
    <x v="1"/>
    <x v="1"/>
    <x v="1"/>
    <x v="1"/>
    <x v="1"/>
    <s v="Corporate"/>
    <x v="1"/>
    <s v="Chairs"/>
    <x v="1"/>
    <n v="8300"/>
    <x v="3"/>
    <n v="0.1"/>
    <n v="1700"/>
    <x v="1"/>
    <s v="Standard"/>
    <s v="Delivered"/>
    <n v="4"/>
    <s v="November"/>
    <x v="51"/>
    <n v="1149"/>
    <n v="24538.920800696258"/>
    <n v="55"/>
  </r>
  <r>
    <s v="ORD0053"/>
    <x v="52"/>
    <x v="2"/>
    <x v="2"/>
    <x v="2"/>
    <x v="0"/>
    <x v="2"/>
    <x v="2"/>
    <x v="2"/>
    <s v="Consumer"/>
    <x v="0"/>
    <s v="Accessories"/>
    <x v="2"/>
    <n v="17600"/>
    <x v="1"/>
    <n v="0.05"/>
    <n v="3050"/>
    <x v="2"/>
    <s v="Standard"/>
    <s v="Delivered"/>
    <n v="4"/>
    <s v="December"/>
    <x v="52"/>
    <n v="1148"/>
    <n v="24553.066202090591"/>
    <n v="55"/>
  </r>
  <r>
    <s v="ORD0054"/>
    <x v="53"/>
    <x v="3"/>
    <x v="3"/>
    <x v="3"/>
    <x v="1"/>
    <x v="3"/>
    <x v="0"/>
    <x v="0"/>
    <s v="Consumer"/>
    <x v="2"/>
    <s v="Paper"/>
    <x v="7"/>
    <n v="500"/>
    <x v="6"/>
    <n v="0.02"/>
    <n v="135"/>
    <x v="0"/>
    <s v="Standard"/>
    <s v="Delivered"/>
    <n v="5"/>
    <s v="December"/>
    <x v="53"/>
    <n v="1147"/>
    <n v="24559.128160418484"/>
    <n v="55"/>
  </r>
  <r>
    <s v="ORD0055"/>
    <x v="54"/>
    <x v="4"/>
    <x v="4"/>
    <x v="4"/>
    <x v="0"/>
    <x v="4"/>
    <x v="3"/>
    <x v="0"/>
    <s v="Corporate"/>
    <x v="1"/>
    <s v="Tables"/>
    <x v="4"/>
    <n v="16200"/>
    <x v="1"/>
    <n v="0.08"/>
    <n v="2750"/>
    <x v="1"/>
    <s v="Express"/>
    <s v="Delivered"/>
    <n v="4"/>
    <s v="December"/>
    <x v="54"/>
    <n v="1146"/>
    <n v="24580.122164048866"/>
    <n v="55"/>
  </r>
  <r>
    <s v="ORD0056"/>
    <x v="55"/>
    <x v="5"/>
    <x v="5"/>
    <x v="5"/>
    <x v="1"/>
    <x v="5"/>
    <x v="4"/>
    <x v="1"/>
    <s v="Consumer"/>
    <x v="0"/>
    <s v="Accessories"/>
    <x v="5"/>
    <n v="2550"/>
    <x v="3"/>
    <n v="0.05"/>
    <n v="610"/>
    <x v="0"/>
    <s v="Standard"/>
    <s v="Delivered"/>
    <n v="4"/>
    <s v="December"/>
    <x v="55"/>
    <n v="1145"/>
    <n v="24587.441048034936"/>
    <n v="55"/>
  </r>
  <r>
    <s v="ORD0057"/>
    <x v="56"/>
    <x v="6"/>
    <x v="0"/>
    <x v="6"/>
    <x v="0"/>
    <x v="6"/>
    <x v="0"/>
    <x v="0"/>
    <s v="Consumer"/>
    <x v="0"/>
    <s v="Accessories"/>
    <x v="6"/>
    <n v="1300"/>
    <x v="4"/>
    <n v="0"/>
    <n v="360"/>
    <x v="3"/>
    <s v="Standard"/>
    <s v="Delivered"/>
    <n v="3"/>
    <s v="January"/>
    <x v="56"/>
    <n v="1144"/>
    <n v="24606.704545454544"/>
    <n v="55"/>
  </r>
  <r>
    <s v="ORD0058"/>
    <x v="57"/>
    <x v="7"/>
    <x v="6"/>
    <x v="7"/>
    <x v="1"/>
    <x v="7"/>
    <x v="5"/>
    <x v="2"/>
    <s v="Corporate"/>
    <x v="2"/>
    <s v="Paper"/>
    <x v="3"/>
    <n v="3600"/>
    <x v="2"/>
    <n v="0.02"/>
    <n v="980"/>
    <x v="0"/>
    <s v="Standard"/>
    <s v="Delivered"/>
    <n v="5"/>
    <s v="January"/>
    <x v="57"/>
    <n v="1143"/>
    <n v="24627.095363079614"/>
    <n v="55"/>
  </r>
  <r>
    <s v="ORD0059"/>
    <x v="58"/>
    <x v="8"/>
    <x v="1"/>
    <x v="8"/>
    <x v="0"/>
    <x v="8"/>
    <x v="6"/>
    <x v="3"/>
    <s v="Corporate"/>
    <x v="1"/>
    <s v="Storage"/>
    <x v="8"/>
    <n v="12900"/>
    <x v="0"/>
    <n v="0.1"/>
    <n v="2180"/>
    <x v="1"/>
    <s v="Express"/>
    <s v="Delivered"/>
    <n v="4"/>
    <s v="January"/>
    <x v="58"/>
    <n v="1142"/>
    <n v="24645.507880910682"/>
    <n v="55"/>
  </r>
  <r>
    <s v="ORD0060"/>
    <x v="59"/>
    <x v="9"/>
    <x v="4"/>
    <x v="9"/>
    <x v="1"/>
    <x v="0"/>
    <x v="0"/>
    <x v="0"/>
    <s v="Consumer"/>
    <x v="0"/>
    <s v="Printers"/>
    <x v="9"/>
    <n v="15300"/>
    <x v="1"/>
    <n v="0.05"/>
    <n v="2850"/>
    <x v="0"/>
    <s v="Standard"/>
    <s v="Delivered"/>
    <n v="4"/>
    <s v="January"/>
    <x v="59"/>
    <n v="1141"/>
    <n v="24655.801928133216"/>
    <n v="55"/>
  </r>
  <r>
    <s v="ORD0061"/>
    <x v="60"/>
    <x v="10"/>
    <x v="7"/>
    <x v="10"/>
    <x v="0"/>
    <x v="9"/>
    <x v="7"/>
    <x v="1"/>
    <s v="Consumer"/>
    <x v="2"/>
    <s v="Accessories"/>
    <x v="10"/>
    <n v="680"/>
    <x v="6"/>
    <n v="0"/>
    <n v="190"/>
    <x v="2"/>
    <s v="Standard"/>
    <s v="Delivered"/>
    <n v="5"/>
    <s v="January"/>
    <x v="60"/>
    <n v="1140"/>
    <n v="24664.008771929824"/>
    <n v="55"/>
  </r>
  <r>
    <s v="ORD0062"/>
    <x v="61"/>
    <x v="11"/>
    <x v="3"/>
    <x v="11"/>
    <x v="1"/>
    <x v="2"/>
    <x v="2"/>
    <x v="2"/>
    <s v="Corporate"/>
    <x v="1"/>
    <s v="Tables"/>
    <x v="11"/>
    <n v="22500"/>
    <x v="0"/>
    <n v="0.08"/>
    <n v="4300"/>
    <x v="1"/>
    <s v="Express"/>
    <s v="Delivered"/>
    <n v="4"/>
    <s v="February"/>
    <x v="61"/>
    <n v="1139"/>
    <n v="24685.065847234415"/>
    <n v="55"/>
  </r>
  <r>
    <s v="ORD0063"/>
    <x v="62"/>
    <x v="12"/>
    <x v="0"/>
    <x v="12"/>
    <x v="0"/>
    <x v="3"/>
    <x v="0"/>
    <x v="0"/>
    <s v="Consumer"/>
    <x v="0"/>
    <s v="Computers"/>
    <x v="0"/>
    <n v="63500"/>
    <x v="0"/>
    <n v="0.1"/>
    <n v="7200"/>
    <x v="0"/>
    <s v="Express"/>
    <s v="Delivered"/>
    <n v="5"/>
    <s v="February"/>
    <x v="62"/>
    <n v="1138"/>
    <n v="24686.985940246046"/>
    <n v="55"/>
  </r>
  <r>
    <s v="ORD0064"/>
    <x v="63"/>
    <x v="13"/>
    <x v="1"/>
    <x v="13"/>
    <x v="1"/>
    <x v="4"/>
    <x v="3"/>
    <x v="0"/>
    <s v="Consumer"/>
    <x v="2"/>
    <s v="Storage"/>
    <x v="12"/>
    <n v="880"/>
    <x v="7"/>
    <n v="0.05"/>
    <n v="240"/>
    <x v="3"/>
    <s v="Standard"/>
    <s v="Delivered"/>
    <n v="4"/>
    <s v="February"/>
    <x v="63"/>
    <n v="1137"/>
    <n v="24652.849604221636"/>
    <n v="55"/>
  </r>
  <r>
    <s v="ORD0065"/>
    <x v="64"/>
    <x v="14"/>
    <x v="8"/>
    <x v="14"/>
    <x v="0"/>
    <x v="5"/>
    <x v="4"/>
    <x v="1"/>
    <s v="Corporate"/>
    <x v="1"/>
    <s v="Chairs"/>
    <x v="1"/>
    <n v="9000"/>
    <x v="9"/>
    <n v="7.0000000000000007E-2"/>
    <n v="1950"/>
    <x v="1"/>
    <s v="Standard"/>
    <s v="Delivered"/>
    <n v="4"/>
    <s v="February"/>
    <x v="64"/>
    <n v="1136"/>
    <n v="24673.776408450703"/>
    <n v="55"/>
  </r>
  <r>
    <s v="ORD0066"/>
    <x v="65"/>
    <x v="15"/>
    <x v="6"/>
    <x v="15"/>
    <x v="1"/>
    <x v="1"/>
    <x v="1"/>
    <x v="1"/>
    <s v="Consumer"/>
    <x v="0"/>
    <s v="Accessories"/>
    <x v="2"/>
    <n v="19800"/>
    <x v="1"/>
    <n v="0.05"/>
    <n v="3500"/>
    <x v="0"/>
    <s v="Express"/>
    <s v="Delivered"/>
    <n v="5"/>
    <s v="March"/>
    <x v="65"/>
    <n v="1135"/>
    <n v="24687.585903083702"/>
    <n v="55"/>
  </r>
  <r>
    <s v="ORD0067"/>
    <x v="66"/>
    <x v="16"/>
    <x v="5"/>
    <x v="16"/>
    <x v="0"/>
    <x v="7"/>
    <x v="5"/>
    <x v="2"/>
    <s v="Corporate"/>
    <x v="2"/>
    <s v="Paper"/>
    <x v="3"/>
    <n v="3550"/>
    <x v="8"/>
    <n v="0.03"/>
    <n v="870"/>
    <x v="2"/>
    <s v="Standard"/>
    <s v="Delivered"/>
    <n v="4"/>
    <s v="March"/>
    <x v="66"/>
    <n v="1134"/>
    <n v="24691.895943562609"/>
    <n v="55"/>
  </r>
  <r>
    <s v="ORD0068"/>
    <x v="67"/>
    <x v="17"/>
    <x v="0"/>
    <x v="17"/>
    <x v="1"/>
    <x v="0"/>
    <x v="0"/>
    <x v="0"/>
    <s v="Consumer"/>
    <x v="1"/>
    <s v="Tables"/>
    <x v="4"/>
    <n v="16000"/>
    <x v="1"/>
    <n v="0.1"/>
    <n v="2500"/>
    <x v="0"/>
    <s v="Express"/>
    <s v="Delivered"/>
    <n v="5"/>
    <s v="March"/>
    <x v="67"/>
    <n v="1133"/>
    <n v="24710.556045895853"/>
    <n v="55"/>
  </r>
  <r>
    <s v="ORD0069"/>
    <x v="68"/>
    <x v="18"/>
    <x v="2"/>
    <x v="18"/>
    <x v="0"/>
    <x v="9"/>
    <x v="7"/>
    <x v="1"/>
    <s v="Corporate"/>
    <x v="0"/>
    <s v="Accessories"/>
    <x v="5"/>
    <n v="2850"/>
    <x v="9"/>
    <n v="0.05"/>
    <n v="690"/>
    <x v="1"/>
    <s v="Standard"/>
    <s v="Delivered"/>
    <n v="3"/>
    <s v="March"/>
    <x v="68"/>
    <n v="1132"/>
    <n v="24718.250883392226"/>
    <n v="55"/>
  </r>
  <r>
    <s v="ORD0070"/>
    <x v="69"/>
    <x v="19"/>
    <x v="7"/>
    <x v="19"/>
    <x v="1"/>
    <x v="6"/>
    <x v="0"/>
    <x v="0"/>
    <s v="Consumer"/>
    <x v="0"/>
    <s v="Accessories"/>
    <x v="6"/>
    <n v="1250"/>
    <x v="10"/>
    <n v="0"/>
    <n v="350"/>
    <x v="0"/>
    <s v="Standard"/>
    <s v="Delivered"/>
    <n v="4"/>
    <s v="April"/>
    <x v="69"/>
    <n v="1131"/>
    <n v="24737.586206896551"/>
    <n v="55"/>
  </r>
  <r>
    <s v="ORD0071"/>
    <x v="70"/>
    <x v="0"/>
    <x v="0"/>
    <x v="0"/>
    <x v="0"/>
    <x v="0"/>
    <x v="0"/>
    <x v="0"/>
    <s v="Consumer"/>
    <x v="0"/>
    <s v="Computers"/>
    <x v="0"/>
    <n v="60000"/>
    <x v="0"/>
    <n v="0.05"/>
    <n v="7800"/>
    <x v="0"/>
    <s v="Express"/>
    <s v="Delivered"/>
    <n v="5"/>
    <s v="April"/>
    <x v="70"/>
    <n v="1130"/>
    <n v="24758.371681415931"/>
    <n v="55"/>
  </r>
  <r>
    <s v="ORD0072"/>
    <x v="71"/>
    <x v="1"/>
    <x v="1"/>
    <x v="1"/>
    <x v="1"/>
    <x v="1"/>
    <x v="1"/>
    <x v="1"/>
    <s v="Corporate"/>
    <x v="1"/>
    <s v="Chairs"/>
    <x v="1"/>
    <n v="7900"/>
    <x v="3"/>
    <n v="0.1"/>
    <n v="1650"/>
    <x v="1"/>
    <s v="Standard"/>
    <s v="Delivered"/>
    <n v="4"/>
    <s v="April"/>
    <x v="71"/>
    <n v="1129"/>
    <n v="24727.156775907883"/>
    <n v="55"/>
  </r>
  <r>
    <s v="ORD0073"/>
    <x v="72"/>
    <x v="2"/>
    <x v="2"/>
    <x v="2"/>
    <x v="0"/>
    <x v="2"/>
    <x v="2"/>
    <x v="2"/>
    <s v="Consumer"/>
    <x v="0"/>
    <s v="Accessories"/>
    <x v="2"/>
    <n v="18500"/>
    <x v="1"/>
    <n v="0.05"/>
    <n v="3250"/>
    <x v="2"/>
    <s v="Standard"/>
    <s v="Delivered"/>
    <n v="4"/>
    <s v="April"/>
    <x v="72"/>
    <n v="1128"/>
    <n v="24742.074468085106"/>
    <n v="55"/>
  </r>
  <r>
    <s v="ORD0074"/>
    <x v="73"/>
    <x v="3"/>
    <x v="3"/>
    <x v="3"/>
    <x v="1"/>
    <x v="3"/>
    <x v="0"/>
    <x v="0"/>
    <s v="Consumer"/>
    <x v="2"/>
    <s v="Paper"/>
    <x v="7"/>
    <n v="510"/>
    <x v="5"/>
    <n v="0.02"/>
    <n v="140"/>
    <x v="0"/>
    <s v="Standard"/>
    <s v="Delivered"/>
    <n v="5"/>
    <s v="May"/>
    <x v="73"/>
    <n v="1127"/>
    <n v="24747.613132209404"/>
    <n v="55"/>
  </r>
  <r>
    <s v="ORD0075"/>
    <x v="74"/>
    <x v="4"/>
    <x v="4"/>
    <x v="4"/>
    <x v="0"/>
    <x v="4"/>
    <x v="3"/>
    <x v="0"/>
    <s v="Corporate"/>
    <x v="1"/>
    <s v="Tables"/>
    <x v="4"/>
    <n v="15500"/>
    <x v="1"/>
    <n v="0.08"/>
    <n v="2650"/>
    <x v="1"/>
    <s v="Express"/>
    <s v="Delivered"/>
    <n v="4"/>
    <s v="May"/>
    <x v="74"/>
    <n v="1126"/>
    <n v="24769.138543516874"/>
    <n v="55"/>
  </r>
  <r>
    <s v="ORD0076"/>
    <x v="75"/>
    <x v="5"/>
    <x v="5"/>
    <x v="5"/>
    <x v="1"/>
    <x v="5"/>
    <x v="4"/>
    <x v="1"/>
    <s v="Consumer"/>
    <x v="0"/>
    <s v="Accessories"/>
    <x v="5"/>
    <n v="2700"/>
    <x v="3"/>
    <n v="0.05"/>
    <n v="650"/>
    <x v="0"/>
    <s v="Standard"/>
    <s v="Delivered"/>
    <n v="4"/>
    <s v="May"/>
    <x v="75"/>
    <n v="1125"/>
    <n v="24777.37777777778"/>
    <n v="55"/>
  </r>
  <r>
    <s v="ORD0077"/>
    <x v="76"/>
    <x v="6"/>
    <x v="0"/>
    <x v="6"/>
    <x v="0"/>
    <x v="6"/>
    <x v="0"/>
    <x v="0"/>
    <s v="Consumer"/>
    <x v="0"/>
    <s v="Accessories"/>
    <x v="6"/>
    <n v="1180"/>
    <x v="4"/>
    <n v="0"/>
    <n v="330"/>
    <x v="3"/>
    <s v="Standard"/>
    <s v="Delivered"/>
    <n v="3"/>
    <s v="May"/>
    <x v="76"/>
    <n v="1124"/>
    <n v="24797.019572953737"/>
    <n v="55"/>
  </r>
  <r>
    <s v="ORD0078"/>
    <x v="77"/>
    <x v="7"/>
    <x v="6"/>
    <x v="7"/>
    <x v="1"/>
    <x v="7"/>
    <x v="5"/>
    <x v="2"/>
    <s v="Corporate"/>
    <x v="2"/>
    <s v="Paper"/>
    <x v="3"/>
    <n v="3450"/>
    <x v="2"/>
    <n v="0.02"/>
    <n v="940"/>
    <x v="0"/>
    <s v="Standard"/>
    <s v="Delivered"/>
    <n v="5"/>
    <s v="May"/>
    <x v="77"/>
    <n v="1123"/>
    <n v="24818.049866429206"/>
    <n v="55"/>
  </r>
  <r>
    <s v="ORD0079"/>
    <x v="78"/>
    <x v="8"/>
    <x v="1"/>
    <x v="8"/>
    <x v="0"/>
    <x v="8"/>
    <x v="6"/>
    <x v="3"/>
    <s v="Corporate"/>
    <x v="1"/>
    <s v="Storage"/>
    <x v="8"/>
    <n v="13500"/>
    <x v="0"/>
    <n v="0.1"/>
    <n v="2250"/>
    <x v="1"/>
    <s v="Express"/>
    <s v="Delivered"/>
    <n v="4"/>
    <s v="June"/>
    <x v="78"/>
    <n v="1122"/>
    <n v="24837.094474153299"/>
    <n v="55"/>
  </r>
  <r>
    <s v="ORD0080"/>
    <x v="79"/>
    <x v="9"/>
    <x v="4"/>
    <x v="9"/>
    <x v="1"/>
    <x v="0"/>
    <x v="0"/>
    <x v="0"/>
    <s v="Consumer"/>
    <x v="0"/>
    <s v="Printers"/>
    <x v="9"/>
    <n v="14900"/>
    <x v="1"/>
    <n v="0.05"/>
    <n v="2780"/>
    <x v="0"/>
    <s v="Standard"/>
    <s v="Delivered"/>
    <n v="4"/>
    <s v="June"/>
    <x v="79"/>
    <n v="1121"/>
    <n v="24847.207850133807"/>
    <n v="55"/>
  </r>
  <r>
    <s v="ORD0081"/>
    <x v="80"/>
    <x v="10"/>
    <x v="7"/>
    <x v="10"/>
    <x v="0"/>
    <x v="9"/>
    <x v="7"/>
    <x v="1"/>
    <s v="Consumer"/>
    <x v="2"/>
    <s v="Accessories"/>
    <x v="10"/>
    <n v="720"/>
    <x v="11"/>
    <n v="0"/>
    <n v="210"/>
    <x v="2"/>
    <s v="Standard"/>
    <s v="Delivered"/>
    <n v="5"/>
    <s v="June"/>
    <x v="80"/>
    <n v="1120"/>
    <n v="24856.089285714286"/>
    <n v="55"/>
  </r>
  <r>
    <s v="ORD0082"/>
    <x v="81"/>
    <x v="11"/>
    <x v="3"/>
    <x v="11"/>
    <x v="1"/>
    <x v="2"/>
    <x v="2"/>
    <x v="2"/>
    <s v="Corporate"/>
    <x v="1"/>
    <s v="Tables"/>
    <x v="11"/>
    <n v="21800"/>
    <x v="0"/>
    <n v="0.08"/>
    <n v="4100"/>
    <x v="1"/>
    <s v="Express"/>
    <s v="Delivered"/>
    <n v="4"/>
    <s v="June"/>
    <x v="81"/>
    <n v="1119"/>
    <n v="24877.658623771225"/>
    <n v="55"/>
  </r>
  <r>
    <s v="ORD0083"/>
    <x v="82"/>
    <x v="12"/>
    <x v="0"/>
    <x v="12"/>
    <x v="0"/>
    <x v="3"/>
    <x v="0"/>
    <x v="0"/>
    <s v="Consumer"/>
    <x v="0"/>
    <s v="Computers"/>
    <x v="0"/>
    <n v="65000"/>
    <x v="0"/>
    <n v="0.1"/>
    <n v="7300"/>
    <x v="0"/>
    <s v="Express"/>
    <s v="Delivered"/>
    <n v="5"/>
    <s v="July"/>
    <x v="82"/>
    <n v="1118"/>
    <n v="24880.411449016101"/>
    <n v="55"/>
  </r>
  <r>
    <s v="ORD0084"/>
    <x v="83"/>
    <x v="13"/>
    <x v="1"/>
    <x v="13"/>
    <x v="1"/>
    <x v="4"/>
    <x v="3"/>
    <x v="0"/>
    <s v="Consumer"/>
    <x v="2"/>
    <s v="Storage"/>
    <x v="12"/>
    <n v="920"/>
    <x v="5"/>
    <n v="0.05"/>
    <n v="270"/>
    <x v="3"/>
    <s v="Standard"/>
    <s v="Delivered"/>
    <n v="4"/>
    <s v="July"/>
    <x v="83"/>
    <n v="1117"/>
    <n v="24844.494180841539"/>
    <n v="55"/>
  </r>
  <r>
    <s v="ORD0085"/>
    <x v="84"/>
    <x v="14"/>
    <x v="8"/>
    <x v="14"/>
    <x v="0"/>
    <x v="5"/>
    <x v="4"/>
    <x v="1"/>
    <s v="Corporate"/>
    <x v="1"/>
    <s v="Chairs"/>
    <x v="1"/>
    <n v="8750"/>
    <x v="9"/>
    <n v="7.0000000000000007E-2"/>
    <n v="1800"/>
    <x v="1"/>
    <s v="Standard"/>
    <s v="Delivered"/>
    <n v="4"/>
    <s v="July"/>
    <x v="84"/>
    <n v="1116"/>
    <n v="24865.931899641579"/>
    <n v="55"/>
  </r>
  <r>
    <s v="ORD0086"/>
    <x v="85"/>
    <x v="15"/>
    <x v="6"/>
    <x v="15"/>
    <x v="1"/>
    <x v="1"/>
    <x v="1"/>
    <x v="1"/>
    <s v="Consumer"/>
    <x v="0"/>
    <s v="Accessories"/>
    <x v="2"/>
    <n v="20200"/>
    <x v="1"/>
    <n v="0.05"/>
    <n v="3550"/>
    <x v="0"/>
    <s v="Express"/>
    <s v="Delivered"/>
    <n v="5"/>
    <s v="July"/>
    <x v="85"/>
    <n v="1115"/>
    <n v="24880.385650224216"/>
    <n v="55"/>
  </r>
  <r>
    <s v="ORD0087"/>
    <x v="86"/>
    <x v="16"/>
    <x v="5"/>
    <x v="16"/>
    <x v="0"/>
    <x v="7"/>
    <x v="5"/>
    <x v="2"/>
    <s v="Corporate"/>
    <x v="2"/>
    <s v="Paper"/>
    <x v="3"/>
    <n v="3800"/>
    <x v="2"/>
    <n v="0.03"/>
    <n v="930"/>
    <x v="2"/>
    <s v="Standard"/>
    <s v="Delivered"/>
    <n v="4"/>
    <s v="July"/>
    <x v="86"/>
    <n v="1114"/>
    <n v="24884.587073608618"/>
    <n v="55"/>
  </r>
  <r>
    <s v="ORD0088"/>
    <x v="87"/>
    <x v="17"/>
    <x v="0"/>
    <x v="17"/>
    <x v="1"/>
    <x v="0"/>
    <x v="0"/>
    <x v="0"/>
    <s v="Consumer"/>
    <x v="1"/>
    <s v="Tables"/>
    <x v="4"/>
    <n v="16500"/>
    <x v="1"/>
    <n v="0.1"/>
    <n v="2550"/>
    <x v="0"/>
    <s v="Express"/>
    <s v="Delivered"/>
    <n v="5"/>
    <s v="August"/>
    <x v="87"/>
    <n v="1113"/>
    <n v="24903.530997304581"/>
    <n v="55"/>
  </r>
  <r>
    <s v="ORD0089"/>
    <x v="88"/>
    <x v="18"/>
    <x v="2"/>
    <x v="18"/>
    <x v="0"/>
    <x v="9"/>
    <x v="7"/>
    <x v="1"/>
    <s v="Corporate"/>
    <x v="0"/>
    <s v="Accessories"/>
    <x v="5"/>
    <n v="2950"/>
    <x v="9"/>
    <n v="0.05"/>
    <n v="720"/>
    <x v="1"/>
    <s v="Standard"/>
    <s v="Delivered"/>
    <n v="3"/>
    <s v="August"/>
    <x v="88"/>
    <n v="1112"/>
    <n v="24911.088129496402"/>
    <n v="55"/>
  </r>
  <r>
    <s v="ORD0090"/>
    <x v="89"/>
    <x v="19"/>
    <x v="7"/>
    <x v="19"/>
    <x v="1"/>
    <x v="6"/>
    <x v="0"/>
    <x v="0"/>
    <s v="Consumer"/>
    <x v="0"/>
    <s v="Accessories"/>
    <x v="6"/>
    <n v="1350"/>
    <x v="12"/>
    <n v="0"/>
    <n v="400"/>
    <x v="0"/>
    <s v="Standard"/>
    <s v="Delivered"/>
    <n v="4"/>
    <s v="August"/>
    <x v="89"/>
    <n v="1111"/>
    <n v="24930.855085508552"/>
    <n v="55"/>
  </r>
  <r>
    <s v="ORD0091"/>
    <x v="90"/>
    <x v="0"/>
    <x v="0"/>
    <x v="0"/>
    <x v="0"/>
    <x v="0"/>
    <x v="0"/>
    <x v="0"/>
    <s v="Consumer"/>
    <x v="0"/>
    <s v="Computers"/>
    <x v="0"/>
    <n v="62000"/>
    <x v="0"/>
    <n v="0.05"/>
    <n v="8100"/>
    <x v="0"/>
    <s v="Express"/>
    <s v="Delivered"/>
    <n v="5"/>
    <s v="August"/>
    <x v="90"/>
    <n v="1110"/>
    <n v="24952.099099099098"/>
    <n v="55"/>
  </r>
  <r>
    <s v="ORD0092"/>
    <x v="91"/>
    <x v="1"/>
    <x v="1"/>
    <x v="1"/>
    <x v="1"/>
    <x v="1"/>
    <x v="1"/>
    <x v="1"/>
    <s v="Corporate"/>
    <x v="1"/>
    <s v="Chairs"/>
    <x v="1"/>
    <n v="8200"/>
    <x v="3"/>
    <n v="0.1"/>
    <n v="1780"/>
    <x v="1"/>
    <s v="Standard"/>
    <s v="Delivered"/>
    <n v="4"/>
    <s v="September"/>
    <x v="91"/>
    <n v="1109"/>
    <n v="24918.692515779981"/>
    <n v="55"/>
  </r>
  <r>
    <s v="ORD0093"/>
    <x v="92"/>
    <x v="2"/>
    <x v="2"/>
    <x v="2"/>
    <x v="0"/>
    <x v="2"/>
    <x v="2"/>
    <x v="2"/>
    <s v="Consumer"/>
    <x v="0"/>
    <s v="Accessories"/>
    <x v="2"/>
    <n v="17900"/>
    <x v="1"/>
    <n v="0.05"/>
    <n v="3100"/>
    <x v="2"/>
    <s v="Standard"/>
    <s v="Delivered"/>
    <n v="4"/>
    <s v="September"/>
    <x v="92"/>
    <n v="1108"/>
    <n v="24933.781588447655"/>
    <n v="55"/>
  </r>
  <r>
    <s v="ORD0094"/>
    <x v="93"/>
    <x v="3"/>
    <x v="3"/>
    <x v="3"/>
    <x v="1"/>
    <x v="3"/>
    <x v="0"/>
    <x v="0"/>
    <s v="Consumer"/>
    <x v="2"/>
    <s v="Paper"/>
    <x v="7"/>
    <n v="490"/>
    <x v="13"/>
    <n v="0.02"/>
    <n v="125"/>
    <x v="0"/>
    <s v="Standard"/>
    <s v="Delivered"/>
    <n v="5"/>
    <s v="September"/>
    <x v="93"/>
    <n v="1107"/>
    <n v="24940.135501355013"/>
    <n v="55"/>
  </r>
  <r>
    <s v="ORD0095"/>
    <x v="94"/>
    <x v="4"/>
    <x v="4"/>
    <x v="4"/>
    <x v="0"/>
    <x v="4"/>
    <x v="3"/>
    <x v="0"/>
    <s v="Corporate"/>
    <x v="1"/>
    <s v="Tables"/>
    <x v="4"/>
    <n v="16800"/>
    <x v="1"/>
    <n v="0.08"/>
    <n v="2850"/>
    <x v="1"/>
    <s v="Express"/>
    <s v="Delivered"/>
    <n v="4"/>
    <s v="September"/>
    <x v="94"/>
    <n v="1106"/>
    <n v="24962.242314647377"/>
    <n v="55"/>
  </r>
  <r>
    <s v="ORD0096"/>
    <x v="95"/>
    <x v="5"/>
    <x v="5"/>
    <x v="5"/>
    <x v="1"/>
    <x v="5"/>
    <x v="4"/>
    <x v="1"/>
    <s v="Consumer"/>
    <x v="0"/>
    <s v="Accessories"/>
    <x v="5"/>
    <n v="2650"/>
    <x v="3"/>
    <n v="0.05"/>
    <n v="630"/>
    <x v="0"/>
    <s v="Standard"/>
    <s v="Delivered"/>
    <n v="4"/>
    <s v="October"/>
    <x v="95"/>
    <n v="1105"/>
    <n v="24969.628959276019"/>
    <n v="55"/>
  </r>
  <r>
    <s v="ORD0097"/>
    <x v="96"/>
    <x v="6"/>
    <x v="0"/>
    <x v="6"/>
    <x v="0"/>
    <x v="6"/>
    <x v="0"/>
    <x v="0"/>
    <s v="Consumer"/>
    <x v="0"/>
    <s v="Accessories"/>
    <x v="6"/>
    <n v="1450"/>
    <x v="10"/>
    <n v="0"/>
    <n v="420"/>
    <x v="3"/>
    <s v="Standard"/>
    <s v="Delivered"/>
    <n v="3"/>
    <s v="October"/>
    <x v="96"/>
    <n v="1104"/>
    <n v="24989.846014492752"/>
    <n v="55"/>
  </r>
  <r>
    <s v="ORD0098"/>
    <x v="97"/>
    <x v="7"/>
    <x v="6"/>
    <x v="7"/>
    <x v="1"/>
    <x v="7"/>
    <x v="5"/>
    <x v="2"/>
    <s v="Corporate"/>
    <x v="2"/>
    <s v="Paper"/>
    <x v="3"/>
    <n v="3500"/>
    <x v="2"/>
    <n v="0.02"/>
    <n v="960"/>
    <x v="0"/>
    <s v="Standard"/>
    <s v="Delivered"/>
    <n v="5"/>
    <s v="October"/>
    <x v="97"/>
    <n v="1103"/>
    <n v="25011.187669990934"/>
    <n v="55"/>
  </r>
  <r>
    <s v="ORD0099"/>
    <x v="98"/>
    <x v="8"/>
    <x v="1"/>
    <x v="8"/>
    <x v="0"/>
    <x v="8"/>
    <x v="6"/>
    <x v="3"/>
    <s v="Corporate"/>
    <x v="1"/>
    <s v="Storage"/>
    <x v="8"/>
    <n v="13100"/>
    <x v="0"/>
    <n v="0.1"/>
    <n v="2190"/>
    <x v="1"/>
    <s v="Express"/>
    <s v="Delivered"/>
    <n v="4"/>
    <s v="October"/>
    <x v="98"/>
    <n v="1102"/>
    <n v="25030.70780399274"/>
    <n v="55"/>
  </r>
  <r>
    <s v="ORD0100"/>
    <x v="99"/>
    <x v="9"/>
    <x v="4"/>
    <x v="9"/>
    <x v="1"/>
    <x v="0"/>
    <x v="0"/>
    <x v="0"/>
    <s v="Consumer"/>
    <x v="0"/>
    <s v="Printers"/>
    <x v="9"/>
    <n v="15000"/>
    <x v="1"/>
    <n v="0.05"/>
    <n v="2800"/>
    <x v="0"/>
    <s v="Standard"/>
    <s v="Delivered"/>
    <n v="4"/>
    <s v="October"/>
    <x v="99"/>
    <n v="1101"/>
    <n v="25041.544050862853"/>
    <n v="55"/>
  </r>
  <r>
    <s v="ORD0101"/>
    <x v="100"/>
    <x v="0"/>
    <x v="0"/>
    <x v="0"/>
    <x v="0"/>
    <x v="0"/>
    <x v="0"/>
    <x v="0"/>
    <s v="Consumer"/>
    <x v="0"/>
    <s v="Computers"/>
    <x v="0"/>
    <n v="57500"/>
    <x v="0"/>
    <n v="0.05"/>
    <n v="7200"/>
    <x v="0"/>
    <s v="Express"/>
    <s v="Delivered"/>
    <n v="5"/>
    <s v="November"/>
    <x v="100"/>
    <n v="1100"/>
    <n v="25050.672727272726"/>
    <n v="55"/>
  </r>
  <r>
    <s v="ORD0102"/>
    <x v="101"/>
    <x v="1"/>
    <x v="1"/>
    <x v="1"/>
    <x v="1"/>
    <x v="1"/>
    <x v="1"/>
    <x v="1"/>
    <s v="Corporate"/>
    <x v="1"/>
    <s v="Chairs"/>
    <x v="1"/>
    <n v="8600"/>
    <x v="3"/>
    <n v="0.1"/>
    <n v="1750"/>
    <x v="1"/>
    <s v="Standard"/>
    <s v="Delivered"/>
    <n v="4"/>
    <s v="November"/>
    <x v="101"/>
    <n v="1099"/>
    <n v="25021.146496815287"/>
    <n v="55"/>
  </r>
  <r>
    <s v="ORD0103"/>
    <x v="102"/>
    <x v="2"/>
    <x v="2"/>
    <x v="2"/>
    <x v="0"/>
    <x v="2"/>
    <x v="2"/>
    <x v="2"/>
    <s v="Consumer"/>
    <x v="0"/>
    <s v="Accessories"/>
    <x v="2"/>
    <n v="18100"/>
    <x v="1"/>
    <n v="0.05"/>
    <n v="3150"/>
    <x v="2"/>
    <s v="Standard"/>
    <s v="Delivered"/>
    <n v="4"/>
    <s v="November"/>
    <x v="102"/>
    <n v="1098"/>
    <n v="25036.102003642987"/>
    <n v="55"/>
  </r>
  <r>
    <s v="ORD0104"/>
    <x v="103"/>
    <x v="3"/>
    <x v="3"/>
    <x v="3"/>
    <x v="1"/>
    <x v="3"/>
    <x v="0"/>
    <x v="0"/>
    <s v="Consumer"/>
    <x v="2"/>
    <s v="Paper"/>
    <x v="7"/>
    <n v="530"/>
    <x v="6"/>
    <n v="0.02"/>
    <n v="145"/>
    <x v="0"/>
    <s v="Standard"/>
    <s v="Delivered"/>
    <n v="5"/>
    <s v="November"/>
    <x v="103"/>
    <n v="1097"/>
    <n v="25042.424794895167"/>
    <n v="55"/>
  </r>
  <r>
    <s v="ORD0105"/>
    <x v="104"/>
    <x v="4"/>
    <x v="4"/>
    <x v="4"/>
    <x v="0"/>
    <x v="4"/>
    <x v="3"/>
    <x v="0"/>
    <s v="Corporate"/>
    <x v="1"/>
    <s v="Tables"/>
    <x v="4"/>
    <n v="15900"/>
    <x v="1"/>
    <n v="0.08"/>
    <n v="2680"/>
    <x v="1"/>
    <s v="Express"/>
    <s v="Delivered"/>
    <n v="4"/>
    <s v="December"/>
    <x v="104"/>
    <n v="1096"/>
    <n v="25064.7901459854"/>
    <n v="55"/>
  </r>
  <r>
    <s v="ORD0106"/>
    <x v="105"/>
    <x v="5"/>
    <x v="5"/>
    <x v="5"/>
    <x v="1"/>
    <x v="5"/>
    <x v="4"/>
    <x v="1"/>
    <s v="Consumer"/>
    <x v="0"/>
    <s v="Accessories"/>
    <x v="5"/>
    <n v="2750"/>
    <x v="3"/>
    <n v="0.05"/>
    <n v="660"/>
    <x v="0"/>
    <s v="Standard"/>
    <s v="Delivered"/>
    <n v="4"/>
    <s v="December"/>
    <x v="105"/>
    <n v="1095"/>
    <n v="25073.159817351599"/>
    <n v="55"/>
  </r>
  <r>
    <s v="ORD0107"/>
    <x v="106"/>
    <x v="6"/>
    <x v="0"/>
    <x v="6"/>
    <x v="0"/>
    <x v="6"/>
    <x v="0"/>
    <x v="0"/>
    <s v="Consumer"/>
    <x v="0"/>
    <s v="Accessories"/>
    <x v="6"/>
    <n v="1220"/>
    <x v="4"/>
    <n v="0"/>
    <n v="340"/>
    <x v="3"/>
    <s v="Standard"/>
    <s v="Delivered"/>
    <n v="3"/>
    <s v="December"/>
    <x v="106"/>
    <n v="1094"/>
    <n v="25093.564899451554"/>
    <n v="55"/>
  </r>
  <r>
    <s v="ORD0108"/>
    <x v="107"/>
    <x v="7"/>
    <x v="6"/>
    <x v="7"/>
    <x v="1"/>
    <x v="7"/>
    <x v="5"/>
    <x v="2"/>
    <s v="Corporate"/>
    <x v="2"/>
    <s v="Paper"/>
    <x v="3"/>
    <n v="3650"/>
    <x v="2"/>
    <n v="0.02"/>
    <n v="990"/>
    <x v="0"/>
    <s v="Standard"/>
    <s v="Delivered"/>
    <n v="5"/>
    <s v="December"/>
    <x v="107"/>
    <n v="1093"/>
    <n v="25115.40713632205"/>
    <n v="55"/>
  </r>
  <r>
    <s v="ORD0109"/>
    <x v="108"/>
    <x v="8"/>
    <x v="1"/>
    <x v="8"/>
    <x v="0"/>
    <x v="8"/>
    <x v="6"/>
    <x v="3"/>
    <s v="Corporate"/>
    <x v="1"/>
    <s v="Storage"/>
    <x v="8"/>
    <n v="12700"/>
    <x v="0"/>
    <n v="0.1"/>
    <n v="2140"/>
    <x v="1"/>
    <s v="Express"/>
    <s v="Delivered"/>
    <n v="4"/>
    <s v="January"/>
    <x v="108"/>
    <n v="1092"/>
    <n v="25135.064102564102"/>
    <n v="55"/>
  </r>
  <r>
    <s v="ORD0110"/>
    <x v="109"/>
    <x v="9"/>
    <x v="4"/>
    <x v="9"/>
    <x v="1"/>
    <x v="0"/>
    <x v="0"/>
    <x v="0"/>
    <s v="Consumer"/>
    <x v="0"/>
    <s v="Printers"/>
    <x v="9"/>
    <n v="14700"/>
    <x v="1"/>
    <n v="0.05"/>
    <n v="2720"/>
    <x v="0"/>
    <s v="Standard"/>
    <s v="Delivered"/>
    <n v="4"/>
    <s v="January"/>
    <x v="109"/>
    <n v="1091"/>
    <n v="25146.46196150321"/>
    <n v="55"/>
  </r>
  <r>
    <s v="ORD0111"/>
    <x v="110"/>
    <x v="10"/>
    <x v="7"/>
    <x v="10"/>
    <x v="0"/>
    <x v="9"/>
    <x v="7"/>
    <x v="1"/>
    <s v="Consumer"/>
    <x v="2"/>
    <s v="Accessories"/>
    <x v="10"/>
    <n v="690"/>
    <x v="6"/>
    <n v="0"/>
    <n v="195"/>
    <x v="2"/>
    <s v="Standard"/>
    <s v="Delivered"/>
    <n v="5"/>
    <s v="January"/>
    <x v="110"/>
    <n v="1090"/>
    <n v="25156.045871559632"/>
    <n v="55"/>
  </r>
  <r>
    <s v="ORD0112"/>
    <x v="111"/>
    <x v="11"/>
    <x v="3"/>
    <x v="11"/>
    <x v="1"/>
    <x v="2"/>
    <x v="2"/>
    <x v="2"/>
    <s v="Corporate"/>
    <x v="1"/>
    <s v="Tables"/>
    <x v="11"/>
    <n v="22100"/>
    <x v="0"/>
    <n v="0.08"/>
    <n v="4200"/>
    <x v="1"/>
    <s v="Express"/>
    <s v="Delivered"/>
    <n v="4"/>
    <s v="January"/>
    <x v="111"/>
    <n v="1089"/>
    <n v="25178.512396694216"/>
    <n v="55"/>
  </r>
  <r>
    <s v="ORD0113"/>
    <x v="112"/>
    <x v="12"/>
    <x v="0"/>
    <x v="12"/>
    <x v="0"/>
    <x v="3"/>
    <x v="0"/>
    <x v="0"/>
    <s v="Consumer"/>
    <x v="0"/>
    <s v="Computers"/>
    <x v="0"/>
    <n v="64500"/>
    <x v="0"/>
    <n v="0.1"/>
    <n v="7250"/>
    <x v="0"/>
    <s v="Express"/>
    <s v="Delivered"/>
    <n v="5"/>
    <s v="January"/>
    <x v="112"/>
    <n v="1088"/>
    <n v="25181.341911764706"/>
    <n v="55"/>
  </r>
  <r>
    <s v="ORD0114"/>
    <x v="113"/>
    <x v="13"/>
    <x v="1"/>
    <x v="13"/>
    <x v="1"/>
    <x v="4"/>
    <x v="3"/>
    <x v="0"/>
    <s v="Consumer"/>
    <x v="2"/>
    <s v="Storage"/>
    <x v="12"/>
    <n v="910"/>
    <x v="7"/>
    <n v="0.05"/>
    <n v="260"/>
    <x v="3"/>
    <s v="Standard"/>
    <s v="Delivered"/>
    <n v="4"/>
    <s v="February"/>
    <x v="113"/>
    <n v="1087"/>
    <n v="25145.170193192273"/>
    <n v="55"/>
  </r>
  <r>
    <s v="ORD0115"/>
    <x v="114"/>
    <x v="14"/>
    <x v="8"/>
    <x v="14"/>
    <x v="0"/>
    <x v="5"/>
    <x v="4"/>
    <x v="1"/>
    <s v="Corporate"/>
    <x v="1"/>
    <s v="Chairs"/>
    <x v="1"/>
    <n v="8950"/>
    <x v="9"/>
    <n v="7.0000000000000007E-2"/>
    <n v="1880"/>
    <x v="1"/>
    <s v="Standard"/>
    <s v="Delivered"/>
    <n v="4"/>
    <s v="February"/>
    <x v="114"/>
    <n v="1086"/>
    <n v="25167.486187845305"/>
    <n v="55"/>
  </r>
  <r>
    <s v="ORD0116"/>
    <x v="115"/>
    <x v="15"/>
    <x v="6"/>
    <x v="15"/>
    <x v="1"/>
    <x v="1"/>
    <x v="1"/>
    <x v="1"/>
    <s v="Consumer"/>
    <x v="0"/>
    <s v="Accessories"/>
    <x v="2"/>
    <n v="19700"/>
    <x v="1"/>
    <n v="0.05"/>
    <n v="3480"/>
    <x v="0"/>
    <s v="Express"/>
    <s v="Delivered"/>
    <n v="5"/>
    <s v="February"/>
    <x v="115"/>
    <n v="1085"/>
    <n v="25182.433179723503"/>
    <n v="55"/>
  </r>
  <r>
    <s v="ORD0117"/>
    <x v="116"/>
    <x v="16"/>
    <x v="5"/>
    <x v="16"/>
    <x v="0"/>
    <x v="7"/>
    <x v="5"/>
    <x v="2"/>
    <s v="Corporate"/>
    <x v="2"/>
    <s v="Paper"/>
    <x v="3"/>
    <n v="3550"/>
    <x v="8"/>
    <n v="0.03"/>
    <n v="870"/>
    <x v="2"/>
    <s v="Standard"/>
    <s v="Delivered"/>
    <n v="4"/>
    <s v="February"/>
    <x v="116"/>
    <n v="1084"/>
    <n v="25187.49077490775"/>
    <n v="55"/>
  </r>
  <r>
    <s v="ORD0118"/>
    <x v="117"/>
    <x v="17"/>
    <x v="0"/>
    <x v="17"/>
    <x v="1"/>
    <x v="0"/>
    <x v="0"/>
    <x v="0"/>
    <s v="Consumer"/>
    <x v="1"/>
    <s v="Tables"/>
    <x v="4"/>
    <n v="16300"/>
    <x v="1"/>
    <n v="0.1"/>
    <n v="2520"/>
    <x v="0"/>
    <s v="Express"/>
    <s v="Delivered"/>
    <n v="5"/>
    <s v="March"/>
    <x v="117"/>
    <n v="1083"/>
    <n v="25207.469990766389"/>
    <n v="55"/>
  </r>
  <r>
    <s v="ORD0119"/>
    <x v="118"/>
    <x v="18"/>
    <x v="2"/>
    <x v="18"/>
    <x v="0"/>
    <x v="9"/>
    <x v="7"/>
    <x v="1"/>
    <s v="Corporate"/>
    <x v="0"/>
    <s v="Accessories"/>
    <x v="5"/>
    <n v="2880"/>
    <x v="9"/>
    <n v="0.05"/>
    <n v="695"/>
    <x v="1"/>
    <s v="Standard"/>
    <s v="Delivered"/>
    <n v="3"/>
    <s v="March"/>
    <x v="118"/>
    <n v="1082"/>
    <n v="25215.702402957486"/>
    <n v="55"/>
  </r>
  <r>
    <s v="ORD0120"/>
    <x v="119"/>
    <x v="19"/>
    <x v="7"/>
    <x v="19"/>
    <x v="1"/>
    <x v="6"/>
    <x v="0"/>
    <x v="0"/>
    <s v="Consumer"/>
    <x v="0"/>
    <s v="Accessories"/>
    <x v="6"/>
    <n v="1280"/>
    <x v="10"/>
    <n v="0"/>
    <n v="365"/>
    <x v="0"/>
    <s v="Standard"/>
    <s v="Delivered"/>
    <n v="4"/>
    <s v="March"/>
    <x v="119"/>
    <n v="1081"/>
    <n v="25236.364477335799"/>
    <n v="55"/>
  </r>
  <r>
    <s v="ORD0121"/>
    <x v="120"/>
    <x v="0"/>
    <x v="0"/>
    <x v="0"/>
    <x v="0"/>
    <x v="0"/>
    <x v="0"/>
    <x v="0"/>
    <s v="Consumer"/>
    <x v="0"/>
    <s v="Computers"/>
    <x v="0"/>
    <n v="60500"/>
    <x v="0"/>
    <n v="0.05"/>
    <n v="7900"/>
    <x v="0"/>
    <s v="Express"/>
    <s v="Delivered"/>
    <n v="5"/>
    <s v="March"/>
    <x v="120"/>
    <n v="1080"/>
    <n v="25258.546296296296"/>
    <n v="55"/>
  </r>
  <r>
    <s v="ORD0122"/>
    <x v="121"/>
    <x v="1"/>
    <x v="1"/>
    <x v="1"/>
    <x v="1"/>
    <x v="1"/>
    <x v="1"/>
    <x v="1"/>
    <s v="Corporate"/>
    <x v="1"/>
    <s v="Chairs"/>
    <x v="1"/>
    <n v="8050"/>
    <x v="3"/>
    <n v="0.1"/>
    <n v="1690"/>
    <x v="1"/>
    <s v="Standard"/>
    <s v="Delivered"/>
    <n v="4"/>
    <s v="April"/>
    <x v="121"/>
    <n v="1079"/>
    <n v="25225.885078776646"/>
    <n v="55"/>
  </r>
  <r>
    <s v="ORD0123"/>
    <x v="122"/>
    <x v="2"/>
    <x v="2"/>
    <x v="2"/>
    <x v="0"/>
    <x v="2"/>
    <x v="2"/>
    <x v="2"/>
    <s v="Consumer"/>
    <x v="0"/>
    <s v="Accessories"/>
    <x v="2"/>
    <n v="18300"/>
    <x v="1"/>
    <n v="0.05"/>
    <n v="3180"/>
    <x v="2"/>
    <s v="Standard"/>
    <s v="Delivered"/>
    <n v="4"/>
    <s v="April"/>
    <x v="122"/>
    <n v="1078"/>
    <n v="25241.81818181818"/>
    <n v="55"/>
  </r>
  <r>
    <s v="ORD0124"/>
    <x v="123"/>
    <x v="3"/>
    <x v="3"/>
    <x v="3"/>
    <x v="1"/>
    <x v="3"/>
    <x v="0"/>
    <x v="0"/>
    <s v="Consumer"/>
    <x v="2"/>
    <s v="Paper"/>
    <x v="7"/>
    <n v="515"/>
    <x v="5"/>
    <n v="0.02"/>
    <n v="138"/>
    <x v="0"/>
    <s v="Standard"/>
    <s v="Delivered"/>
    <n v="5"/>
    <s v="April"/>
    <x v="123"/>
    <n v="1077"/>
    <n v="25248.263695450325"/>
    <n v="55"/>
  </r>
  <r>
    <s v="ORD0125"/>
    <x v="124"/>
    <x v="4"/>
    <x v="4"/>
    <x v="4"/>
    <x v="0"/>
    <x v="4"/>
    <x v="3"/>
    <x v="0"/>
    <s v="Corporate"/>
    <x v="1"/>
    <s v="Tables"/>
    <x v="4"/>
    <n v="17100"/>
    <x v="1"/>
    <n v="0.08"/>
    <n v="2920"/>
    <x v="1"/>
    <s v="Express"/>
    <s v="Delivered"/>
    <n v="4"/>
    <s v="April"/>
    <x v="124"/>
    <n v="1076"/>
    <n v="25271.25"/>
    <n v="55"/>
  </r>
  <r>
    <s v="ORD0126"/>
    <x v="125"/>
    <x v="5"/>
    <x v="5"/>
    <x v="5"/>
    <x v="1"/>
    <x v="5"/>
    <x v="4"/>
    <x v="1"/>
    <s v="Consumer"/>
    <x v="0"/>
    <s v="Accessories"/>
    <x v="5"/>
    <n v="2620"/>
    <x v="3"/>
    <n v="0.05"/>
    <n v="625"/>
    <x v="0"/>
    <s v="Standard"/>
    <s v="Delivered"/>
    <n v="4"/>
    <s v="April"/>
    <x v="125"/>
    <n v="1075"/>
    <n v="25278.851162790699"/>
    <n v="55"/>
  </r>
  <r>
    <s v="ORD0127"/>
    <x v="126"/>
    <x v="6"/>
    <x v="0"/>
    <x v="6"/>
    <x v="0"/>
    <x v="6"/>
    <x v="0"/>
    <x v="0"/>
    <s v="Consumer"/>
    <x v="0"/>
    <s v="Accessories"/>
    <x v="6"/>
    <n v="1190"/>
    <x v="4"/>
    <n v="0"/>
    <n v="335"/>
    <x v="3"/>
    <s v="Standard"/>
    <s v="Delivered"/>
    <n v="3"/>
    <s v="May"/>
    <x v="126"/>
    <n v="1074"/>
    <n v="25299.948789571696"/>
    <n v="55"/>
  </r>
  <r>
    <s v="ORD0128"/>
    <x v="127"/>
    <x v="7"/>
    <x v="6"/>
    <x v="7"/>
    <x v="1"/>
    <x v="7"/>
    <x v="5"/>
    <x v="2"/>
    <s v="Corporate"/>
    <x v="2"/>
    <s v="Paper"/>
    <x v="3"/>
    <n v="3550"/>
    <x v="2"/>
    <n v="0.02"/>
    <n v="950"/>
    <x v="0"/>
    <s v="Standard"/>
    <s v="Delivered"/>
    <n v="5"/>
    <s v="May"/>
    <x v="127"/>
    <n v="1073"/>
    <n v="25322.418452935693"/>
    <n v="55"/>
  </r>
  <r>
    <s v="ORD0129"/>
    <x v="128"/>
    <x v="8"/>
    <x v="1"/>
    <x v="8"/>
    <x v="0"/>
    <x v="8"/>
    <x v="6"/>
    <x v="3"/>
    <s v="Corporate"/>
    <x v="1"/>
    <s v="Storage"/>
    <x v="8"/>
    <n v="13400"/>
    <x v="0"/>
    <n v="0.1"/>
    <n v="2240"/>
    <x v="1"/>
    <s v="Express"/>
    <s v="Delivered"/>
    <n v="4"/>
    <s v="May"/>
    <x v="128"/>
    <n v="1072"/>
    <n v="25342.728544776121"/>
    <n v="55"/>
  </r>
  <r>
    <s v="ORD0130"/>
    <x v="129"/>
    <x v="9"/>
    <x v="4"/>
    <x v="9"/>
    <x v="1"/>
    <x v="0"/>
    <x v="0"/>
    <x v="0"/>
    <s v="Consumer"/>
    <x v="0"/>
    <s v="Printers"/>
    <x v="9"/>
    <n v="15200"/>
    <x v="1"/>
    <n v="0.05"/>
    <n v="2820"/>
    <x v="0"/>
    <s v="Standard"/>
    <s v="Delivered"/>
    <n v="4"/>
    <s v="May"/>
    <x v="129"/>
    <n v="1071"/>
    <n v="25353.87955182073"/>
    <n v="55"/>
  </r>
  <r>
    <s v="ORD0131"/>
    <x v="130"/>
    <x v="10"/>
    <x v="7"/>
    <x v="10"/>
    <x v="0"/>
    <x v="9"/>
    <x v="7"/>
    <x v="1"/>
    <s v="Consumer"/>
    <x v="2"/>
    <s v="Accessories"/>
    <x v="10"/>
    <n v="710"/>
    <x v="11"/>
    <n v="0"/>
    <n v="205"/>
    <x v="2"/>
    <s v="Standard"/>
    <s v="Delivered"/>
    <n v="5"/>
    <s v="June"/>
    <x v="130"/>
    <n v="1070"/>
    <n v="25363.369158878504"/>
    <n v="55"/>
  </r>
  <r>
    <s v="ORD0132"/>
    <x v="131"/>
    <x v="11"/>
    <x v="3"/>
    <x v="11"/>
    <x v="1"/>
    <x v="2"/>
    <x v="2"/>
    <x v="2"/>
    <s v="Corporate"/>
    <x v="1"/>
    <s v="Tables"/>
    <x v="11"/>
    <n v="21900"/>
    <x v="0"/>
    <n v="0.08"/>
    <n v="4150"/>
    <x v="1"/>
    <s v="Express"/>
    <s v="Delivered"/>
    <n v="4"/>
    <s v="June"/>
    <x v="131"/>
    <n v="1069"/>
    <n v="25386.431244153413"/>
    <n v="55"/>
  </r>
  <r>
    <s v="ORD0133"/>
    <x v="132"/>
    <x v="12"/>
    <x v="0"/>
    <x v="12"/>
    <x v="0"/>
    <x v="3"/>
    <x v="0"/>
    <x v="0"/>
    <s v="Consumer"/>
    <x v="0"/>
    <s v="Computers"/>
    <x v="0"/>
    <n v="65500"/>
    <x v="0"/>
    <n v="0.1"/>
    <n v="7400"/>
    <x v="0"/>
    <s v="Express"/>
    <s v="Delivered"/>
    <n v="5"/>
    <s v="June"/>
    <x v="132"/>
    <n v="1068"/>
    <n v="25389.695692883895"/>
    <n v="55"/>
  </r>
  <r>
    <s v="ORD0134"/>
    <x v="133"/>
    <x v="13"/>
    <x v="1"/>
    <x v="13"/>
    <x v="1"/>
    <x v="4"/>
    <x v="3"/>
    <x v="0"/>
    <s v="Consumer"/>
    <x v="2"/>
    <s v="Storage"/>
    <x v="12"/>
    <n v="940"/>
    <x v="5"/>
    <n v="0.05"/>
    <n v="275"/>
    <x v="3"/>
    <s v="Standard"/>
    <s v="Delivered"/>
    <n v="4"/>
    <s v="June"/>
    <x v="133"/>
    <n v="1067"/>
    <n v="25352.104029990627"/>
    <n v="55"/>
  </r>
  <r>
    <s v="ORD0135"/>
    <x v="134"/>
    <x v="14"/>
    <x v="8"/>
    <x v="14"/>
    <x v="0"/>
    <x v="5"/>
    <x v="4"/>
    <x v="1"/>
    <s v="Corporate"/>
    <x v="1"/>
    <s v="Chairs"/>
    <x v="1"/>
    <n v="8850"/>
    <x v="9"/>
    <n v="7.0000000000000007E-2"/>
    <n v="1830"/>
    <x v="1"/>
    <s v="Standard"/>
    <s v="Delivered"/>
    <n v="4"/>
    <s v="July"/>
    <x v="134"/>
    <n v="1066"/>
    <n v="25375.00469043152"/>
    <n v="55"/>
  </r>
  <r>
    <s v="ORD0136"/>
    <x v="135"/>
    <x v="15"/>
    <x v="6"/>
    <x v="15"/>
    <x v="1"/>
    <x v="1"/>
    <x v="1"/>
    <x v="1"/>
    <s v="Consumer"/>
    <x v="0"/>
    <s v="Accessories"/>
    <x v="2"/>
    <n v="20100"/>
    <x v="1"/>
    <n v="0.05"/>
    <n v="3520"/>
    <x v="0"/>
    <s v="Express"/>
    <s v="Delivered"/>
    <n v="5"/>
    <s v="July"/>
    <x v="135"/>
    <n v="1065"/>
    <n v="25390.521126760563"/>
    <n v="55"/>
  </r>
  <r>
    <s v="ORD0137"/>
    <x v="136"/>
    <x v="16"/>
    <x v="5"/>
    <x v="16"/>
    <x v="0"/>
    <x v="7"/>
    <x v="5"/>
    <x v="2"/>
    <s v="Corporate"/>
    <x v="2"/>
    <s v="Paper"/>
    <x v="3"/>
    <n v="3900"/>
    <x v="2"/>
    <n v="0.03"/>
    <n v="940"/>
    <x v="2"/>
    <s v="Standard"/>
    <s v="Delivered"/>
    <n v="4"/>
    <s v="July"/>
    <x v="136"/>
    <n v="1064"/>
    <n v="25395.49342105263"/>
    <n v="55"/>
  </r>
  <r>
    <s v="ORD0138"/>
    <x v="137"/>
    <x v="17"/>
    <x v="0"/>
    <x v="17"/>
    <x v="1"/>
    <x v="0"/>
    <x v="0"/>
    <x v="0"/>
    <s v="Consumer"/>
    <x v="1"/>
    <s v="Tables"/>
    <x v="4"/>
    <n v="16800"/>
    <x v="1"/>
    <n v="0.1"/>
    <n v="2600"/>
    <x v="0"/>
    <s v="Express"/>
    <s v="Delivered"/>
    <n v="5"/>
    <s v="July"/>
    <x v="137"/>
    <n v="1063"/>
    <n v="25415.71495766698"/>
    <n v="55"/>
  </r>
  <r>
    <s v="ORD0139"/>
    <x v="138"/>
    <x v="18"/>
    <x v="2"/>
    <x v="18"/>
    <x v="0"/>
    <x v="9"/>
    <x v="7"/>
    <x v="1"/>
    <s v="Corporate"/>
    <x v="0"/>
    <s v="Accessories"/>
    <x v="5"/>
    <n v="3000"/>
    <x v="9"/>
    <n v="0.05"/>
    <n v="735"/>
    <x v="1"/>
    <s v="Standard"/>
    <s v="Delivered"/>
    <n v="3"/>
    <s v="July"/>
    <x v="138"/>
    <n v="1062"/>
    <n v="25423.827683615818"/>
    <n v="55"/>
  </r>
  <r>
    <s v="ORD0140"/>
    <x v="139"/>
    <x v="19"/>
    <x v="7"/>
    <x v="19"/>
    <x v="1"/>
    <x v="6"/>
    <x v="0"/>
    <x v="0"/>
    <s v="Consumer"/>
    <x v="0"/>
    <s v="Accessories"/>
    <x v="6"/>
    <n v="1320"/>
    <x v="12"/>
    <n v="0"/>
    <n v="385"/>
    <x v="0"/>
    <s v="Standard"/>
    <s v="Delivered"/>
    <n v="4"/>
    <s v="August"/>
    <x v="139"/>
    <n v="1061"/>
    <n v="25444.962299717248"/>
    <n v="55"/>
  </r>
  <r>
    <s v="ORD0141"/>
    <x v="140"/>
    <x v="0"/>
    <x v="0"/>
    <x v="0"/>
    <x v="0"/>
    <x v="0"/>
    <x v="0"/>
    <x v="0"/>
    <s v="Consumer"/>
    <x v="0"/>
    <s v="Computers"/>
    <x v="0"/>
    <n v="62500"/>
    <x v="0"/>
    <n v="0.05"/>
    <n v="8150"/>
    <x v="0"/>
    <s v="Express"/>
    <s v="Delivered"/>
    <n v="5"/>
    <s v="August"/>
    <x v="140"/>
    <n v="1060"/>
    <n v="25467.721698113208"/>
    <n v="55"/>
  </r>
  <r>
    <s v="ORD0142"/>
    <x v="141"/>
    <x v="1"/>
    <x v="1"/>
    <x v="1"/>
    <x v="1"/>
    <x v="1"/>
    <x v="1"/>
    <x v="1"/>
    <s v="Corporate"/>
    <x v="1"/>
    <s v="Chairs"/>
    <x v="1"/>
    <n v="8350"/>
    <x v="3"/>
    <n v="0.1"/>
    <n v="1800"/>
    <x v="1"/>
    <s v="Standard"/>
    <s v="Delivered"/>
    <n v="4"/>
    <s v="August"/>
    <x v="141"/>
    <n v="1059"/>
    <n v="25432.752596789425"/>
    <n v="55"/>
  </r>
  <r>
    <s v="ORD0143"/>
    <x v="142"/>
    <x v="2"/>
    <x v="2"/>
    <x v="2"/>
    <x v="0"/>
    <x v="2"/>
    <x v="2"/>
    <x v="2"/>
    <s v="Consumer"/>
    <x v="0"/>
    <s v="Accessories"/>
    <x v="2"/>
    <n v="18700"/>
    <x v="1"/>
    <n v="0.05"/>
    <n v="3280"/>
    <x v="2"/>
    <s v="Standard"/>
    <s v="Delivered"/>
    <n v="4"/>
    <s v="August"/>
    <x v="142"/>
    <n v="1058"/>
    <n v="25448.8988657845"/>
    <n v="55"/>
  </r>
  <r>
    <s v="ORD0144"/>
    <x v="143"/>
    <x v="3"/>
    <x v="3"/>
    <x v="3"/>
    <x v="1"/>
    <x v="3"/>
    <x v="0"/>
    <x v="0"/>
    <s v="Consumer"/>
    <x v="2"/>
    <s v="Paper"/>
    <x v="7"/>
    <n v="505"/>
    <x v="13"/>
    <n v="0.02"/>
    <n v="132"/>
    <x v="0"/>
    <s v="Standard"/>
    <s v="Delivered"/>
    <n v="5"/>
    <s v="September"/>
    <x v="143"/>
    <n v="1057"/>
    <n v="25455.283822138128"/>
    <n v="55"/>
  </r>
  <r>
    <s v="ORD0145"/>
    <x v="144"/>
    <x v="4"/>
    <x v="4"/>
    <x v="4"/>
    <x v="0"/>
    <x v="4"/>
    <x v="3"/>
    <x v="0"/>
    <s v="Corporate"/>
    <x v="1"/>
    <s v="Tables"/>
    <x v="4"/>
    <n v="17500"/>
    <x v="1"/>
    <n v="0.08"/>
    <n v="3000"/>
    <x v="1"/>
    <s v="Express"/>
    <s v="Delivered"/>
    <n v="4"/>
    <s v="September"/>
    <x v="144"/>
    <n v="1056"/>
    <n v="25478.910984848484"/>
    <n v="55"/>
  </r>
  <r>
    <s v="ORD0146"/>
    <x v="145"/>
    <x v="5"/>
    <x v="5"/>
    <x v="5"/>
    <x v="1"/>
    <x v="5"/>
    <x v="4"/>
    <x v="1"/>
    <s v="Consumer"/>
    <x v="0"/>
    <s v="Accessories"/>
    <x v="5"/>
    <n v="2800"/>
    <x v="3"/>
    <n v="0.05"/>
    <n v="670"/>
    <x v="0"/>
    <s v="Standard"/>
    <s v="Delivered"/>
    <n v="4"/>
    <s v="September"/>
    <x v="145"/>
    <n v="1055"/>
    <n v="25486.473933649289"/>
    <n v="55"/>
  </r>
  <r>
    <s v="ORD0147"/>
    <x v="146"/>
    <x v="6"/>
    <x v="0"/>
    <x v="6"/>
    <x v="0"/>
    <x v="6"/>
    <x v="0"/>
    <x v="0"/>
    <s v="Consumer"/>
    <x v="0"/>
    <s v="Accessories"/>
    <x v="6"/>
    <n v="1380"/>
    <x v="10"/>
    <n v="0"/>
    <n v="405"/>
    <x v="3"/>
    <s v="Standard"/>
    <s v="Delivered"/>
    <n v="3"/>
    <s v="September"/>
    <x v="146"/>
    <n v="1054"/>
    <n v="25507.998102466794"/>
    <n v="55"/>
  </r>
  <r>
    <s v="ORD0148"/>
    <x v="147"/>
    <x v="7"/>
    <x v="6"/>
    <x v="7"/>
    <x v="1"/>
    <x v="7"/>
    <x v="5"/>
    <x v="2"/>
    <s v="Corporate"/>
    <x v="2"/>
    <s v="Paper"/>
    <x v="3"/>
    <n v="3600"/>
    <x v="2"/>
    <n v="0.02"/>
    <n v="970"/>
    <x v="0"/>
    <s v="Standard"/>
    <s v="Delivered"/>
    <n v="5"/>
    <s v="October"/>
    <x v="147"/>
    <n v="1053"/>
    <n v="25530.911680911682"/>
    <n v="55"/>
  </r>
  <r>
    <s v="ORD0149"/>
    <x v="148"/>
    <x v="8"/>
    <x v="1"/>
    <x v="8"/>
    <x v="0"/>
    <x v="8"/>
    <x v="6"/>
    <x v="3"/>
    <s v="Corporate"/>
    <x v="1"/>
    <s v="Storage"/>
    <x v="8"/>
    <n v="13000"/>
    <x v="0"/>
    <n v="0.1"/>
    <n v="2170"/>
    <x v="1"/>
    <s v="Express"/>
    <s v="Delivered"/>
    <n v="4"/>
    <s v="October"/>
    <x v="148"/>
    <n v="1052"/>
    <n v="25551.758555133081"/>
    <n v="55"/>
  </r>
  <r>
    <s v="ORD0150"/>
    <x v="149"/>
    <x v="9"/>
    <x v="4"/>
    <x v="9"/>
    <x v="1"/>
    <x v="0"/>
    <x v="0"/>
    <x v="0"/>
    <s v="Consumer"/>
    <x v="0"/>
    <s v="Printers"/>
    <x v="9"/>
    <n v="15500"/>
    <x v="1"/>
    <n v="0.05"/>
    <n v="2900"/>
    <x v="0"/>
    <s v="Standard"/>
    <s v="Delivered"/>
    <n v="4"/>
    <s v="October"/>
    <x v="149"/>
    <n v="1051"/>
    <n v="25563.701236917223"/>
    <n v="55"/>
  </r>
  <r>
    <s v="ORD0151"/>
    <x v="150"/>
    <x v="10"/>
    <x v="7"/>
    <x v="10"/>
    <x v="0"/>
    <x v="9"/>
    <x v="7"/>
    <x v="1"/>
    <s v="Consumer"/>
    <x v="2"/>
    <s v="Accessories"/>
    <x v="10"/>
    <n v="735"/>
    <x v="11"/>
    <n v="0"/>
    <n v="215"/>
    <x v="2"/>
    <s v="Standard"/>
    <s v="Delivered"/>
    <n v="5"/>
    <s v="October"/>
    <x v="150"/>
    <n v="1050"/>
    <n v="25573.285714285714"/>
    <n v="55"/>
  </r>
  <r>
    <s v="ORD0152"/>
    <x v="151"/>
    <x v="11"/>
    <x v="3"/>
    <x v="11"/>
    <x v="1"/>
    <x v="2"/>
    <x v="2"/>
    <x v="2"/>
    <s v="Corporate"/>
    <x v="1"/>
    <s v="Tables"/>
    <x v="11"/>
    <n v="22800"/>
    <x v="0"/>
    <n v="0.08"/>
    <n v="4350"/>
    <x v="1"/>
    <s v="Express"/>
    <s v="Delivered"/>
    <n v="4"/>
    <s v="October"/>
    <x v="151"/>
    <n v="1049"/>
    <n v="25596.963775023833"/>
    <n v="55"/>
  </r>
  <r>
    <s v="ORD0153"/>
    <x v="152"/>
    <x v="12"/>
    <x v="0"/>
    <x v="12"/>
    <x v="0"/>
    <x v="3"/>
    <x v="0"/>
    <x v="0"/>
    <s v="Consumer"/>
    <x v="0"/>
    <s v="Computers"/>
    <x v="0"/>
    <n v="67000"/>
    <x v="0"/>
    <n v="0.1"/>
    <n v="7500"/>
    <x v="0"/>
    <s v="Express"/>
    <s v="Delivered"/>
    <n v="5"/>
    <s v="November"/>
    <x v="152"/>
    <n v="1048"/>
    <n v="25599.632633587786"/>
    <n v="55"/>
  </r>
  <r>
    <s v="ORD0154"/>
    <x v="153"/>
    <x v="13"/>
    <x v="1"/>
    <x v="13"/>
    <x v="1"/>
    <x v="4"/>
    <x v="3"/>
    <x v="0"/>
    <s v="Consumer"/>
    <x v="2"/>
    <s v="Storage"/>
    <x v="12"/>
    <n v="980"/>
    <x v="5"/>
    <n v="0.05"/>
    <n v="290"/>
    <x v="3"/>
    <s v="Standard"/>
    <s v="Delivered"/>
    <n v="4"/>
    <s v="November"/>
    <x v="153"/>
    <n v="1047"/>
    <n v="25560.090735434576"/>
    <n v="55"/>
  </r>
  <r>
    <s v="ORD0155"/>
    <x v="154"/>
    <x v="14"/>
    <x v="8"/>
    <x v="14"/>
    <x v="0"/>
    <x v="5"/>
    <x v="4"/>
    <x v="1"/>
    <s v="Corporate"/>
    <x v="1"/>
    <s v="Chairs"/>
    <x v="1"/>
    <n v="9100"/>
    <x v="9"/>
    <n v="7.0000000000000007E-2"/>
    <n v="1920"/>
    <x v="1"/>
    <s v="Standard"/>
    <s v="Delivered"/>
    <n v="4"/>
    <s v="November"/>
    <x v="154"/>
    <n v="1046"/>
    <n v="25583.589866156788"/>
    <n v="55"/>
  </r>
  <r>
    <s v="ORD0156"/>
    <x v="155"/>
    <x v="15"/>
    <x v="6"/>
    <x v="15"/>
    <x v="1"/>
    <x v="1"/>
    <x v="1"/>
    <x v="1"/>
    <s v="Consumer"/>
    <x v="0"/>
    <s v="Accessories"/>
    <x v="2"/>
    <n v="20700"/>
    <x v="1"/>
    <n v="0.05"/>
    <n v="3650"/>
    <x v="0"/>
    <s v="Express"/>
    <s v="Delivered"/>
    <n v="5"/>
    <s v="November"/>
    <x v="155"/>
    <n v="1045"/>
    <n v="25599.363636363636"/>
    <n v="55"/>
  </r>
  <r>
    <s v="ORD0157"/>
    <x v="156"/>
    <x v="16"/>
    <x v="5"/>
    <x v="16"/>
    <x v="0"/>
    <x v="7"/>
    <x v="5"/>
    <x v="2"/>
    <s v="Corporate"/>
    <x v="2"/>
    <s v="Paper"/>
    <x v="3"/>
    <n v="3850"/>
    <x v="2"/>
    <n v="0.03"/>
    <n v="920"/>
    <x v="2"/>
    <s v="Standard"/>
    <s v="Delivered"/>
    <n v="4"/>
    <s v="December"/>
    <x v="156"/>
    <n v="1044"/>
    <n v="25604.056513409963"/>
    <n v="55"/>
  </r>
  <r>
    <s v="ORD0158"/>
    <x v="157"/>
    <x v="17"/>
    <x v="0"/>
    <x v="17"/>
    <x v="1"/>
    <x v="0"/>
    <x v="0"/>
    <x v="0"/>
    <s v="Consumer"/>
    <x v="1"/>
    <s v="Tables"/>
    <x v="4"/>
    <n v="17200"/>
    <x v="1"/>
    <n v="0.1"/>
    <n v="2670"/>
    <x v="0"/>
    <s v="Express"/>
    <s v="Delivered"/>
    <n v="5"/>
    <s v="December"/>
    <x v="157"/>
    <n v="1043"/>
    <n v="25624.913710450623"/>
    <n v="55"/>
  </r>
  <r>
    <s v="ORD0159"/>
    <x v="158"/>
    <x v="18"/>
    <x v="2"/>
    <x v="18"/>
    <x v="0"/>
    <x v="9"/>
    <x v="7"/>
    <x v="1"/>
    <s v="Corporate"/>
    <x v="0"/>
    <s v="Accessories"/>
    <x v="5"/>
    <n v="3100"/>
    <x v="9"/>
    <n v="0.05"/>
    <n v="750"/>
    <x v="1"/>
    <s v="Standard"/>
    <s v="Delivered"/>
    <n v="3"/>
    <s v="December"/>
    <x v="158"/>
    <n v="1042"/>
    <n v="25632.999040307102"/>
    <n v="55"/>
  </r>
  <r>
    <s v="ORD0160"/>
    <x v="159"/>
    <x v="19"/>
    <x v="7"/>
    <x v="19"/>
    <x v="1"/>
    <x v="6"/>
    <x v="0"/>
    <x v="0"/>
    <s v="Consumer"/>
    <x v="0"/>
    <s v="Accessories"/>
    <x v="6"/>
    <n v="1420"/>
    <x v="12"/>
    <n v="0"/>
    <n v="415"/>
    <x v="0"/>
    <s v="Standard"/>
    <s v="Delivered"/>
    <n v="4"/>
    <s v="December"/>
    <x v="159"/>
    <n v="1041"/>
    <n v="25654.644572526417"/>
    <n v="55"/>
  </r>
  <r>
    <s v="ORD0161"/>
    <x v="160"/>
    <x v="0"/>
    <x v="0"/>
    <x v="0"/>
    <x v="0"/>
    <x v="0"/>
    <x v="0"/>
    <x v="0"/>
    <s v="Consumer"/>
    <x v="0"/>
    <s v="Computers"/>
    <x v="0"/>
    <n v="61500"/>
    <x v="0"/>
    <n v="0.05"/>
    <n v="8050"/>
    <x v="0"/>
    <s v="Express"/>
    <s v="Delivered"/>
    <n v="5"/>
    <s v="December"/>
    <x v="160"/>
    <n v="1040"/>
    <n v="25677.947115384617"/>
    <n v="55"/>
  </r>
  <r>
    <s v="ORD0162"/>
    <x v="161"/>
    <x v="1"/>
    <x v="1"/>
    <x v="1"/>
    <x v="1"/>
    <x v="1"/>
    <x v="1"/>
    <x v="1"/>
    <s v="Corporate"/>
    <x v="1"/>
    <s v="Chairs"/>
    <x v="1"/>
    <n v="8250"/>
    <x v="3"/>
    <n v="0.1"/>
    <n v="1770"/>
    <x v="1"/>
    <s v="Standard"/>
    <s v="Delivered"/>
    <n v="4"/>
    <s v="January"/>
    <x v="161"/>
    <n v="1039"/>
    <n v="25643.469682386909"/>
    <n v="55"/>
  </r>
  <r>
    <s v="ORD0163"/>
    <x v="162"/>
    <x v="2"/>
    <x v="2"/>
    <x v="2"/>
    <x v="0"/>
    <x v="2"/>
    <x v="2"/>
    <x v="2"/>
    <s v="Consumer"/>
    <x v="0"/>
    <s v="Accessories"/>
    <x v="2"/>
    <n v="19000"/>
    <x v="1"/>
    <n v="0.05"/>
    <n v="3350"/>
    <x v="2"/>
    <s v="Standard"/>
    <s v="Delivered"/>
    <n v="4"/>
    <s v="January"/>
    <x v="162"/>
    <n v="1038"/>
    <n v="25660.226396917147"/>
    <n v="55"/>
  </r>
  <r>
    <s v="ORD0164"/>
    <x v="163"/>
    <x v="3"/>
    <x v="3"/>
    <x v="3"/>
    <x v="1"/>
    <x v="3"/>
    <x v="0"/>
    <x v="0"/>
    <s v="Consumer"/>
    <x v="2"/>
    <s v="Paper"/>
    <x v="7"/>
    <n v="540"/>
    <x v="6"/>
    <n v="0.02"/>
    <n v="150"/>
    <x v="0"/>
    <s v="Standard"/>
    <s v="Delivered"/>
    <n v="5"/>
    <s v="January"/>
    <x v="163"/>
    <n v="1037"/>
    <n v="25666.648987463839"/>
    <n v="55"/>
  </r>
  <r>
    <s v="ORD0165"/>
    <x v="164"/>
    <x v="4"/>
    <x v="4"/>
    <x v="4"/>
    <x v="0"/>
    <x v="4"/>
    <x v="3"/>
    <x v="0"/>
    <s v="Corporate"/>
    <x v="1"/>
    <s v="Tables"/>
    <x v="4"/>
    <n v="16900"/>
    <x v="1"/>
    <n v="0.08"/>
    <n v="2870"/>
    <x v="1"/>
    <s v="Express"/>
    <s v="Delivered"/>
    <n v="4"/>
    <s v="January"/>
    <x v="164"/>
    <n v="1036"/>
    <n v="25690.902509652511"/>
    <n v="55"/>
  </r>
  <r>
    <s v="ORD0166"/>
    <x v="165"/>
    <x v="5"/>
    <x v="5"/>
    <x v="5"/>
    <x v="1"/>
    <x v="5"/>
    <x v="4"/>
    <x v="1"/>
    <s v="Consumer"/>
    <x v="0"/>
    <s v="Accessories"/>
    <x v="5"/>
    <n v="2700"/>
    <x v="3"/>
    <n v="0.05"/>
    <n v="640"/>
    <x v="0"/>
    <s v="Standard"/>
    <s v="Delivered"/>
    <n v="4"/>
    <s v="February"/>
    <x v="165"/>
    <n v="1035"/>
    <n v="25699.396135265699"/>
    <n v="55"/>
  </r>
  <r>
    <s v="ORD0167"/>
    <x v="166"/>
    <x v="6"/>
    <x v="0"/>
    <x v="6"/>
    <x v="0"/>
    <x v="6"/>
    <x v="0"/>
    <x v="0"/>
    <s v="Consumer"/>
    <x v="0"/>
    <s v="Accessories"/>
    <x v="6"/>
    <n v="1250"/>
    <x v="4"/>
    <n v="0"/>
    <n v="355"/>
    <x v="3"/>
    <s v="Standard"/>
    <s v="Delivered"/>
    <n v="3"/>
    <s v="February"/>
    <x v="166"/>
    <n v="1034"/>
    <n v="25721.639264990328"/>
    <n v="55"/>
  </r>
  <r>
    <s v="ORD0168"/>
    <x v="167"/>
    <x v="7"/>
    <x v="6"/>
    <x v="7"/>
    <x v="1"/>
    <x v="7"/>
    <x v="5"/>
    <x v="2"/>
    <s v="Corporate"/>
    <x v="2"/>
    <s v="Paper"/>
    <x v="3"/>
    <n v="3700"/>
    <x v="2"/>
    <n v="0.02"/>
    <n v="1000"/>
    <x v="0"/>
    <s v="Standard"/>
    <s v="Delivered"/>
    <n v="5"/>
    <s v="February"/>
    <x v="167"/>
    <n v="1033"/>
    <n v="25745.329138431753"/>
    <n v="55"/>
  </r>
  <r>
    <s v="ORD0169"/>
    <x v="168"/>
    <x v="8"/>
    <x v="1"/>
    <x v="8"/>
    <x v="0"/>
    <x v="8"/>
    <x v="6"/>
    <x v="3"/>
    <s v="Corporate"/>
    <x v="1"/>
    <s v="Storage"/>
    <x v="8"/>
    <n v="13600"/>
    <x v="0"/>
    <n v="0.1"/>
    <n v="2290"/>
    <x v="1"/>
    <s v="Express"/>
    <s v="Delivered"/>
    <n v="4"/>
    <s v="February"/>
    <x v="168"/>
    <n v="1032"/>
    <n v="25766.690891472866"/>
    <n v="55"/>
  </r>
  <r>
    <s v="ORD0170"/>
    <x v="169"/>
    <x v="9"/>
    <x v="4"/>
    <x v="9"/>
    <x v="1"/>
    <x v="0"/>
    <x v="0"/>
    <x v="0"/>
    <s v="Consumer"/>
    <x v="0"/>
    <s v="Printers"/>
    <x v="9"/>
    <n v="15800"/>
    <x v="1"/>
    <n v="0.05"/>
    <n v="2950"/>
    <x v="0"/>
    <s v="Standard"/>
    <s v="Delivered"/>
    <n v="4"/>
    <s v="March"/>
    <x v="169"/>
    <n v="1031"/>
    <n v="25778.49175557711"/>
    <n v="55"/>
  </r>
  <r>
    <s v="ORD0171"/>
    <x v="170"/>
    <x v="10"/>
    <x v="7"/>
    <x v="10"/>
    <x v="0"/>
    <x v="9"/>
    <x v="7"/>
    <x v="1"/>
    <s v="Consumer"/>
    <x v="2"/>
    <s v="Accessories"/>
    <x v="10"/>
    <n v="760"/>
    <x v="11"/>
    <n v="0"/>
    <n v="220"/>
    <x v="2"/>
    <s v="Standard"/>
    <s v="Delivered"/>
    <n v="5"/>
    <s v="March"/>
    <x v="170"/>
    <n v="1030"/>
    <n v="25788.179611650485"/>
    <n v="55"/>
  </r>
  <r>
    <s v="ORD0172"/>
    <x v="171"/>
    <x v="11"/>
    <x v="3"/>
    <x v="11"/>
    <x v="1"/>
    <x v="2"/>
    <x v="2"/>
    <x v="2"/>
    <s v="Corporate"/>
    <x v="1"/>
    <s v="Tables"/>
    <x v="11"/>
    <n v="23200"/>
    <x v="0"/>
    <n v="0.08"/>
    <n v="4420"/>
    <x v="1"/>
    <s v="Express"/>
    <s v="Delivered"/>
    <n v="4"/>
    <s v="March"/>
    <x v="171"/>
    <n v="1029"/>
    <n v="25812.502429543245"/>
    <n v="55"/>
  </r>
  <r>
    <s v="ORD0173"/>
    <x v="172"/>
    <x v="12"/>
    <x v="0"/>
    <x v="12"/>
    <x v="0"/>
    <x v="3"/>
    <x v="0"/>
    <x v="0"/>
    <s v="Consumer"/>
    <x v="0"/>
    <s v="Computers"/>
    <x v="0"/>
    <n v="66000"/>
    <x v="0"/>
    <n v="0.1"/>
    <n v="7350"/>
    <x v="0"/>
    <s v="Express"/>
    <s v="Delivered"/>
    <n v="5"/>
    <s v="March"/>
    <x v="172"/>
    <n v="1028"/>
    <n v="25815.043774319067"/>
    <n v="55"/>
  </r>
  <r>
    <s v="ORD0174"/>
    <x v="173"/>
    <x v="13"/>
    <x v="1"/>
    <x v="13"/>
    <x v="1"/>
    <x v="4"/>
    <x v="3"/>
    <x v="0"/>
    <s v="Consumer"/>
    <x v="2"/>
    <s v="Storage"/>
    <x v="12"/>
    <n v="960"/>
    <x v="5"/>
    <n v="0.05"/>
    <n v="280"/>
    <x v="3"/>
    <s v="Standard"/>
    <s v="Delivered"/>
    <n v="4"/>
    <s v="March"/>
    <x v="173"/>
    <n v="1027"/>
    <n v="25775.915287244403"/>
    <n v="55"/>
  </r>
  <r>
    <s v="ORD0175"/>
    <x v="174"/>
    <x v="14"/>
    <x v="8"/>
    <x v="14"/>
    <x v="0"/>
    <x v="5"/>
    <x v="4"/>
    <x v="1"/>
    <s v="Corporate"/>
    <x v="1"/>
    <s v="Chairs"/>
    <x v="1"/>
    <n v="9300"/>
    <x v="9"/>
    <n v="7.0000000000000007E-2"/>
    <n v="1980"/>
    <x v="1"/>
    <s v="Standard"/>
    <s v="Delivered"/>
    <n v="4"/>
    <s v="April"/>
    <x v="174"/>
    <n v="1026"/>
    <n v="25800.102339181285"/>
    <n v="55"/>
  </r>
  <r>
    <s v="ORD0176"/>
    <x v="175"/>
    <x v="15"/>
    <x v="6"/>
    <x v="15"/>
    <x v="1"/>
    <x v="1"/>
    <x v="1"/>
    <x v="1"/>
    <s v="Consumer"/>
    <x v="0"/>
    <s v="Accessories"/>
    <x v="2"/>
    <n v="21200"/>
    <x v="1"/>
    <n v="0.05"/>
    <n v="3720"/>
    <x v="0"/>
    <s v="Express"/>
    <s v="Delivered"/>
    <n v="5"/>
    <s v="April"/>
    <x v="175"/>
    <n v="1025"/>
    <n v="25816.2"/>
    <n v="55"/>
  </r>
  <r>
    <s v="ORD0177"/>
    <x v="176"/>
    <x v="16"/>
    <x v="5"/>
    <x v="16"/>
    <x v="0"/>
    <x v="7"/>
    <x v="5"/>
    <x v="2"/>
    <s v="Corporate"/>
    <x v="2"/>
    <s v="Paper"/>
    <x v="3"/>
    <n v="3950"/>
    <x v="2"/>
    <n v="0.03"/>
    <n v="950"/>
    <x v="2"/>
    <s v="Standard"/>
    <s v="Delivered"/>
    <n v="4"/>
    <s v="April"/>
    <x v="176"/>
    <n v="1024"/>
    <n v="25820.7080078125"/>
    <n v="55"/>
  </r>
  <r>
    <s v="ORD0178"/>
    <x v="177"/>
    <x v="17"/>
    <x v="0"/>
    <x v="17"/>
    <x v="1"/>
    <x v="0"/>
    <x v="0"/>
    <x v="0"/>
    <s v="Consumer"/>
    <x v="1"/>
    <s v="Tables"/>
    <x v="4"/>
    <n v="17800"/>
    <x v="1"/>
    <n v="0.1"/>
    <n v="2750"/>
    <x v="0"/>
    <s v="Express"/>
    <s v="Delivered"/>
    <n v="5"/>
    <s v="April"/>
    <x v="177"/>
    <n v="1023"/>
    <n v="25842.086999022482"/>
    <n v="55"/>
  </r>
  <r>
    <s v="ORD0179"/>
    <x v="178"/>
    <x v="18"/>
    <x v="2"/>
    <x v="18"/>
    <x v="0"/>
    <x v="9"/>
    <x v="7"/>
    <x v="1"/>
    <s v="Corporate"/>
    <x v="0"/>
    <s v="Accessories"/>
    <x v="5"/>
    <n v="3200"/>
    <x v="9"/>
    <n v="0.05"/>
    <n v="780"/>
    <x v="1"/>
    <s v="Standard"/>
    <s v="Delivered"/>
    <n v="3"/>
    <s v="May"/>
    <x v="178"/>
    <n v="1022"/>
    <n v="25849.955968688846"/>
    <n v="55"/>
  </r>
  <r>
    <s v="ORD0180"/>
    <x v="179"/>
    <x v="19"/>
    <x v="7"/>
    <x v="19"/>
    <x v="1"/>
    <x v="6"/>
    <x v="0"/>
    <x v="0"/>
    <s v="Consumer"/>
    <x v="0"/>
    <s v="Accessories"/>
    <x v="6"/>
    <n v="1480"/>
    <x v="12"/>
    <n v="0"/>
    <n v="430"/>
    <x v="0"/>
    <s v="Standard"/>
    <s v="Delivered"/>
    <n v="4"/>
    <s v="May"/>
    <x v="179"/>
    <n v="1021"/>
    <n v="25872.140058765915"/>
    <n v="55"/>
  </r>
  <r>
    <s v="ORD0181"/>
    <x v="180"/>
    <x v="0"/>
    <x v="0"/>
    <x v="0"/>
    <x v="0"/>
    <x v="0"/>
    <x v="0"/>
    <x v="0"/>
    <s v="Consumer"/>
    <x v="0"/>
    <s v="Computers"/>
    <x v="0"/>
    <n v="63500"/>
    <x v="0"/>
    <n v="0.05"/>
    <n v="8300"/>
    <x v="0"/>
    <s v="Express"/>
    <s v="Delivered"/>
    <n v="5"/>
    <s v="May"/>
    <x v="180"/>
    <n v="1020"/>
    <n v="25896.053921568626"/>
    <n v="55"/>
  </r>
  <r>
    <s v="ORD0182"/>
    <x v="181"/>
    <x v="1"/>
    <x v="1"/>
    <x v="1"/>
    <x v="1"/>
    <x v="1"/>
    <x v="1"/>
    <x v="1"/>
    <s v="Corporate"/>
    <x v="1"/>
    <s v="Chairs"/>
    <x v="1"/>
    <n v="8450"/>
    <x v="3"/>
    <n v="0.1"/>
    <n v="1820"/>
    <x v="1"/>
    <s v="Standard"/>
    <s v="Delivered"/>
    <n v="4"/>
    <s v="May"/>
    <x v="181"/>
    <n v="1019"/>
    <n v="25859.151128557409"/>
    <n v="55"/>
  </r>
  <r>
    <s v="ORD0183"/>
    <x v="182"/>
    <x v="2"/>
    <x v="2"/>
    <x v="2"/>
    <x v="0"/>
    <x v="2"/>
    <x v="2"/>
    <x v="2"/>
    <s v="Consumer"/>
    <x v="0"/>
    <s v="Accessories"/>
    <x v="2"/>
    <n v="19300"/>
    <x v="1"/>
    <n v="0.05"/>
    <n v="3400"/>
    <x v="2"/>
    <s v="Standard"/>
    <s v="Delivered"/>
    <n v="4"/>
    <s v="June"/>
    <x v="182"/>
    <n v="1018"/>
    <n v="25876.252455795679"/>
    <n v="55"/>
  </r>
  <r>
    <s v="ORD0184"/>
    <x v="183"/>
    <x v="3"/>
    <x v="3"/>
    <x v="3"/>
    <x v="1"/>
    <x v="3"/>
    <x v="0"/>
    <x v="0"/>
    <s v="Consumer"/>
    <x v="2"/>
    <s v="Paper"/>
    <x v="7"/>
    <n v="560"/>
    <x v="6"/>
    <n v="0.02"/>
    <n v="155"/>
    <x v="0"/>
    <s v="Standard"/>
    <s v="Delivered"/>
    <n v="5"/>
    <s v="June"/>
    <x v="183"/>
    <n v="1017"/>
    <n v="25882.718780727631"/>
    <n v="55"/>
  </r>
  <r>
    <s v="ORD0185"/>
    <x v="184"/>
    <x v="4"/>
    <x v="4"/>
    <x v="4"/>
    <x v="0"/>
    <x v="4"/>
    <x v="3"/>
    <x v="0"/>
    <s v="Corporate"/>
    <x v="1"/>
    <s v="Tables"/>
    <x v="4"/>
    <n v="18100"/>
    <x v="1"/>
    <n v="0.08"/>
    <n v="2980"/>
    <x v="1"/>
    <s v="Express"/>
    <s v="Delivered"/>
    <n v="4"/>
    <s v="June"/>
    <x v="184"/>
    <n v="1016"/>
    <n v="25907.642716535433"/>
    <n v="55"/>
  </r>
  <r>
    <s v="ORD0186"/>
    <x v="185"/>
    <x v="5"/>
    <x v="5"/>
    <x v="5"/>
    <x v="1"/>
    <x v="5"/>
    <x v="4"/>
    <x v="1"/>
    <s v="Consumer"/>
    <x v="0"/>
    <s v="Accessories"/>
    <x v="5"/>
    <n v="2900"/>
    <x v="3"/>
    <n v="0.05"/>
    <n v="690"/>
    <x v="0"/>
    <s v="Standard"/>
    <s v="Delivered"/>
    <n v="4"/>
    <s v="June"/>
    <x v="185"/>
    <n v="1015"/>
    <n v="25915.334975369457"/>
    <n v="55"/>
  </r>
  <r>
    <s v="ORD0187"/>
    <x v="186"/>
    <x v="6"/>
    <x v="0"/>
    <x v="6"/>
    <x v="0"/>
    <x v="6"/>
    <x v="0"/>
    <x v="0"/>
    <s v="Consumer"/>
    <x v="0"/>
    <s v="Accessories"/>
    <x v="6"/>
    <n v="1520"/>
    <x v="10"/>
    <n v="0"/>
    <n v="445"/>
    <x v="3"/>
    <s v="Standard"/>
    <s v="Delivered"/>
    <n v="3"/>
    <s v="June"/>
    <x v="186"/>
    <n v="1014"/>
    <n v="25938.032544378697"/>
    <n v="55"/>
  </r>
  <r>
    <s v="ORD0188"/>
    <x v="187"/>
    <x v="7"/>
    <x v="6"/>
    <x v="7"/>
    <x v="1"/>
    <x v="7"/>
    <x v="5"/>
    <x v="2"/>
    <s v="Corporate"/>
    <x v="2"/>
    <s v="Paper"/>
    <x v="3"/>
    <n v="4050"/>
    <x v="2"/>
    <n v="0.02"/>
    <n v="1030"/>
    <x v="0"/>
    <s v="Standard"/>
    <s v="Delivered"/>
    <n v="5"/>
    <s v="July"/>
    <x v="187"/>
    <n v="1013"/>
    <n v="25962.137216189534"/>
    <n v="55"/>
  </r>
  <r>
    <s v="ORD0189"/>
    <x v="188"/>
    <x v="8"/>
    <x v="1"/>
    <x v="8"/>
    <x v="0"/>
    <x v="8"/>
    <x v="6"/>
    <x v="3"/>
    <s v="Corporate"/>
    <x v="1"/>
    <s v="Storage"/>
    <x v="8"/>
    <n v="13900"/>
    <x v="0"/>
    <n v="0.1"/>
    <n v="2350"/>
    <x v="1"/>
    <s v="Express"/>
    <s v="Delivered"/>
    <n v="4"/>
    <s v="July"/>
    <x v="188"/>
    <n v="1012"/>
    <n v="25983.7895256917"/>
    <n v="55"/>
  </r>
  <r>
    <s v="ORD0190"/>
    <x v="189"/>
    <x v="9"/>
    <x v="4"/>
    <x v="9"/>
    <x v="1"/>
    <x v="0"/>
    <x v="0"/>
    <x v="0"/>
    <s v="Consumer"/>
    <x v="0"/>
    <s v="Printers"/>
    <x v="9"/>
    <n v="16100"/>
    <x v="1"/>
    <n v="0.05"/>
    <n v="3020"/>
    <x v="0"/>
    <s v="Standard"/>
    <s v="Delivered"/>
    <n v="4"/>
    <s v="July"/>
    <x v="189"/>
    <n v="1011"/>
    <n v="25995.74183976261"/>
    <n v="55"/>
  </r>
  <r>
    <s v="ORD0191"/>
    <x v="190"/>
    <x v="10"/>
    <x v="7"/>
    <x v="10"/>
    <x v="0"/>
    <x v="9"/>
    <x v="7"/>
    <x v="1"/>
    <s v="Consumer"/>
    <x v="2"/>
    <s v="Accessories"/>
    <x v="10"/>
    <n v="780"/>
    <x v="11"/>
    <n v="0"/>
    <n v="230"/>
    <x v="2"/>
    <s v="Standard"/>
    <s v="Delivered"/>
    <n v="5"/>
    <s v="July"/>
    <x v="190"/>
    <n v="1010"/>
    <n v="26005.539603960395"/>
    <n v="55"/>
  </r>
  <r>
    <s v="ORD0192"/>
    <x v="191"/>
    <x v="11"/>
    <x v="3"/>
    <x v="11"/>
    <x v="1"/>
    <x v="2"/>
    <x v="2"/>
    <x v="2"/>
    <s v="Corporate"/>
    <x v="1"/>
    <s v="Tables"/>
    <x v="11"/>
    <n v="23800"/>
    <x v="0"/>
    <n v="0.08"/>
    <n v="4550"/>
    <x v="1"/>
    <s v="Express"/>
    <s v="Delivered"/>
    <n v="4"/>
    <s v="August"/>
    <x v="191"/>
    <n v="1009"/>
    <n v="26030.540138751239"/>
    <n v="55"/>
  </r>
  <r>
    <s v="ORD0193"/>
    <x v="192"/>
    <x v="12"/>
    <x v="0"/>
    <x v="12"/>
    <x v="0"/>
    <x v="3"/>
    <x v="0"/>
    <x v="0"/>
    <s v="Consumer"/>
    <x v="0"/>
    <s v="Computers"/>
    <x v="0"/>
    <n v="68000"/>
    <x v="0"/>
    <n v="0.1"/>
    <n v="7600"/>
    <x v="0"/>
    <s v="Express"/>
    <s v="Delivered"/>
    <n v="5"/>
    <s v="August"/>
    <x v="192"/>
    <n v="1008"/>
    <n v="26032.752976190477"/>
    <n v="55"/>
  </r>
  <r>
    <s v="ORD0194"/>
    <x v="193"/>
    <x v="13"/>
    <x v="1"/>
    <x v="13"/>
    <x v="1"/>
    <x v="4"/>
    <x v="3"/>
    <x v="0"/>
    <s v="Consumer"/>
    <x v="2"/>
    <s v="Storage"/>
    <x v="12"/>
    <n v="1020"/>
    <x v="5"/>
    <n v="0.05"/>
    <n v="300"/>
    <x v="3"/>
    <s v="Standard"/>
    <s v="Delivered"/>
    <n v="4"/>
    <s v="August"/>
    <x v="193"/>
    <n v="1007"/>
    <n v="25991.077457795433"/>
    <n v="55"/>
  </r>
  <r>
    <s v="ORD0195"/>
    <x v="194"/>
    <x v="14"/>
    <x v="8"/>
    <x v="14"/>
    <x v="0"/>
    <x v="5"/>
    <x v="4"/>
    <x v="1"/>
    <s v="Corporate"/>
    <x v="1"/>
    <s v="Chairs"/>
    <x v="1"/>
    <n v="9500"/>
    <x v="9"/>
    <n v="7.0000000000000007E-2"/>
    <n v="2050"/>
    <x v="1"/>
    <s v="Standard"/>
    <s v="Delivered"/>
    <n v="4"/>
    <s v="August"/>
    <x v="194"/>
    <n v="1006"/>
    <n v="26015.899602385685"/>
    <n v="55"/>
  </r>
  <r>
    <s v="ORD0196"/>
    <x v="195"/>
    <x v="15"/>
    <x v="6"/>
    <x v="15"/>
    <x v="1"/>
    <x v="1"/>
    <x v="1"/>
    <x v="1"/>
    <s v="Consumer"/>
    <x v="0"/>
    <s v="Accessories"/>
    <x v="2"/>
    <n v="21800"/>
    <x v="1"/>
    <n v="0.05"/>
    <n v="3800"/>
    <x v="0"/>
    <s v="Express"/>
    <s v="Delivered"/>
    <n v="5"/>
    <s v="September"/>
    <x v="195"/>
    <n v="1005"/>
    <n v="26032.333333333332"/>
    <n v="55"/>
  </r>
  <r>
    <s v="ORD0197"/>
    <x v="196"/>
    <x v="16"/>
    <x v="5"/>
    <x v="16"/>
    <x v="0"/>
    <x v="7"/>
    <x v="5"/>
    <x v="2"/>
    <s v="Corporate"/>
    <x v="2"/>
    <s v="Paper"/>
    <x v="3"/>
    <n v="4150"/>
    <x v="2"/>
    <n v="0.03"/>
    <n v="980"/>
    <x v="2"/>
    <s v="Standard"/>
    <s v="Delivered"/>
    <n v="4"/>
    <s v="September"/>
    <x v="196"/>
    <n v="1004"/>
    <n v="26036.548804780876"/>
    <n v="55"/>
  </r>
  <r>
    <s v="ORD0198"/>
    <x v="197"/>
    <x v="17"/>
    <x v="0"/>
    <x v="17"/>
    <x v="1"/>
    <x v="0"/>
    <x v="0"/>
    <x v="0"/>
    <s v="Consumer"/>
    <x v="1"/>
    <s v="Tables"/>
    <x v="4"/>
    <n v="18500"/>
    <x v="1"/>
    <n v="0.1"/>
    <n v="2850"/>
    <x v="0"/>
    <s v="Express"/>
    <s v="Delivered"/>
    <n v="5"/>
    <s v="September"/>
    <x v="197"/>
    <n v="1003"/>
    <n v="26058.369890329013"/>
    <n v="55"/>
  </r>
  <r>
    <s v="ORD0199"/>
    <x v="198"/>
    <x v="18"/>
    <x v="2"/>
    <x v="18"/>
    <x v="0"/>
    <x v="9"/>
    <x v="7"/>
    <x v="1"/>
    <s v="Corporate"/>
    <x v="0"/>
    <s v="Accessories"/>
    <x v="5"/>
    <n v="3350"/>
    <x v="9"/>
    <n v="0.05"/>
    <n v="810"/>
    <x v="1"/>
    <s v="Standard"/>
    <s v="Delivered"/>
    <n v="3"/>
    <s v="September"/>
    <x v="198"/>
    <n v="1002"/>
    <n v="26065.913173652694"/>
    <n v="55"/>
  </r>
  <r>
    <s v="ORD0200"/>
    <x v="199"/>
    <x v="19"/>
    <x v="7"/>
    <x v="19"/>
    <x v="1"/>
    <x v="6"/>
    <x v="0"/>
    <x v="0"/>
    <s v="Consumer"/>
    <x v="0"/>
    <s v="Accessories"/>
    <x v="6"/>
    <n v="1580"/>
    <x v="12"/>
    <n v="0"/>
    <n v="460"/>
    <x v="0"/>
    <s v="Standard"/>
    <s v="Delivered"/>
    <n v="4"/>
    <s v="September"/>
    <x v="199"/>
    <n v="1001"/>
    <n v="26088.606393606395"/>
    <n v="55"/>
  </r>
  <r>
    <s v="ORD0201"/>
    <x v="200"/>
    <x v="0"/>
    <x v="0"/>
    <x v="0"/>
    <x v="0"/>
    <x v="0"/>
    <x v="0"/>
    <x v="0"/>
    <s v="Consumer"/>
    <x v="0"/>
    <s v="Computers"/>
    <x v="0"/>
    <n v="64500"/>
    <x v="0"/>
    <n v="0.05"/>
    <n v="8400"/>
    <x v="0"/>
    <s v="Express"/>
    <s v="Delivered"/>
    <n v="5"/>
    <s v="October"/>
    <x v="200"/>
    <n v="1000"/>
    <n v="26113.115000000002"/>
    <n v="55"/>
  </r>
  <r>
    <s v="ORD0202"/>
    <x v="201"/>
    <x v="1"/>
    <x v="1"/>
    <x v="1"/>
    <x v="1"/>
    <x v="1"/>
    <x v="1"/>
    <x v="1"/>
    <s v="Corporate"/>
    <x v="1"/>
    <s v="Chairs"/>
    <x v="1"/>
    <n v="8750"/>
    <x v="3"/>
    <n v="0.1"/>
    <n v="1900"/>
    <x v="1"/>
    <s v="Standard"/>
    <s v="Delivered"/>
    <n v="4"/>
    <s v="October"/>
    <x v="201"/>
    <n v="999"/>
    <n v="26074.689689689691"/>
    <n v="55"/>
  </r>
  <r>
    <s v="ORD0203"/>
    <x v="202"/>
    <x v="2"/>
    <x v="2"/>
    <x v="2"/>
    <x v="0"/>
    <x v="2"/>
    <x v="2"/>
    <x v="2"/>
    <s v="Consumer"/>
    <x v="0"/>
    <s v="Accessories"/>
    <x v="2"/>
    <n v="19600"/>
    <x v="1"/>
    <n v="0.05"/>
    <n v="3450"/>
    <x v="2"/>
    <s v="Standard"/>
    <s v="Delivered"/>
    <n v="4"/>
    <s v="October"/>
    <x v="202"/>
    <n v="998"/>
    <n v="26092.049098196392"/>
    <n v="55"/>
  </r>
  <r>
    <s v="ORD0204"/>
    <x v="203"/>
    <x v="3"/>
    <x v="3"/>
    <x v="3"/>
    <x v="1"/>
    <x v="3"/>
    <x v="0"/>
    <x v="0"/>
    <s v="Consumer"/>
    <x v="2"/>
    <s v="Paper"/>
    <x v="7"/>
    <n v="575"/>
    <x v="6"/>
    <n v="0.02"/>
    <n v="160"/>
    <x v="0"/>
    <s v="Standard"/>
    <s v="Delivered"/>
    <n v="5"/>
    <s v="October"/>
    <x v="203"/>
    <n v="997"/>
    <n v="26098.56068204614"/>
    <n v="55"/>
  </r>
  <r>
    <s v="ORD0205"/>
    <x v="204"/>
    <x v="4"/>
    <x v="4"/>
    <x v="4"/>
    <x v="0"/>
    <x v="4"/>
    <x v="3"/>
    <x v="0"/>
    <s v="Corporate"/>
    <x v="1"/>
    <s v="Tables"/>
    <x v="4"/>
    <n v="18800"/>
    <x v="1"/>
    <n v="0.08"/>
    <n v="3100"/>
    <x v="1"/>
    <s v="Express"/>
    <s v="Delivered"/>
    <n v="4"/>
    <s v="November"/>
    <x v="204"/>
    <n v="996"/>
    <n v="26124.186746987951"/>
    <n v="55"/>
  </r>
  <r>
    <s v="ORD0206"/>
    <x v="205"/>
    <x v="5"/>
    <x v="5"/>
    <x v="5"/>
    <x v="1"/>
    <x v="5"/>
    <x v="4"/>
    <x v="1"/>
    <s v="Consumer"/>
    <x v="0"/>
    <s v="Accessories"/>
    <x v="5"/>
    <n v="3050"/>
    <x v="3"/>
    <n v="0.05"/>
    <n v="720"/>
    <x v="0"/>
    <s v="Standard"/>
    <s v="Delivered"/>
    <n v="4"/>
    <s v="November"/>
    <x v="205"/>
    <n v="995"/>
    <n v="26131.547738693469"/>
    <n v="55"/>
  </r>
  <r>
    <s v="ORD0207"/>
    <x v="206"/>
    <x v="6"/>
    <x v="0"/>
    <x v="6"/>
    <x v="0"/>
    <x v="6"/>
    <x v="0"/>
    <x v="0"/>
    <s v="Consumer"/>
    <x v="0"/>
    <s v="Accessories"/>
    <x v="6"/>
    <n v="1600"/>
    <x v="10"/>
    <n v="0"/>
    <n v="470"/>
    <x v="3"/>
    <s v="Standard"/>
    <s v="Delivered"/>
    <n v="3"/>
    <s v="November"/>
    <x v="206"/>
    <n v="994"/>
    <n v="26154.768611670021"/>
    <n v="55"/>
  </r>
  <r>
    <s v="ORD0208"/>
    <x v="207"/>
    <x v="7"/>
    <x v="6"/>
    <x v="7"/>
    <x v="1"/>
    <x v="7"/>
    <x v="5"/>
    <x v="2"/>
    <s v="Corporate"/>
    <x v="2"/>
    <s v="Paper"/>
    <x v="3"/>
    <n v="4250"/>
    <x v="2"/>
    <n v="0.02"/>
    <n v="1060"/>
    <x v="0"/>
    <s v="Standard"/>
    <s v="Delivered"/>
    <n v="5"/>
    <s v="November"/>
    <x v="207"/>
    <n v="993"/>
    <n v="26179.496475327291"/>
    <n v="55"/>
  </r>
  <r>
    <s v="ORD0209"/>
    <x v="208"/>
    <x v="8"/>
    <x v="1"/>
    <x v="8"/>
    <x v="0"/>
    <x v="8"/>
    <x v="6"/>
    <x v="3"/>
    <s v="Corporate"/>
    <x v="1"/>
    <s v="Storage"/>
    <x v="8"/>
    <n v="14200"/>
    <x v="0"/>
    <n v="0.1"/>
    <n v="2400"/>
    <x v="1"/>
    <s v="Express"/>
    <s v="Delivered"/>
    <n v="4"/>
    <s v="December"/>
    <x v="208"/>
    <n v="992"/>
    <n v="26201.602822580644"/>
    <n v="55"/>
  </r>
  <r>
    <s v="ORD0210"/>
    <x v="209"/>
    <x v="9"/>
    <x v="4"/>
    <x v="9"/>
    <x v="1"/>
    <x v="0"/>
    <x v="0"/>
    <x v="0"/>
    <s v="Consumer"/>
    <x v="0"/>
    <s v="Printers"/>
    <x v="9"/>
    <n v="16400"/>
    <x v="1"/>
    <n v="0.05"/>
    <n v="3100"/>
    <x v="0"/>
    <s v="Standard"/>
    <s v="Delivered"/>
    <n v="4"/>
    <s v="December"/>
    <x v="209"/>
    <n v="991"/>
    <n v="26213.713420787084"/>
    <n v="55"/>
  </r>
  <r>
    <s v="ORD0211"/>
    <x v="210"/>
    <x v="10"/>
    <x v="7"/>
    <x v="10"/>
    <x v="0"/>
    <x v="9"/>
    <x v="7"/>
    <x v="1"/>
    <s v="Consumer"/>
    <x v="2"/>
    <s v="Accessories"/>
    <x v="10"/>
    <n v="810"/>
    <x v="11"/>
    <n v="0"/>
    <n v="240"/>
    <x v="2"/>
    <s v="Standard"/>
    <s v="Delivered"/>
    <n v="5"/>
    <s v="December"/>
    <x v="210"/>
    <n v="990"/>
    <n v="26223.626262626261"/>
    <n v="55"/>
  </r>
  <r>
    <s v="ORD0212"/>
    <x v="211"/>
    <x v="11"/>
    <x v="3"/>
    <x v="11"/>
    <x v="1"/>
    <x v="2"/>
    <x v="2"/>
    <x v="2"/>
    <s v="Corporate"/>
    <x v="1"/>
    <s v="Tables"/>
    <x v="11"/>
    <n v="24200"/>
    <x v="0"/>
    <n v="0.08"/>
    <n v="4620"/>
    <x v="1"/>
    <s v="Express"/>
    <s v="Delivered"/>
    <n v="4"/>
    <s v="December"/>
    <x v="211"/>
    <n v="989"/>
    <n v="26249.322548028311"/>
    <n v="55"/>
  </r>
  <r>
    <s v="ORD0213"/>
    <x v="212"/>
    <x v="12"/>
    <x v="0"/>
    <x v="12"/>
    <x v="0"/>
    <x v="3"/>
    <x v="0"/>
    <x v="0"/>
    <s v="Consumer"/>
    <x v="0"/>
    <s v="Computers"/>
    <x v="0"/>
    <n v="69500"/>
    <x v="0"/>
    <n v="0.1"/>
    <n v="7750"/>
    <x v="0"/>
    <s v="Express"/>
    <s v="Delivered"/>
    <n v="5"/>
    <s v="December"/>
    <x v="212"/>
    <n v="988"/>
    <n v="26251.396761133605"/>
    <n v="55"/>
  </r>
  <r>
    <s v="ORD0214"/>
    <x v="213"/>
    <x v="13"/>
    <x v="1"/>
    <x v="13"/>
    <x v="1"/>
    <x v="4"/>
    <x v="3"/>
    <x v="0"/>
    <s v="Consumer"/>
    <x v="2"/>
    <s v="Storage"/>
    <x v="12"/>
    <n v="1050"/>
    <x v="5"/>
    <n v="0.05"/>
    <n v="310"/>
    <x v="3"/>
    <s v="Standard"/>
    <s v="Delivered"/>
    <n v="4"/>
    <s v="January"/>
    <x v="213"/>
    <n v="987"/>
    <n v="26207.57852077001"/>
    <n v="55"/>
  </r>
  <r>
    <s v="ORD0215"/>
    <x v="214"/>
    <x v="14"/>
    <x v="8"/>
    <x v="14"/>
    <x v="0"/>
    <x v="5"/>
    <x v="4"/>
    <x v="1"/>
    <s v="Corporate"/>
    <x v="1"/>
    <s v="Chairs"/>
    <x v="1"/>
    <n v="9800"/>
    <x v="9"/>
    <n v="7.0000000000000007E-2"/>
    <n v="2100"/>
    <x v="1"/>
    <s v="Standard"/>
    <s v="Delivered"/>
    <n v="4"/>
    <s v="January"/>
    <x v="214"/>
    <n v="986"/>
    <n v="26233.093306288032"/>
    <n v="55"/>
  </r>
  <r>
    <s v="ORD0216"/>
    <x v="215"/>
    <x v="15"/>
    <x v="6"/>
    <x v="15"/>
    <x v="1"/>
    <x v="1"/>
    <x v="1"/>
    <x v="1"/>
    <s v="Consumer"/>
    <x v="0"/>
    <s v="Accessories"/>
    <x v="2"/>
    <n v="22500"/>
    <x v="1"/>
    <n v="0.05"/>
    <n v="3950"/>
    <x v="0"/>
    <s v="Express"/>
    <s v="Delivered"/>
    <n v="5"/>
    <s v="January"/>
    <x v="215"/>
    <n v="985"/>
    <n v="26249.776649746193"/>
    <n v="55"/>
  </r>
  <r>
    <s v="ORD0217"/>
    <x v="216"/>
    <x v="16"/>
    <x v="5"/>
    <x v="16"/>
    <x v="0"/>
    <x v="7"/>
    <x v="5"/>
    <x v="2"/>
    <s v="Corporate"/>
    <x v="2"/>
    <s v="Paper"/>
    <x v="3"/>
    <n v="4300"/>
    <x v="2"/>
    <n v="0.03"/>
    <n v="1010"/>
    <x v="2"/>
    <s v="Standard"/>
    <s v="Delivered"/>
    <n v="4"/>
    <s v="January"/>
    <x v="216"/>
    <n v="984"/>
    <n v="26253.587398373984"/>
    <n v="55"/>
  </r>
  <r>
    <s v="ORD0218"/>
    <x v="217"/>
    <x v="17"/>
    <x v="0"/>
    <x v="17"/>
    <x v="1"/>
    <x v="0"/>
    <x v="0"/>
    <x v="0"/>
    <s v="Consumer"/>
    <x v="1"/>
    <s v="Tables"/>
    <x v="4"/>
    <n v="19200"/>
    <x v="1"/>
    <n v="0.1"/>
    <n v="2950"/>
    <x v="0"/>
    <s v="Express"/>
    <s v="Delivered"/>
    <n v="5"/>
    <s v="February"/>
    <x v="217"/>
    <n v="983"/>
    <n v="26275.920651068158"/>
    <n v="55"/>
  </r>
  <r>
    <s v="ORD0219"/>
    <x v="218"/>
    <x v="18"/>
    <x v="2"/>
    <x v="18"/>
    <x v="0"/>
    <x v="9"/>
    <x v="7"/>
    <x v="1"/>
    <s v="Corporate"/>
    <x v="0"/>
    <s v="Accessories"/>
    <x v="5"/>
    <n v="3450"/>
    <x v="9"/>
    <n v="0.05"/>
    <n v="830"/>
    <x v="1"/>
    <s v="Standard"/>
    <s v="Delivered"/>
    <n v="3"/>
    <s v="February"/>
    <x v="218"/>
    <n v="982"/>
    <n v="26283.126272912425"/>
    <n v="55"/>
  </r>
  <r>
    <s v="ORD0220"/>
    <x v="219"/>
    <x v="19"/>
    <x v="7"/>
    <x v="19"/>
    <x v="1"/>
    <x v="6"/>
    <x v="0"/>
    <x v="0"/>
    <s v="Consumer"/>
    <x v="0"/>
    <s v="Accessories"/>
    <x v="6"/>
    <n v="1650"/>
    <x v="12"/>
    <n v="0"/>
    <n v="480"/>
    <x v="0"/>
    <s v="Standard"/>
    <s v="Delivered"/>
    <n v="4"/>
    <s v="February"/>
    <x v="219"/>
    <n v="981"/>
    <n v="26306.401630988788"/>
    <n v="55"/>
  </r>
  <r>
    <s v="ORD0221"/>
    <x v="220"/>
    <x v="0"/>
    <x v="0"/>
    <x v="0"/>
    <x v="0"/>
    <x v="0"/>
    <x v="0"/>
    <x v="0"/>
    <s v="Consumer"/>
    <x v="0"/>
    <s v="Computers"/>
    <x v="0"/>
    <n v="65500"/>
    <x v="0"/>
    <n v="0.05"/>
    <n v="8500"/>
    <x v="0"/>
    <s v="Express"/>
    <s v="Delivered"/>
    <n v="5"/>
    <s v="February"/>
    <x v="220"/>
    <n v="980"/>
    <n v="26331.561224489797"/>
    <n v="55"/>
  </r>
  <r>
    <s v="ORD0222"/>
    <x v="221"/>
    <x v="1"/>
    <x v="1"/>
    <x v="1"/>
    <x v="1"/>
    <x v="1"/>
    <x v="1"/>
    <x v="1"/>
    <s v="Corporate"/>
    <x v="1"/>
    <s v="Chairs"/>
    <x v="1"/>
    <n v="8900"/>
    <x v="3"/>
    <n v="0.1"/>
    <n v="1950"/>
    <x v="1"/>
    <s v="Standard"/>
    <s v="Delivered"/>
    <n v="4"/>
    <s v="March"/>
    <x v="221"/>
    <n v="979"/>
    <n v="26291.552604698671"/>
    <n v="55"/>
  </r>
  <r>
    <s v="ORD0223"/>
    <x v="222"/>
    <x v="2"/>
    <x v="2"/>
    <x v="2"/>
    <x v="0"/>
    <x v="2"/>
    <x v="2"/>
    <x v="2"/>
    <s v="Consumer"/>
    <x v="0"/>
    <s v="Accessories"/>
    <x v="2"/>
    <n v="20100"/>
    <x v="1"/>
    <n v="0.05"/>
    <n v="3550"/>
    <x v="2"/>
    <s v="Standard"/>
    <s v="Delivered"/>
    <n v="4"/>
    <s v="March"/>
    <x v="222"/>
    <n v="978"/>
    <n v="26309.335378323107"/>
    <n v="55"/>
  </r>
  <r>
    <s v="ORD0224"/>
    <x v="223"/>
    <x v="3"/>
    <x v="3"/>
    <x v="3"/>
    <x v="1"/>
    <x v="3"/>
    <x v="0"/>
    <x v="0"/>
    <s v="Consumer"/>
    <x v="2"/>
    <s v="Paper"/>
    <x v="7"/>
    <n v="590"/>
    <x v="6"/>
    <n v="0.02"/>
    <n v="165"/>
    <x v="0"/>
    <s v="Standard"/>
    <s v="Delivered"/>
    <n v="5"/>
    <s v="March"/>
    <x v="223"/>
    <n v="977"/>
    <n v="26315.690890481066"/>
    <n v="55"/>
  </r>
  <r>
    <s v="ORD0225"/>
    <x v="224"/>
    <x v="4"/>
    <x v="4"/>
    <x v="4"/>
    <x v="0"/>
    <x v="4"/>
    <x v="3"/>
    <x v="0"/>
    <s v="Corporate"/>
    <x v="1"/>
    <s v="Tables"/>
    <x v="4"/>
    <n v="19500"/>
    <x v="1"/>
    <n v="0.08"/>
    <n v="3250"/>
    <x v="1"/>
    <s v="Express"/>
    <s v="Delivered"/>
    <n v="4"/>
    <s v="March"/>
    <x v="224"/>
    <n v="976"/>
    <n v="26342.049180327867"/>
    <n v="55"/>
  </r>
  <r>
    <s v="ORD0226"/>
    <x v="225"/>
    <x v="5"/>
    <x v="5"/>
    <x v="5"/>
    <x v="1"/>
    <x v="5"/>
    <x v="4"/>
    <x v="1"/>
    <s v="Consumer"/>
    <x v="0"/>
    <s v="Accessories"/>
    <x v="5"/>
    <n v="3150"/>
    <x v="3"/>
    <n v="0.05"/>
    <n v="750"/>
    <x v="0"/>
    <s v="Standard"/>
    <s v="Delivered"/>
    <n v="4"/>
    <s v="March"/>
    <x v="225"/>
    <n v="975"/>
    <n v="26349.066666666666"/>
    <n v="55"/>
  </r>
  <r>
    <s v="ORD0227"/>
    <x v="226"/>
    <x v="6"/>
    <x v="0"/>
    <x v="6"/>
    <x v="0"/>
    <x v="6"/>
    <x v="0"/>
    <x v="0"/>
    <s v="Consumer"/>
    <x v="0"/>
    <s v="Accessories"/>
    <x v="6"/>
    <n v="1720"/>
    <x v="10"/>
    <n v="0"/>
    <n v="500"/>
    <x v="3"/>
    <s v="Standard"/>
    <s v="Delivered"/>
    <n v="3"/>
    <s v="April"/>
    <x v="226"/>
    <n v="974"/>
    <n v="26372.885010266942"/>
    <n v="55"/>
  </r>
  <r>
    <s v="ORD0228"/>
    <x v="227"/>
    <x v="7"/>
    <x v="6"/>
    <x v="7"/>
    <x v="1"/>
    <x v="7"/>
    <x v="5"/>
    <x v="2"/>
    <s v="Corporate"/>
    <x v="2"/>
    <s v="Paper"/>
    <x v="3"/>
    <n v="4400"/>
    <x v="2"/>
    <n v="0.02"/>
    <n v="1100"/>
    <x v="0"/>
    <s v="Standard"/>
    <s v="Delivered"/>
    <n v="5"/>
    <s v="April"/>
    <x v="227"/>
    <n v="973"/>
    <n v="26398.221993833504"/>
    <n v="55"/>
  </r>
  <r>
    <s v="ORD0229"/>
    <x v="228"/>
    <x v="8"/>
    <x v="1"/>
    <x v="8"/>
    <x v="0"/>
    <x v="8"/>
    <x v="6"/>
    <x v="3"/>
    <s v="Corporate"/>
    <x v="1"/>
    <s v="Storage"/>
    <x v="8"/>
    <n v="14600"/>
    <x v="0"/>
    <n v="0.1"/>
    <n v="2480"/>
    <x v="1"/>
    <s v="Express"/>
    <s v="Delivered"/>
    <n v="4"/>
    <s v="April"/>
    <x v="228"/>
    <n v="972"/>
    <n v="26420.853909465022"/>
    <n v="55"/>
  </r>
  <r>
    <s v="ORD0230"/>
    <x v="229"/>
    <x v="9"/>
    <x v="4"/>
    <x v="9"/>
    <x v="1"/>
    <x v="0"/>
    <x v="0"/>
    <x v="0"/>
    <s v="Consumer"/>
    <x v="0"/>
    <s v="Printers"/>
    <x v="9"/>
    <n v="16800"/>
    <x v="1"/>
    <n v="0.05"/>
    <n v="3180"/>
    <x v="0"/>
    <s v="Standard"/>
    <s v="Delivered"/>
    <n v="4"/>
    <s v="April"/>
    <x v="229"/>
    <n v="971"/>
    <n v="26433.027806385169"/>
    <n v="55"/>
  </r>
  <r>
    <s v="ORD0231"/>
    <x v="230"/>
    <x v="10"/>
    <x v="7"/>
    <x v="10"/>
    <x v="0"/>
    <x v="9"/>
    <x v="7"/>
    <x v="1"/>
    <s v="Consumer"/>
    <x v="2"/>
    <s v="Accessories"/>
    <x v="10"/>
    <n v="840"/>
    <x v="11"/>
    <n v="0"/>
    <n v="250"/>
    <x v="2"/>
    <s v="Standard"/>
    <s v="Delivered"/>
    <n v="5"/>
    <s v="May"/>
    <x v="230"/>
    <n v="970"/>
    <n v="26442.958762886599"/>
    <n v="55"/>
  </r>
  <r>
    <s v="ORD0232"/>
    <x v="231"/>
    <x v="11"/>
    <x v="3"/>
    <x v="11"/>
    <x v="1"/>
    <x v="2"/>
    <x v="2"/>
    <x v="2"/>
    <s v="Corporate"/>
    <x v="1"/>
    <s v="Tables"/>
    <x v="11"/>
    <n v="24800"/>
    <x v="0"/>
    <n v="0.08"/>
    <n v="4750"/>
    <x v="1"/>
    <s v="Express"/>
    <s v="Delivered"/>
    <n v="4"/>
    <s v="May"/>
    <x v="231"/>
    <n v="969"/>
    <n v="26469.380804953562"/>
    <n v="55"/>
  </r>
  <r>
    <s v="ORD0233"/>
    <x v="232"/>
    <x v="12"/>
    <x v="0"/>
    <x v="12"/>
    <x v="0"/>
    <x v="3"/>
    <x v="0"/>
    <x v="0"/>
    <s v="Consumer"/>
    <x v="0"/>
    <s v="Computers"/>
    <x v="0"/>
    <n v="71000"/>
    <x v="0"/>
    <n v="0.1"/>
    <n v="7900"/>
    <x v="0"/>
    <s v="Express"/>
    <s v="Delivered"/>
    <n v="5"/>
    <s v="May"/>
    <x v="232"/>
    <n v="968"/>
    <n v="26471.105371900827"/>
    <n v="55"/>
  </r>
  <r>
    <s v="ORD0234"/>
    <x v="233"/>
    <x v="13"/>
    <x v="1"/>
    <x v="13"/>
    <x v="1"/>
    <x v="4"/>
    <x v="3"/>
    <x v="0"/>
    <s v="Consumer"/>
    <x v="2"/>
    <s v="Storage"/>
    <x v="12"/>
    <n v="1080"/>
    <x v="5"/>
    <n v="0.05"/>
    <n v="320"/>
    <x v="3"/>
    <s v="Standard"/>
    <s v="Delivered"/>
    <n v="4"/>
    <s v="May"/>
    <x v="233"/>
    <n v="967"/>
    <n v="26425.056876938987"/>
    <n v="55"/>
  </r>
  <r>
    <s v="ORD0235"/>
    <x v="234"/>
    <x v="14"/>
    <x v="8"/>
    <x v="14"/>
    <x v="0"/>
    <x v="5"/>
    <x v="4"/>
    <x v="1"/>
    <s v="Corporate"/>
    <x v="1"/>
    <s v="Chairs"/>
    <x v="1"/>
    <n v="10100"/>
    <x v="9"/>
    <n v="7.0000000000000007E-2"/>
    <n v="2180"/>
    <x v="1"/>
    <s v="Standard"/>
    <s v="Delivered"/>
    <n v="4"/>
    <s v="June"/>
    <x v="234"/>
    <n v="966"/>
    <n v="26451.293995859214"/>
    <n v="55"/>
  </r>
  <r>
    <s v="ORD0236"/>
    <x v="235"/>
    <x v="15"/>
    <x v="6"/>
    <x v="15"/>
    <x v="1"/>
    <x v="1"/>
    <x v="1"/>
    <x v="1"/>
    <s v="Consumer"/>
    <x v="0"/>
    <s v="Accessories"/>
    <x v="2"/>
    <n v="23100"/>
    <x v="1"/>
    <n v="0.05"/>
    <n v="4100"/>
    <x v="0"/>
    <s v="Express"/>
    <s v="Delivered"/>
    <n v="5"/>
    <s v="June"/>
    <x v="235"/>
    <n v="965"/>
    <n v="26468.23834196891"/>
    <n v="55"/>
  </r>
  <r>
    <s v="ORD0237"/>
    <x v="236"/>
    <x v="16"/>
    <x v="5"/>
    <x v="16"/>
    <x v="0"/>
    <x v="7"/>
    <x v="5"/>
    <x v="2"/>
    <s v="Corporate"/>
    <x v="2"/>
    <s v="Paper"/>
    <x v="3"/>
    <n v="4500"/>
    <x v="2"/>
    <n v="0.03"/>
    <n v="1060"/>
    <x v="2"/>
    <s v="Standard"/>
    <s v="Delivered"/>
    <n v="4"/>
    <s v="June"/>
    <x v="236"/>
    <n v="964"/>
    <n v="26471.732365145228"/>
    <n v="55"/>
  </r>
  <r>
    <s v="ORD0238"/>
    <x v="237"/>
    <x v="17"/>
    <x v="0"/>
    <x v="17"/>
    <x v="1"/>
    <x v="0"/>
    <x v="0"/>
    <x v="0"/>
    <s v="Consumer"/>
    <x v="1"/>
    <s v="Tables"/>
    <x v="4"/>
    <n v="19800"/>
    <x v="1"/>
    <n v="0.1"/>
    <n v="3050"/>
    <x v="0"/>
    <s v="Express"/>
    <s v="Delivered"/>
    <n v="5"/>
    <s v="June"/>
    <x v="237"/>
    <n v="963"/>
    <n v="26494.54828660436"/>
    <n v="55"/>
  </r>
  <r>
    <s v="ORD0239"/>
    <x v="238"/>
    <x v="18"/>
    <x v="2"/>
    <x v="18"/>
    <x v="0"/>
    <x v="9"/>
    <x v="7"/>
    <x v="1"/>
    <s v="Corporate"/>
    <x v="0"/>
    <s v="Accessories"/>
    <x v="5"/>
    <n v="3550"/>
    <x v="9"/>
    <n v="0.05"/>
    <n v="850"/>
    <x v="1"/>
    <s v="Standard"/>
    <s v="Delivered"/>
    <n v="3"/>
    <s v="June"/>
    <x v="238"/>
    <n v="962"/>
    <n v="26501.507276507276"/>
    <n v="55"/>
  </r>
  <r>
    <s v="ORD0240"/>
    <x v="239"/>
    <x v="19"/>
    <x v="7"/>
    <x v="19"/>
    <x v="1"/>
    <x v="6"/>
    <x v="0"/>
    <x v="0"/>
    <s v="Consumer"/>
    <x v="0"/>
    <s v="Accessories"/>
    <x v="6"/>
    <n v="1780"/>
    <x v="12"/>
    <n v="0"/>
    <n v="520"/>
    <x v="0"/>
    <s v="Standard"/>
    <s v="Delivered"/>
    <n v="4"/>
    <s v="July"/>
    <x v="239"/>
    <n v="961"/>
    <n v="26525.390218522374"/>
    <n v="55"/>
  </r>
  <r>
    <s v="ORD0241"/>
    <x v="240"/>
    <x v="0"/>
    <x v="0"/>
    <x v="0"/>
    <x v="0"/>
    <x v="0"/>
    <x v="0"/>
    <x v="0"/>
    <s v="Consumer"/>
    <x v="0"/>
    <s v="Computers"/>
    <x v="0"/>
    <n v="67000"/>
    <x v="0"/>
    <n v="0.05"/>
    <n v="8750"/>
    <x v="0"/>
    <s v="Express"/>
    <s v="Delivered"/>
    <n v="5"/>
    <s v="July"/>
    <x v="240"/>
    <n v="960"/>
    <n v="26551.166666666668"/>
    <n v="55"/>
  </r>
  <r>
    <s v="ORD0242"/>
    <x v="241"/>
    <x v="1"/>
    <x v="1"/>
    <x v="1"/>
    <x v="1"/>
    <x v="1"/>
    <x v="1"/>
    <x v="1"/>
    <s v="Corporate"/>
    <x v="1"/>
    <s v="Chairs"/>
    <x v="1"/>
    <n v="9200"/>
    <x v="3"/>
    <n v="0.1"/>
    <n v="2020"/>
    <x v="1"/>
    <s v="Standard"/>
    <s v="Delivered"/>
    <n v="4"/>
    <s v="July"/>
    <x v="241"/>
    <n v="959"/>
    <n v="26508.988529718456"/>
    <n v="55"/>
  </r>
  <r>
    <s v="ORD0243"/>
    <x v="242"/>
    <x v="2"/>
    <x v="2"/>
    <x v="2"/>
    <x v="0"/>
    <x v="2"/>
    <x v="2"/>
    <x v="2"/>
    <s v="Consumer"/>
    <x v="0"/>
    <s v="Accessories"/>
    <x v="2"/>
    <n v="20800"/>
    <x v="1"/>
    <n v="0.05"/>
    <n v="3680"/>
    <x v="2"/>
    <s v="Standard"/>
    <s v="Delivered"/>
    <n v="4"/>
    <s v="July"/>
    <x v="242"/>
    <n v="958"/>
    <n v="26527.056367432149"/>
    <n v="55"/>
  </r>
  <r>
    <s v="ORD0244"/>
    <x v="243"/>
    <x v="3"/>
    <x v="3"/>
    <x v="3"/>
    <x v="1"/>
    <x v="3"/>
    <x v="0"/>
    <x v="0"/>
    <s v="Consumer"/>
    <x v="2"/>
    <s v="Paper"/>
    <x v="7"/>
    <n v="610"/>
    <x v="6"/>
    <n v="0.02"/>
    <n v="170"/>
    <x v="0"/>
    <s v="Standard"/>
    <s v="Delivered"/>
    <n v="5"/>
    <s v="August"/>
    <x v="243"/>
    <n v="957"/>
    <n v="26533.040752351098"/>
    <n v="55"/>
  </r>
  <r>
    <s v="ORD0245"/>
    <x v="244"/>
    <x v="4"/>
    <x v="4"/>
    <x v="4"/>
    <x v="0"/>
    <x v="4"/>
    <x v="3"/>
    <x v="0"/>
    <s v="Corporate"/>
    <x v="1"/>
    <s v="Tables"/>
    <x v="4"/>
    <n v="20200"/>
    <x v="1"/>
    <n v="0.08"/>
    <n v="3370"/>
    <x v="1"/>
    <s v="Express"/>
    <s v="Delivered"/>
    <n v="4"/>
    <s v="August"/>
    <x v="244"/>
    <n v="956"/>
    <n v="26560.156903765692"/>
    <n v="55"/>
  </r>
  <r>
    <s v="ORD0246"/>
    <x v="245"/>
    <x v="5"/>
    <x v="5"/>
    <x v="5"/>
    <x v="1"/>
    <x v="5"/>
    <x v="4"/>
    <x v="1"/>
    <s v="Consumer"/>
    <x v="0"/>
    <s v="Accessories"/>
    <x v="5"/>
    <n v="3250"/>
    <x v="3"/>
    <n v="0.05"/>
    <n v="780"/>
    <x v="0"/>
    <s v="Standard"/>
    <s v="Delivered"/>
    <n v="4"/>
    <s v="August"/>
    <x v="245"/>
    <n v="955"/>
    <n v="26566.816753926701"/>
    <n v="55"/>
  </r>
  <r>
    <s v="ORD0247"/>
    <x v="246"/>
    <x v="6"/>
    <x v="0"/>
    <x v="6"/>
    <x v="0"/>
    <x v="6"/>
    <x v="0"/>
    <x v="0"/>
    <s v="Consumer"/>
    <x v="0"/>
    <s v="Accessories"/>
    <x v="6"/>
    <n v="1850"/>
    <x v="10"/>
    <n v="0"/>
    <n v="540"/>
    <x v="3"/>
    <s v="Standard"/>
    <s v="Delivered"/>
    <n v="3"/>
    <s v="August"/>
    <x v="246"/>
    <n v="954"/>
    <n v="26591.257861635218"/>
    <n v="55"/>
  </r>
  <r>
    <s v="ORD0248"/>
    <x v="247"/>
    <x v="7"/>
    <x v="6"/>
    <x v="7"/>
    <x v="1"/>
    <x v="7"/>
    <x v="5"/>
    <x v="2"/>
    <s v="Corporate"/>
    <x v="2"/>
    <s v="Paper"/>
    <x v="3"/>
    <n v="4600"/>
    <x v="2"/>
    <n v="0.02"/>
    <n v="1140"/>
    <x v="0"/>
    <s v="Standard"/>
    <s v="Delivered"/>
    <n v="5"/>
    <s v="August"/>
    <x v="247"/>
    <n v="953"/>
    <n v="26617.219307450156"/>
    <n v="55"/>
  </r>
  <r>
    <s v="ORD0249"/>
    <x v="248"/>
    <x v="8"/>
    <x v="1"/>
    <x v="8"/>
    <x v="0"/>
    <x v="8"/>
    <x v="6"/>
    <x v="3"/>
    <s v="Corporate"/>
    <x v="1"/>
    <s v="Storage"/>
    <x v="8"/>
    <n v="15000"/>
    <x v="0"/>
    <n v="0.1"/>
    <n v="2550"/>
    <x v="1"/>
    <s v="Express"/>
    <s v="Delivered"/>
    <n v="4"/>
    <s v="September"/>
    <x v="248"/>
    <n v="952"/>
    <n v="26640.346638655461"/>
    <n v="55"/>
  </r>
  <r>
    <s v="ORD0250"/>
    <x v="249"/>
    <x v="9"/>
    <x v="4"/>
    <x v="9"/>
    <x v="1"/>
    <x v="0"/>
    <x v="0"/>
    <x v="0"/>
    <s v="Consumer"/>
    <x v="0"/>
    <s v="Printers"/>
    <x v="9"/>
    <n v="17200"/>
    <x v="1"/>
    <n v="0.05"/>
    <n v="3260"/>
    <x v="0"/>
    <s v="Standard"/>
    <s v="Delivered"/>
    <n v="4"/>
    <s v="September"/>
    <x v="249"/>
    <n v="951"/>
    <n v="26652.586750788643"/>
    <n v="55"/>
  </r>
  <r>
    <s v="ORD0251"/>
    <x v="250"/>
    <x v="10"/>
    <x v="7"/>
    <x v="10"/>
    <x v="0"/>
    <x v="9"/>
    <x v="7"/>
    <x v="1"/>
    <s v="Consumer"/>
    <x v="2"/>
    <s v="Accessories"/>
    <x v="10"/>
    <n v="870"/>
    <x v="11"/>
    <n v="0"/>
    <n v="260"/>
    <x v="2"/>
    <s v="Standard"/>
    <s v="Delivered"/>
    <n v="5"/>
    <s v="September"/>
    <x v="250"/>
    <n v="950"/>
    <n v="26662.536842105263"/>
    <n v="55"/>
  </r>
  <r>
    <s v="ORD0252"/>
    <x v="251"/>
    <x v="11"/>
    <x v="3"/>
    <x v="11"/>
    <x v="1"/>
    <x v="2"/>
    <x v="2"/>
    <x v="2"/>
    <s v="Corporate"/>
    <x v="1"/>
    <s v="Tables"/>
    <x v="11"/>
    <n v="25400"/>
    <x v="0"/>
    <n v="0.08"/>
    <n v="4900"/>
    <x v="1"/>
    <s v="Express"/>
    <s v="Delivered"/>
    <n v="4"/>
    <s v="September"/>
    <x v="251"/>
    <n v="949"/>
    <n v="26689.715489989463"/>
    <n v="55"/>
  </r>
  <r>
    <s v="ORD0253"/>
    <x v="252"/>
    <x v="12"/>
    <x v="0"/>
    <x v="12"/>
    <x v="0"/>
    <x v="3"/>
    <x v="0"/>
    <x v="0"/>
    <s v="Consumer"/>
    <x v="0"/>
    <s v="Computers"/>
    <x v="0"/>
    <n v="72500"/>
    <x v="0"/>
    <n v="0.1"/>
    <n v="8050"/>
    <x v="0"/>
    <s v="Express"/>
    <s v="Delivered"/>
    <n v="5"/>
    <s v="October"/>
    <x v="252"/>
    <n v="948"/>
    <n v="26691.075949367088"/>
    <n v="55"/>
  </r>
  <r>
    <s v="ORD0254"/>
    <x v="253"/>
    <x v="13"/>
    <x v="1"/>
    <x v="13"/>
    <x v="1"/>
    <x v="4"/>
    <x v="3"/>
    <x v="0"/>
    <s v="Consumer"/>
    <x v="2"/>
    <s v="Storage"/>
    <x v="12"/>
    <n v="1120"/>
    <x v="5"/>
    <n v="0.05"/>
    <n v="330"/>
    <x v="3"/>
    <s v="Standard"/>
    <s v="Delivered"/>
    <n v="4"/>
    <s v="October"/>
    <x v="253"/>
    <n v="947"/>
    <n v="26642.703273495248"/>
    <n v="55"/>
  </r>
  <r>
    <s v="ORD0255"/>
    <x v="254"/>
    <x v="14"/>
    <x v="8"/>
    <x v="14"/>
    <x v="0"/>
    <x v="5"/>
    <x v="4"/>
    <x v="1"/>
    <s v="Corporate"/>
    <x v="1"/>
    <s v="Chairs"/>
    <x v="1"/>
    <n v="10400"/>
    <x v="9"/>
    <n v="7.0000000000000007E-2"/>
    <n v="2250"/>
    <x v="1"/>
    <s v="Standard"/>
    <s v="Delivered"/>
    <n v="4"/>
    <s v="October"/>
    <x v="254"/>
    <n v="946"/>
    <n v="26669.682875264272"/>
    <n v="55"/>
  </r>
  <r>
    <s v="ORD0256"/>
    <x v="255"/>
    <x v="15"/>
    <x v="6"/>
    <x v="15"/>
    <x v="1"/>
    <x v="1"/>
    <x v="1"/>
    <x v="1"/>
    <s v="Consumer"/>
    <x v="0"/>
    <s v="Accessories"/>
    <x v="2"/>
    <n v="23700"/>
    <x v="1"/>
    <n v="0.05"/>
    <n v="4250"/>
    <x v="0"/>
    <s v="Express"/>
    <s v="Delivered"/>
    <n v="5"/>
    <s v="October"/>
    <x v="255"/>
    <n v="945"/>
    <n v="26686.899470899472"/>
    <n v="55"/>
  </r>
  <r>
    <s v="ORD0257"/>
    <x v="256"/>
    <x v="16"/>
    <x v="5"/>
    <x v="16"/>
    <x v="0"/>
    <x v="7"/>
    <x v="5"/>
    <x v="2"/>
    <s v="Corporate"/>
    <x v="2"/>
    <s v="Paper"/>
    <x v="3"/>
    <n v="4700"/>
    <x v="2"/>
    <n v="0.03"/>
    <n v="1120"/>
    <x v="2"/>
    <s v="Standard"/>
    <s v="Delivered"/>
    <n v="4"/>
    <s v="November"/>
    <x v="256"/>
    <n v="944"/>
    <n v="26690.063559322032"/>
    <n v="55"/>
  </r>
  <r>
    <s v="ORD0258"/>
    <x v="257"/>
    <x v="17"/>
    <x v="0"/>
    <x v="17"/>
    <x v="1"/>
    <x v="0"/>
    <x v="0"/>
    <x v="0"/>
    <s v="Consumer"/>
    <x v="1"/>
    <s v="Tables"/>
    <x v="4"/>
    <n v="20500"/>
    <x v="1"/>
    <n v="0.1"/>
    <n v="3180"/>
    <x v="0"/>
    <s v="Express"/>
    <s v="Delivered"/>
    <n v="5"/>
    <s v="November"/>
    <x v="257"/>
    <n v="943"/>
    <n v="26713.382820784729"/>
    <n v="55"/>
  </r>
  <r>
    <s v="ORD0259"/>
    <x v="258"/>
    <x v="18"/>
    <x v="2"/>
    <x v="18"/>
    <x v="0"/>
    <x v="9"/>
    <x v="7"/>
    <x v="1"/>
    <s v="Corporate"/>
    <x v="0"/>
    <s v="Accessories"/>
    <x v="5"/>
    <n v="3650"/>
    <x v="9"/>
    <n v="0.05"/>
    <n v="880"/>
    <x v="1"/>
    <s v="Standard"/>
    <s v="Delivered"/>
    <n v="3"/>
    <s v="November"/>
    <x v="258"/>
    <n v="942"/>
    <n v="26719.978768577494"/>
    <n v="55"/>
  </r>
  <r>
    <s v="ORD0260"/>
    <x v="259"/>
    <x v="19"/>
    <x v="7"/>
    <x v="19"/>
    <x v="1"/>
    <x v="6"/>
    <x v="0"/>
    <x v="0"/>
    <s v="Consumer"/>
    <x v="0"/>
    <s v="Accessories"/>
    <x v="6"/>
    <n v="1920"/>
    <x v="12"/>
    <n v="0"/>
    <n v="560"/>
    <x v="0"/>
    <s v="Standard"/>
    <s v="Delivered"/>
    <n v="4"/>
    <s v="November"/>
    <x v="259"/>
    <n v="941"/>
    <n v="26744.495217853346"/>
    <n v="55"/>
  </r>
  <r>
    <s v="ORD0261"/>
    <x v="260"/>
    <x v="0"/>
    <x v="0"/>
    <x v="0"/>
    <x v="0"/>
    <x v="0"/>
    <x v="0"/>
    <x v="0"/>
    <s v="Consumer"/>
    <x v="0"/>
    <s v="Computers"/>
    <x v="0"/>
    <n v="68500"/>
    <x v="0"/>
    <n v="0.05"/>
    <n v="9000"/>
    <x v="0"/>
    <s v="Express"/>
    <s v="Delivered"/>
    <n v="5"/>
    <s v="November"/>
    <x v="260"/>
    <n v="940"/>
    <n v="26770.90425531915"/>
    <n v="55"/>
  </r>
  <r>
    <s v="ORD0262"/>
    <x v="261"/>
    <x v="1"/>
    <x v="1"/>
    <x v="1"/>
    <x v="1"/>
    <x v="1"/>
    <x v="1"/>
    <x v="1"/>
    <s v="Corporate"/>
    <x v="1"/>
    <s v="Chairs"/>
    <x v="1"/>
    <n v="9400"/>
    <x v="3"/>
    <n v="0.1"/>
    <n v="2080"/>
    <x v="1"/>
    <s v="Standard"/>
    <s v="Delivered"/>
    <n v="4"/>
    <s v="December"/>
    <x v="261"/>
    <n v="939"/>
    <n v="26726.464323748667"/>
    <n v="55"/>
  </r>
  <r>
    <s v="ORD0263"/>
    <x v="262"/>
    <x v="2"/>
    <x v="2"/>
    <x v="2"/>
    <x v="0"/>
    <x v="2"/>
    <x v="2"/>
    <x v="2"/>
    <s v="Consumer"/>
    <x v="0"/>
    <s v="Accessories"/>
    <x v="2"/>
    <n v="21500"/>
    <x v="1"/>
    <n v="0.05"/>
    <n v="3820"/>
    <x v="2"/>
    <s v="Standard"/>
    <s v="Delivered"/>
    <n v="4"/>
    <s v="December"/>
    <x v="262"/>
    <n v="938"/>
    <n v="26744.936034115137"/>
    <n v="55"/>
  </r>
  <r>
    <s v="ORD0264"/>
    <x v="263"/>
    <x v="3"/>
    <x v="3"/>
    <x v="3"/>
    <x v="1"/>
    <x v="3"/>
    <x v="0"/>
    <x v="0"/>
    <s v="Consumer"/>
    <x v="2"/>
    <s v="Paper"/>
    <x v="7"/>
    <n v="630"/>
    <x v="6"/>
    <n v="0.02"/>
    <n v="175"/>
    <x v="0"/>
    <s v="Standard"/>
    <s v="Delivered"/>
    <n v="5"/>
    <s v="December"/>
    <x v="263"/>
    <n v="937"/>
    <n v="26750.533617929563"/>
    <n v="55"/>
  </r>
  <r>
    <s v="ORD0265"/>
    <x v="264"/>
    <x v="4"/>
    <x v="4"/>
    <x v="4"/>
    <x v="0"/>
    <x v="4"/>
    <x v="3"/>
    <x v="0"/>
    <s v="Corporate"/>
    <x v="1"/>
    <s v="Tables"/>
    <x v="4"/>
    <n v="21000"/>
    <x v="1"/>
    <n v="0.08"/>
    <n v="3500"/>
    <x v="1"/>
    <s v="Express"/>
    <s v="Delivered"/>
    <n v="4"/>
    <s v="December"/>
    <x v="264"/>
    <n v="936"/>
    <n v="26778.440170940172"/>
    <n v="55"/>
  </r>
  <r>
    <s v="ORD0266"/>
    <x v="265"/>
    <x v="5"/>
    <x v="5"/>
    <x v="5"/>
    <x v="1"/>
    <x v="5"/>
    <x v="4"/>
    <x v="1"/>
    <s v="Consumer"/>
    <x v="0"/>
    <s v="Accessories"/>
    <x v="5"/>
    <n v="3350"/>
    <x v="3"/>
    <n v="0.05"/>
    <n v="810"/>
    <x v="0"/>
    <s v="Standard"/>
    <s v="Delivered"/>
    <n v="4"/>
    <s v="January"/>
    <x v="265"/>
    <n v="935"/>
    <n v="26784.620320855614"/>
    <n v="55"/>
  </r>
  <r>
    <s v="ORD0267"/>
    <x v="266"/>
    <x v="6"/>
    <x v="0"/>
    <x v="6"/>
    <x v="0"/>
    <x v="6"/>
    <x v="0"/>
    <x v="0"/>
    <s v="Consumer"/>
    <x v="0"/>
    <s v="Accessories"/>
    <x v="6"/>
    <n v="1980"/>
    <x v="10"/>
    <n v="0"/>
    <n v="580"/>
    <x v="3"/>
    <s v="Standard"/>
    <s v="Delivered"/>
    <n v="3"/>
    <s v="January"/>
    <x v="266"/>
    <n v="934"/>
    <n v="26809.710920770878"/>
    <n v="55"/>
  </r>
  <r>
    <s v="ORD0268"/>
    <x v="267"/>
    <x v="7"/>
    <x v="6"/>
    <x v="7"/>
    <x v="1"/>
    <x v="7"/>
    <x v="5"/>
    <x v="2"/>
    <s v="Corporate"/>
    <x v="2"/>
    <s v="Paper"/>
    <x v="3"/>
    <n v="4800"/>
    <x v="2"/>
    <n v="0.02"/>
    <n v="1180"/>
    <x v="0"/>
    <s v="Standard"/>
    <s v="Delivered"/>
    <n v="5"/>
    <s v="January"/>
    <x v="267"/>
    <n v="933"/>
    <n v="26836.323687031083"/>
    <n v="55"/>
  </r>
  <r>
    <s v="ORD0269"/>
    <x v="268"/>
    <x v="8"/>
    <x v="1"/>
    <x v="8"/>
    <x v="0"/>
    <x v="8"/>
    <x v="6"/>
    <x v="3"/>
    <s v="Corporate"/>
    <x v="1"/>
    <s v="Storage"/>
    <x v="8"/>
    <n v="15400"/>
    <x v="0"/>
    <n v="0.1"/>
    <n v="2630"/>
    <x v="1"/>
    <s v="Express"/>
    <s v="Delivered"/>
    <n v="4"/>
    <s v="January"/>
    <x v="268"/>
    <n v="932"/>
    <n v="26859.9678111588"/>
    <n v="55"/>
  </r>
  <r>
    <s v="ORD0270"/>
    <x v="269"/>
    <x v="9"/>
    <x v="4"/>
    <x v="9"/>
    <x v="1"/>
    <x v="0"/>
    <x v="0"/>
    <x v="0"/>
    <s v="Consumer"/>
    <x v="0"/>
    <s v="Printers"/>
    <x v="9"/>
    <n v="17600"/>
    <x v="1"/>
    <n v="0.05"/>
    <n v="3350"/>
    <x v="0"/>
    <s v="Standard"/>
    <s v="Delivered"/>
    <n v="4"/>
    <s v="February"/>
    <x v="269"/>
    <n v="931"/>
    <n v="26872.277121374867"/>
    <n v="55"/>
  </r>
  <r>
    <s v="ORD0271"/>
    <x v="270"/>
    <x v="10"/>
    <x v="7"/>
    <x v="10"/>
    <x v="0"/>
    <x v="9"/>
    <x v="7"/>
    <x v="1"/>
    <s v="Consumer"/>
    <x v="2"/>
    <s v="Accessories"/>
    <x v="10"/>
    <n v="900"/>
    <x v="11"/>
    <n v="0"/>
    <n v="270"/>
    <x v="2"/>
    <s v="Standard"/>
    <s v="Delivered"/>
    <n v="5"/>
    <s v="February"/>
    <x v="270"/>
    <n v="930"/>
    <n v="26882.247311827956"/>
    <n v="55"/>
  </r>
  <r>
    <s v="ORD0272"/>
    <x v="271"/>
    <x v="11"/>
    <x v="3"/>
    <x v="11"/>
    <x v="1"/>
    <x v="2"/>
    <x v="2"/>
    <x v="2"/>
    <s v="Corporate"/>
    <x v="1"/>
    <s v="Tables"/>
    <x v="11"/>
    <n v="26000"/>
    <x v="0"/>
    <n v="0.08"/>
    <n v="5050"/>
    <x v="1"/>
    <s v="Express"/>
    <s v="Delivered"/>
    <n v="4"/>
    <s v="February"/>
    <x v="271"/>
    <n v="929"/>
    <n v="26910.215285252962"/>
    <n v="55"/>
  </r>
  <r>
    <s v="ORD0273"/>
    <x v="272"/>
    <x v="12"/>
    <x v="0"/>
    <x v="12"/>
    <x v="0"/>
    <x v="3"/>
    <x v="0"/>
    <x v="0"/>
    <s v="Consumer"/>
    <x v="0"/>
    <s v="Computers"/>
    <x v="0"/>
    <n v="74000"/>
    <x v="0"/>
    <n v="0.1"/>
    <n v="8200"/>
    <x v="0"/>
    <s v="Express"/>
    <s v="Delivered"/>
    <n v="5"/>
    <s v="February"/>
    <x v="272"/>
    <n v="928"/>
    <n v="26911.196120689656"/>
    <n v="55"/>
  </r>
  <r>
    <s v="ORD0274"/>
    <x v="273"/>
    <x v="13"/>
    <x v="1"/>
    <x v="13"/>
    <x v="1"/>
    <x v="4"/>
    <x v="3"/>
    <x v="0"/>
    <s v="Consumer"/>
    <x v="2"/>
    <s v="Storage"/>
    <x v="12"/>
    <n v="1160"/>
    <x v="5"/>
    <n v="0.05"/>
    <n v="340"/>
    <x v="3"/>
    <s v="Standard"/>
    <s v="Delivered"/>
    <n v="4"/>
    <s v="March"/>
    <x v="273"/>
    <n v="927"/>
    <n v="26860.399137001077"/>
    <n v="55"/>
  </r>
  <r>
    <s v="ORD0275"/>
    <x v="274"/>
    <x v="14"/>
    <x v="8"/>
    <x v="14"/>
    <x v="0"/>
    <x v="5"/>
    <x v="4"/>
    <x v="1"/>
    <s v="Corporate"/>
    <x v="1"/>
    <s v="Chairs"/>
    <x v="1"/>
    <n v="10800"/>
    <x v="9"/>
    <n v="7.0000000000000007E-2"/>
    <n v="2320"/>
    <x v="1"/>
    <s v="Standard"/>
    <s v="Delivered"/>
    <n v="4"/>
    <s v="March"/>
    <x v="274"/>
    <n v="926"/>
    <n v="26888.153347732183"/>
    <n v="55"/>
  </r>
  <r>
    <s v="ORD0276"/>
    <x v="275"/>
    <x v="15"/>
    <x v="6"/>
    <x v="15"/>
    <x v="1"/>
    <x v="1"/>
    <x v="1"/>
    <x v="1"/>
    <s v="Consumer"/>
    <x v="0"/>
    <s v="Accessories"/>
    <x v="2"/>
    <n v="24300"/>
    <x v="1"/>
    <n v="0.05"/>
    <n v="4400"/>
    <x v="0"/>
    <s v="Express"/>
    <s v="Delivered"/>
    <n v="5"/>
    <s v="March"/>
    <x v="275"/>
    <n v="925"/>
    <n v="26905.545945945945"/>
    <n v="55"/>
  </r>
  <r>
    <s v="ORD0277"/>
    <x v="276"/>
    <x v="16"/>
    <x v="5"/>
    <x v="16"/>
    <x v="0"/>
    <x v="7"/>
    <x v="5"/>
    <x v="2"/>
    <s v="Corporate"/>
    <x v="2"/>
    <s v="Paper"/>
    <x v="3"/>
    <n v="4900"/>
    <x v="2"/>
    <n v="0.03"/>
    <n v="1180"/>
    <x v="2"/>
    <s v="Standard"/>
    <s v="Delivered"/>
    <n v="4"/>
    <s v="March"/>
    <x v="276"/>
    <n v="924"/>
    <n v="26908.365800865802"/>
    <n v="55"/>
  </r>
  <r>
    <s v="ORD0278"/>
    <x v="277"/>
    <x v="17"/>
    <x v="0"/>
    <x v="17"/>
    <x v="1"/>
    <x v="0"/>
    <x v="0"/>
    <x v="0"/>
    <s v="Consumer"/>
    <x v="1"/>
    <s v="Tables"/>
    <x v="4"/>
    <n v="21200"/>
    <x v="1"/>
    <n v="0.1"/>
    <n v="3300"/>
    <x v="0"/>
    <s v="Express"/>
    <s v="Delivered"/>
    <n v="5"/>
    <s v="March"/>
    <x v="277"/>
    <n v="923"/>
    <n v="26932.210184182015"/>
    <n v="55"/>
  </r>
  <r>
    <s v="ORD0279"/>
    <x v="278"/>
    <x v="18"/>
    <x v="2"/>
    <x v="18"/>
    <x v="0"/>
    <x v="9"/>
    <x v="7"/>
    <x v="1"/>
    <s v="Corporate"/>
    <x v="0"/>
    <s v="Accessories"/>
    <x v="5"/>
    <n v="3750"/>
    <x v="9"/>
    <n v="0.05"/>
    <n v="910"/>
    <x v="1"/>
    <s v="Standard"/>
    <s v="Delivered"/>
    <n v="3"/>
    <s v="April"/>
    <x v="278"/>
    <n v="922"/>
    <n v="26938.4273318872"/>
    <n v="55"/>
  </r>
  <r>
    <s v="ORD0280"/>
    <x v="279"/>
    <x v="19"/>
    <x v="7"/>
    <x v="19"/>
    <x v="1"/>
    <x v="6"/>
    <x v="0"/>
    <x v="0"/>
    <s v="Consumer"/>
    <x v="0"/>
    <s v="Accessories"/>
    <x v="6"/>
    <n v="2050"/>
    <x v="12"/>
    <n v="0"/>
    <n v="600"/>
    <x v="0"/>
    <s v="Standard"/>
    <s v="Delivered"/>
    <n v="4"/>
    <s v="April"/>
    <x v="279"/>
    <n v="921"/>
    <n v="26963.604777415851"/>
    <n v="55"/>
  </r>
  <r>
    <s v="ORD0281"/>
    <x v="280"/>
    <x v="0"/>
    <x v="0"/>
    <x v="0"/>
    <x v="0"/>
    <x v="0"/>
    <x v="0"/>
    <x v="0"/>
    <s v="Consumer"/>
    <x v="0"/>
    <s v="Computers"/>
    <x v="0"/>
    <n v="70000"/>
    <x v="0"/>
    <n v="0.05"/>
    <n v="9250"/>
    <x v="0"/>
    <s v="Express"/>
    <s v="Delivered"/>
    <n v="5"/>
    <s v="April"/>
    <x v="280"/>
    <n v="920"/>
    <n v="26990.684782608696"/>
    <n v="55"/>
  </r>
  <r>
    <s v="ORD0282"/>
    <x v="281"/>
    <x v="1"/>
    <x v="1"/>
    <x v="1"/>
    <x v="1"/>
    <x v="1"/>
    <x v="1"/>
    <x v="1"/>
    <s v="Corporate"/>
    <x v="1"/>
    <s v="Chairs"/>
    <x v="1"/>
    <n v="9600"/>
    <x v="3"/>
    <n v="0.1"/>
    <n v="2150"/>
    <x v="1"/>
    <s v="Standard"/>
    <s v="Delivered"/>
    <n v="4"/>
    <s v="April"/>
    <x v="281"/>
    <n v="919"/>
    <n v="26943.884657236125"/>
    <n v="55"/>
  </r>
  <r>
    <s v="ORD0283"/>
    <x v="282"/>
    <x v="2"/>
    <x v="2"/>
    <x v="2"/>
    <x v="0"/>
    <x v="2"/>
    <x v="2"/>
    <x v="2"/>
    <s v="Consumer"/>
    <x v="0"/>
    <s v="Accessories"/>
    <x v="2"/>
    <n v="22200"/>
    <x v="1"/>
    <n v="0.05"/>
    <n v="3950"/>
    <x v="2"/>
    <s v="Standard"/>
    <s v="Delivered"/>
    <n v="4"/>
    <s v="May"/>
    <x v="282"/>
    <n v="918"/>
    <n v="26962.777777777777"/>
    <n v="55"/>
  </r>
  <r>
    <s v="ORD0284"/>
    <x v="283"/>
    <x v="3"/>
    <x v="3"/>
    <x v="3"/>
    <x v="1"/>
    <x v="3"/>
    <x v="0"/>
    <x v="0"/>
    <s v="Consumer"/>
    <x v="2"/>
    <s v="Paper"/>
    <x v="7"/>
    <n v="650"/>
    <x v="6"/>
    <n v="0.02"/>
    <n v="180"/>
    <x v="0"/>
    <s v="Standard"/>
    <s v="Delivered"/>
    <n v="5"/>
    <s v="May"/>
    <x v="283"/>
    <n v="917"/>
    <n v="26967.971646673937"/>
    <n v="55"/>
  </r>
  <r>
    <s v="ORD0285"/>
    <x v="284"/>
    <x v="4"/>
    <x v="4"/>
    <x v="4"/>
    <x v="0"/>
    <x v="4"/>
    <x v="3"/>
    <x v="0"/>
    <s v="Corporate"/>
    <x v="1"/>
    <s v="Tables"/>
    <x v="4"/>
    <n v="21800"/>
    <x v="1"/>
    <n v="0.08"/>
    <n v="3650"/>
    <x v="1"/>
    <s v="Express"/>
    <s v="Delivered"/>
    <n v="4"/>
    <s v="May"/>
    <x v="284"/>
    <n v="916"/>
    <n v="26996.703056768558"/>
    <n v="55"/>
  </r>
  <r>
    <s v="ORD0286"/>
    <x v="285"/>
    <x v="5"/>
    <x v="5"/>
    <x v="5"/>
    <x v="1"/>
    <x v="5"/>
    <x v="4"/>
    <x v="1"/>
    <s v="Consumer"/>
    <x v="0"/>
    <s v="Accessories"/>
    <x v="5"/>
    <n v="3450"/>
    <x v="3"/>
    <n v="0.05"/>
    <n v="840"/>
    <x v="0"/>
    <s v="Standard"/>
    <s v="Delivered"/>
    <n v="4"/>
    <s v="May"/>
    <x v="285"/>
    <n v="915"/>
    <n v="27002.382513661203"/>
    <n v="55"/>
  </r>
  <r>
    <s v="ORD0287"/>
    <x v="286"/>
    <x v="6"/>
    <x v="0"/>
    <x v="6"/>
    <x v="0"/>
    <x v="6"/>
    <x v="0"/>
    <x v="0"/>
    <s v="Consumer"/>
    <x v="0"/>
    <s v="Accessories"/>
    <x v="6"/>
    <n v="2120"/>
    <x v="10"/>
    <n v="0"/>
    <n v="620"/>
    <x v="3"/>
    <s v="Standard"/>
    <s v="Delivered"/>
    <n v="3"/>
    <s v="May"/>
    <x v="286"/>
    <n v="914"/>
    <n v="27028.150984682714"/>
    <n v="55"/>
  </r>
  <r>
    <s v="ORD0288"/>
    <x v="287"/>
    <x v="7"/>
    <x v="6"/>
    <x v="7"/>
    <x v="1"/>
    <x v="7"/>
    <x v="5"/>
    <x v="2"/>
    <s v="Corporate"/>
    <x v="2"/>
    <s v="Paper"/>
    <x v="3"/>
    <n v="5000"/>
    <x v="2"/>
    <n v="0.02"/>
    <n v="1220"/>
    <x v="0"/>
    <s v="Standard"/>
    <s v="Delivered"/>
    <n v="5"/>
    <s v="June"/>
    <x v="287"/>
    <n v="913"/>
    <n v="27055.432639649509"/>
    <n v="55"/>
  </r>
  <r>
    <s v="ORD0289"/>
    <x v="288"/>
    <x v="8"/>
    <x v="1"/>
    <x v="8"/>
    <x v="0"/>
    <x v="8"/>
    <x v="6"/>
    <x v="3"/>
    <s v="Corporate"/>
    <x v="1"/>
    <s v="Storage"/>
    <x v="8"/>
    <n v="15800"/>
    <x v="0"/>
    <n v="0.1"/>
    <n v="2700"/>
    <x v="1"/>
    <s v="Express"/>
    <s v="Delivered"/>
    <n v="4"/>
    <s v="June"/>
    <x v="288"/>
    <n v="912"/>
    <n v="27079.616228070176"/>
    <n v="55"/>
  </r>
  <r>
    <s v="ORD0290"/>
    <x v="289"/>
    <x v="9"/>
    <x v="4"/>
    <x v="9"/>
    <x v="1"/>
    <x v="0"/>
    <x v="0"/>
    <x v="0"/>
    <s v="Consumer"/>
    <x v="0"/>
    <s v="Printers"/>
    <x v="9"/>
    <n v="18000"/>
    <x v="1"/>
    <n v="0.05"/>
    <n v="3450"/>
    <x v="0"/>
    <s v="Standard"/>
    <s v="Delivered"/>
    <n v="4"/>
    <s v="June"/>
    <x v="289"/>
    <n v="911"/>
    <n v="27091.997804610317"/>
    <n v="55"/>
  </r>
  <r>
    <s v="ORD0291"/>
    <x v="290"/>
    <x v="10"/>
    <x v="7"/>
    <x v="10"/>
    <x v="0"/>
    <x v="9"/>
    <x v="7"/>
    <x v="1"/>
    <s v="Consumer"/>
    <x v="2"/>
    <s v="Accessories"/>
    <x v="10"/>
    <n v="930"/>
    <x v="11"/>
    <n v="0"/>
    <n v="280"/>
    <x v="2"/>
    <s v="Standard"/>
    <s v="Delivered"/>
    <n v="5"/>
    <s v="June"/>
    <x v="290"/>
    <n v="910"/>
    <n v="27101.989010989011"/>
    <n v="55"/>
  </r>
  <r>
    <s v="ORD0292"/>
    <x v="291"/>
    <x v="11"/>
    <x v="3"/>
    <x v="11"/>
    <x v="1"/>
    <x v="2"/>
    <x v="2"/>
    <x v="2"/>
    <s v="Corporate"/>
    <x v="1"/>
    <s v="Tables"/>
    <x v="11"/>
    <n v="26600"/>
    <x v="0"/>
    <n v="0.08"/>
    <n v="5200"/>
    <x v="1"/>
    <s v="Express"/>
    <s v="Delivered"/>
    <n v="4"/>
    <s v="July"/>
    <x v="291"/>
    <n v="909"/>
    <n v="27130.781078107811"/>
    <n v="55"/>
  </r>
  <r>
    <s v="ORD0293"/>
    <x v="292"/>
    <x v="12"/>
    <x v="0"/>
    <x v="12"/>
    <x v="0"/>
    <x v="3"/>
    <x v="0"/>
    <x v="0"/>
    <s v="Consumer"/>
    <x v="0"/>
    <s v="Computers"/>
    <x v="0"/>
    <n v="75500"/>
    <x v="0"/>
    <n v="0.1"/>
    <n v="8400"/>
    <x v="0"/>
    <s v="Express"/>
    <s v="Delivered"/>
    <n v="5"/>
    <s v="July"/>
    <x v="292"/>
    <n v="908"/>
    <n v="27131.365638766521"/>
    <n v="55"/>
  </r>
  <r>
    <s v="ORD0294"/>
    <x v="293"/>
    <x v="13"/>
    <x v="1"/>
    <x v="13"/>
    <x v="1"/>
    <x v="4"/>
    <x v="3"/>
    <x v="0"/>
    <s v="Consumer"/>
    <x v="2"/>
    <s v="Storage"/>
    <x v="12"/>
    <n v="1200"/>
    <x v="5"/>
    <n v="0.05"/>
    <n v="350"/>
    <x v="3"/>
    <s v="Standard"/>
    <s v="Delivered"/>
    <n v="4"/>
    <s v="July"/>
    <x v="293"/>
    <n v="907"/>
    <n v="27078.037486218302"/>
    <n v="55"/>
  </r>
  <r>
    <s v="ORD0295"/>
    <x v="294"/>
    <x v="14"/>
    <x v="8"/>
    <x v="14"/>
    <x v="0"/>
    <x v="5"/>
    <x v="4"/>
    <x v="1"/>
    <s v="Corporate"/>
    <x v="1"/>
    <s v="Chairs"/>
    <x v="1"/>
    <n v="11200"/>
    <x v="9"/>
    <n v="7.0000000000000007E-2"/>
    <n v="2400"/>
    <x v="1"/>
    <s v="Standard"/>
    <s v="Delivered"/>
    <n v="4"/>
    <s v="July"/>
    <x v="294"/>
    <n v="906"/>
    <n v="27106.600441501105"/>
    <n v="55"/>
  </r>
  <r>
    <s v="ORD0296"/>
    <x v="295"/>
    <x v="15"/>
    <x v="6"/>
    <x v="15"/>
    <x v="1"/>
    <x v="1"/>
    <x v="1"/>
    <x v="1"/>
    <s v="Consumer"/>
    <x v="0"/>
    <s v="Accessories"/>
    <x v="2"/>
    <n v="25000"/>
    <x v="1"/>
    <n v="0.05"/>
    <n v="4550"/>
    <x v="0"/>
    <s v="Express"/>
    <s v="Delivered"/>
    <n v="5"/>
    <s v="August"/>
    <x v="295"/>
    <n v="905"/>
    <n v="27124.176795580112"/>
    <n v="55"/>
  </r>
  <r>
    <s v="ORD0297"/>
    <x v="296"/>
    <x v="16"/>
    <x v="5"/>
    <x v="16"/>
    <x v="0"/>
    <x v="7"/>
    <x v="5"/>
    <x v="2"/>
    <s v="Corporate"/>
    <x v="2"/>
    <s v="Paper"/>
    <x v="3"/>
    <n v="5100"/>
    <x v="2"/>
    <n v="0.03"/>
    <n v="1240"/>
    <x v="2"/>
    <s v="Standard"/>
    <s v="Delivered"/>
    <n v="4"/>
    <s v="August"/>
    <x v="296"/>
    <n v="904"/>
    <n v="27126.526548672566"/>
    <n v="55"/>
  </r>
  <r>
    <s v="ORD0298"/>
    <x v="297"/>
    <x v="17"/>
    <x v="0"/>
    <x v="17"/>
    <x v="1"/>
    <x v="0"/>
    <x v="0"/>
    <x v="0"/>
    <s v="Consumer"/>
    <x v="1"/>
    <s v="Tables"/>
    <x v="4"/>
    <n v="22000"/>
    <x v="1"/>
    <n v="0.1"/>
    <n v="3450"/>
    <x v="0"/>
    <s v="Express"/>
    <s v="Delivered"/>
    <n v="5"/>
    <s v="August"/>
    <x v="297"/>
    <n v="903"/>
    <n v="27150.919158361019"/>
    <n v="55"/>
  </r>
  <r>
    <s v="ORD0299"/>
    <x v="298"/>
    <x v="18"/>
    <x v="2"/>
    <x v="18"/>
    <x v="0"/>
    <x v="9"/>
    <x v="7"/>
    <x v="1"/>
    <s v="Corporate"/>
    <x v="0"/>
    <s v="Accessories"/>
    <x v="5"/>
    <n v="3850"/>
    <x v="9"/>
    <n v="0.05"/>
    <n v="940"/>
    <x v="1"/>
    <s v="Standard"/>
    <s v="Delivered"/>
    <n v="3"/>
    <s v="August"/>
    <x v="298"/>
    <n v="902"/>
    <n v="27156.629711751662"/>
    <n v="55"/>
  </r>
  <r>
    <s v="ORD0300"/>
    <x v="299"/>
    <x v="19"/>
    <x v="7"/>
    <x v="19"/>
    <x v="1"/>
    <x v="6"/>
    <x v="0"/>
    <x v="0"/>
    <s v="Consumer"/>
    <x v="0"/>
    <s v="Accessories"/>
    <x v="6"/>
    <n v="2200"/>
    <x v="12"/>
    <n v="0"/>
    <n v="650"/>
    <x v="0"/>
    <s v="Standard"/>
    <s v="Delivered"/>
    <n v="4"/>
    <s v="August"/>
    <x v="299"/>
    <n v="901"/>
    <n v="27182.497225305215"/>
    <n v="55"/>
  </r>
  <r>
    <s v="ORD0301"/>
    <x v="300"/>
    <x v="0"/>
    <x v="0"/>
    <x v="0"/>
    <x v="0"/>
    <x v="0"/>
    <x v="0"/>
    <x v="0"/>
    <s v="Consumer"/>
    <x v="0"/>
    <s v="Computers"/>
    <x v="0"/>
    <n v="71500"/>
    <x v="0"/>
    <n v="0.05"/>
    <n v="9500"/>
    <x v="0"/>
    <s v="Express"/>
    <s v="Delivered"/>
    <n v="5"/>
    <s v="September"/>
    <x v="300"/>
    <n v="900"/>
    <n v="27210.255555555555"/>
    <n v="55"/>
  </r>
  <r>
    <s v="ORD0302"/>
    <x v="301"/>
    <x v="1"/>
    <x v="1"/>
    <x v="1"/>
    <x v="1"/>
    <x v="1"/>
    <x v="1"/>
    <x v="1"/>
    <s v="Corporate"/>
    <x v="1"/>
    <s v="Chairs"/>
    <x v="1"/>
    <n v="9800"/>
    <x v="3"/>
    <n v="0.1"/>
    <n v="2200"/>
    <x v="1"/>
    <s v="Standard"/>
    <s v="Delivered"/>
    <n v="4"/>
    <s v="September"/>
    <x v="301"/>
    <n v="899"/>
    <n v="27160.989988876529"/>
    <n v="55"/>
  </r>
  <r>
    <s v="ORD0303"/>
    <x v="302"/>
    <x v="2"/>
    <x v="2"/>
    <x v="2"/>
    <x v="0"/>
    <x v="2"/>
    <x v="2"/>
    <x v="2"/>
    <s v="Consumer"/>
    <x v="0"/>
    <s v="Accessories"/>
    <x v="2"/>
    <n v="22900"/>
    <x v="1"/>
    <n v="0.05"/>
    <n v="4100"/>
    <x v="2"/>
    <s v="Standard"/>
    <s v="Delivered"/>
    <n v="4"/>
    <s v="September"/>
    <x v="302"/>
    <n v="898"/>
    <n v="27180.322939866368"/>
    <n v="55"/>
  </r>
  <r>
    <s v="ORD0304"/>
    <x v="303"/>
    <x v="3"/>
    <x v="3"/>
    <x v="3"/>
    <x v="1"/>
    <x v="3"/>
    <x v="0"/>
    <x v="0"/>
    <s v="Consumer"/>
    <x v="2"/>
    <s v="Paper"/>
    <x v="7"/>
    <n v="670"/>
    <x v="6"/>
    <n v="0.02"/>
    <n v="190"/>
    <x v="0"/>
    <s v="Standard"/>
    <s v="Delivered"/>
    <n v="5"/>
    <s v="September"/>
    <x v="303"/>
    <n v="897"/>
    <n v="27185.094760312153"/>
    <n v="55"/>
  </r>
  <r>
    <s v="ORD0305"/>
    <x v="304"/>
    <x v="4"/>
    <x v="4"/>
    <x v="4"/>
    <x v="0"/>
    <x v="4"/>
    <x v="3"/>
    <x v="0"/>
    <s v="Corporate"/>
    <x v="1"/>
    <s v="Tables"/>
    <x v="4"/>
    <n v="22500"/>
    <x v="1"/>
    <n v="0.08"/>
    <n v="3780"/>
    <x v="1"/>
    <s v="Express"/>
    <s v="Delivered"/>
    <n v="4"/>
    <s v="October"/>
    <x v="304"/>
    <n v="896"/>
    <n v="27214.6875"/>
    <n v="55"/>
  </r>
  <r>
    <s v="ORD0306"/>
    <x v="305"/>
    <x v="5"/>
    <x v="5"/>
    <x v="5"/>
    <x v="1"/>
    <x v="5"/>
    <x v="4"/>
    <x v="1"/>
    <s v="Consumer"/>
    <x v="0"/>
    <s v="Accessories"/>
    <x v="5"/>
    <n v="3550"/>
    <x v="3"/>
    <n v="0.05"/>
    <n v="870"/>
    <x v="0"/>
    <s v="Standard"/>
    <s v="Delivered"/>
    <n v="4"/>
    <s v="October"/>
    <x v="305"/>
    <n v="895"/>
    <n v="27219.955307262571"/>
    <n v="55"/>
  </r>
  <r>
    <s v="ORD0307"/>
    <x v="306"/>
    <x v="6"/>
    <x v="0"/>
    <x v="6"/>
    <x v="0"/>
    <x v="6"/>
    <x v="0"/>
    <x v="0"/>
    <s v="Consumer"/>
    <x v="0"/>
    <s v="Accessories"/>
    <x v="6"/>
    <n v="2250"/>
    <x v="10"/>
    <n v="0"/>
    <n v="670"/>
    <x v="3"/>
    <s v="Standard"/>
    <s v="Delivered"/>
    <n v="3"/>
    <s v="October"/>
    <x v="306"/>
    <n v="894"/>
    <n v="27246.431767337806"/>
    <n v="55"/>
  </r>
  <r>
    <s v="ORD0308"/>
    <x v="307"/>
    <x v="7"/>
    <x v="6"/>
    <x v="7"/>
    <x v="1"/>
    <x v="7"/>
    <x v="5"/>
    <x v="2"/>
    <s v="Corporate"/>
    <x v="2"/>
    <s v="Paper"/>
    <x v="3"/>
    <n v="5200"/>
    <x v="2"/>
    <n v="0.02"/>
    <n v="1280"/>
    <x v="0"/>
    <s v="Standard"/>
    <s v="Delivered"/>
    <n v="5"/>
    <s v="October"/>
    <x v="307"/>
    <n v="893"/>
    <n v="27274.423292273237"/>
    <n v="55"/>
  </r>
  <r>
    <s v="ORD0309"/>
    <x v="308"/>
    <x v="8"/>
    <x v="1"/>
    <x v="8"/>
    <x v="0"/>
    <x v="8"/>
    <x v="6"/>
    <x v="3"/>
    <s v="Corporate"/>
    <x v="1"/>
    <s v="Storage"/>
    <x v="8"/>
    <n v="16200"/>
    <x v="0"/>
    <n v="0.1"/>
    <n v="2780"/>
    <x v="1"/>
    <s v="Express"/>
    <s v="Delivered"/>
    <n v="4"/>
    <s v="November"/>
    <x v="308"/>
    <n v="892"/>
    <n v="27299.170403587443"/>
    <n v="55"/>
  </r>
  <r>
    <s v="ORD0310"/>
    <x v="309"/>
    <x v="9"/>
    <x v="4"/>
    <x v="9"/>
    <x v="1"/>
    <x v="0"/>
    <x v="0"/>
    <x v="0"/>
    <s v="Consumer"/>
    <x v="0"/>
    <s v="Printers"/>
    <x v="9"/>
    <n v="18400"/>
    <x v="1"/>
    <n v="0.05"/>
    <n v="3520"/>
    <x v="0"/>
    <s v="Standard"/>
    <s v="Delivered"/>
    <n v="4"/>
    <s v="November"/>
    <x v="309"/>
    <n v="891"/>
    <n v="27311.627384960717"/>
    <n v="55"/>
  </r>
  <r>
    <s v="ORD0311"/>
    <x v="310"/>
    <x v="10"/>
    <x v="7"/>
    <x v="10"/>
    <x v="0"/>
    <x v="9"/>
    <x v="7"/>
    <x v="1"/>
    <s v="Consumer"/>
    <x v="2"/>
    <s v="Accessories"/>
    <x v="10"/>
    <n v="960"/>
    <x v="11"/>
    <n v="0"/>
    <n v="290"/>
    <x v="2"/>
    <s v="Standard"/>
    <s v="Delivered"/>
    <n v="5"/>
    <s v="November"/>
    <x v="310"/>
    <n v="890"/>
    <n v="27321.6404494382"/>
    <n v="55"/>
  </r>
  <r>
    <s v="ORD0312"/>
    <x v="311"/>
    <x v="11"/>
    <x v="3"/>
    <x v="11"/>
    <x v="1"/>
    <x v="2"/>
    <x v="2"/>
    <x v="2"/>
    <s v="Corporate"/>
    <x v="1"/>
    <s v="Tables"/>
    <x v="11"/>
    <n v="27200"/>
    <x v="0"/>
    <n v="0.08"/>
    <n v="5350"/>
    <x v="1"/>
    <s v="Express"/>
    <s v="Delivered"/>
    <n v="4"/>
    <s v="November"/>
    <x v="311"/>
    <n v="889"/>
    <n v="27351.293588301462"/>
    <n v="55"/>
  </r>
  <r>
    <s v="ORD0313"/>
    <x v="312"/>
    <x v="12"/>
    <x v="0"/>
    <x v="12"/>
    <x v="0"/>
    <x v="3"/>
    <x v="0"/>
    <x v="0"/>
    <s v="Consumer"/>
    <x v="0"/>
    <s v="Computers"/>
    <x v="0"/>
    <n v="77000"/>
    <x v="0"/>
    <n v="0.1"/>
    <n v="8600"/>
    <x v="0"/>
    <s v="Express"/>
    <s v="Delivered"/>
    <n v="5"/>
    <s v="November"/>
    <x v="312"/>
    <n v="888"/>
    <n v="27351.463963963964"/>
    <n v="55"/>
  </r>
  <r>
    <s v="ORD0314"/>
    <x v="313"/>
    <x v="13"/>
    <x v="1"/>
    <x v="13"/>
    <x v="1"/>
    <x v="4"/>
    <x v="3"/>
    <x v="0"/>
    <s v="Consumer"/>
    <x v="2"/>
    <s v="Storage"/>
    <x v="12"/>
    <n v="1240"/>
    <x v="5"/>
    <n v="0.05"/>
    <n v="365"/>
    <x v="3"/>
    <s v="Standard"/>
    <s v="Delivered"/>
    <n v="4"/>
    <s v="December"/>
    <x v="313"/>
    <n v="887"/>
    <n v="27295.490417136414"/>
    <n v="55"/>
  </r>
  <r>
    <s v="ORD0315"/>
    <x v="314"/>
    <x v="14"/>
    <x v="8"/>
    <x v="14"/>
    <x v="0"/>
    <x v="5"/>
    <x v="4"/>
    <x v="1"/>
    <s v="Corporate"/>
    <x v="1"/>
    <s v="Chairs"/>
    <x v="1"/>
    <n v="11600"/>
    <x v="9"/>
    <n v="7.0000000000000007E-2"/>
    <n v="2520"/>
    <x v="1"/>
    <s v="Standard"/>
    <s v="Delivered"/>
    <n v="4"/>
    <s v="December"/>
    <x v="314"/>
    <n v="886"/>
    <n v="27324.898419864559"/>
    <n v="55"/>
  </r>
  <r>
    <s v="ORD0316"/>
    <x v="315"/>
    <x v="15"/>
    <x v="6"/>
    <x v="15"/>
    <x v="1"/>
    <x v="1"/>
    <x v="1"/>
    <x v="1"/>
    <s v="Consumer"/>
    <x v="0"/>
    <s v="Accessories"/>
    <x v="2"/>
    <n v="25700"/>
    <x v="1"/>
    <n v="0.05"/>
    <n v="4700"/>
    <x v="0"/>
    <s v="Express"/>
    <s v="Delivered"/>
    <n v="5"/>
    <s v="December"/>
    <x v="315"/>
    <n v="885"/>
    <n v="27342.666666666668"/>
    <n v="55"/>
  </r>
  <r>
    <s v="ORD0317"/>
    <x v="316"/>
    <x v="16"/>
    <x v="5"/>
    <x v="16"/>
    <x v="0"/>
    <x v="7"/>
    <x v="5"/>
    <x v="2"/>
    <s v="Corporate"/>
    <x v="2"/>
    <s v="Paper"/>
    <x v="3"/>
    <n v="5300"/>
    <x v="2"/>
    <n v="0.03"/>
    <n v="1290"/>
    <x v="2"/>
    <s v="Standard"/>
    <s v="Delivered"/>
    <n v="4"/>
    <s v="December"/>
    <x v="316"/>
    <n v="884"/>
    <n v="27344.524886877829"/>
    <n v="55"/>
  </r>
  <r>
    <s v="ORD0318"/>
    <x v="317"/>
    <x v="17"/>
    <x v="0"/>
    <x v="17"/>
    <x v="1"/>
    <x v="0"/>
    <x v="0"/>
    <x v="0"/>
    <s v="Consumer"/>
    <x v="1"/>
    <s v="Tables"/>
    <x v="4"/>
    <n v="22800"/>
    <x v="1"/>
    <n v="0.1"/>
    <n v="3580"/>
    <x v="0"/>
    <s v="Express"/>
    <s v="Delivered"/>
    <n v="5"/>
    <s v="January"/>
    <x v="317"/>
    <n v="883"/>
    <n v="27369.490373725934"/>
    <n v="55"/>
  </r>
  <r>
    <s v="ORD0319"/>
    <x v="318"/>
    <x v="18"/>
    <x v="2"/>
    <x v="18"/>
    <x v="0"/>
    <x v="9"/>
    <x v="7"/>
    <x v="1"/>
    <s v="Corporate"/>
    <x v="0"/>
    <s v="Accessories"/>
    <x v="5"/>
    <n v="3950"/>
    <x v="9"/>
    <n v="0.05"/>
    <n v="970"/>
    <x v="1"/>
    <s v="Standard"/>
    <s v="Delivered"/>
    <n v="3"/>
    <s v="January"/>
    <x v="318"/>
    <n v="882"/>
    <n v="27374.671201814061"/>
    <n v="55"/>
  </r>
  <r>
    <s v="ORD0320"/>
    <x v="319"/>
    <x v="19"/>
    <x v="7"/>
    <x v="19"/>
    <x v="1"/>
    <x v="6"/>
    <x v="0"/>
    <x v="0"/>
    <s v="Consumer"/>
    <x v="0"/>
    <s v="Accessories"/>
    <x v="6"/>
    <n v="2350"/>
    <x v="12"/>
    <n v="0"/>
    <n v="700"/>
    <x v="0"/>
    <s v="Standard"/>
    <s v="Delivered"/>
    <n v="4"/>
    <s v="January"/>
    <x v="319"/>
    <n v="881"/>
    <n v="27401.259931895573"/>
    <n v="55"/>
  </r>
  <r>
    <s v="ORD0321"/>
    <x v="320"/>
    <x v="0"/>
    <x v="0"/>
    <x v="0"/>
    <x v="0"/>
    <x v="0"/>
    <x v="0"/>
    <x v="0"/>
    <s v="Consumer"/>
    <x v="0"/>
    <s v="Computers"/>
    <x v="0"/>
    <n v="73000"/>
    <x v="0"/>
    <n v="0.05"/>
    <n v="9700"/>
    <x v="0"/>
    <s v="Express"/>
    <s v="Delivered"/>
    <n v="5"/>
    <s v="January"/>
    <x v="320"/>
    <n v="880"/>
    <n v="27429.727272727272"/>
    <n v="55"/>
  </r>
  <r>
    <s v="ORD0322"/>
    <x v="321"/>
    <x v="1"/>
    <x v="1"/>
    <x v="1"/>
    <x v="1"/>
    <x v="1"/>
    <x v="1"/>
    <x v="1"/>
    <s v="Corporate"/>
    <x v="1"/>
    <s v="Chairs"/>
    <x v="1"/>
    <n v="10100"/>
    <x v="3"/>
    <n v="0.1"/>
    <n v="2280"/>
    <x v="1"/>
    <s v="Standard"/>
    <s v="Delivered"/>
    <n v="4"/>
    <s v="January"/>
    <x v="321"/>
    <n v="879"/>
    <n v="27377.883959044368"/>
    <n v="55"/>
  </r>
  <r>
    <s v="ORD0323"/>
    <x v="322"/>
    <x v="2"/>
    <x v="2"/>
    <x v="2"/>
    <x v="0"/>
    <x v="2"/>
    <x v="2"/>
    <x v="2"/>
    <s v="Consumer"/>
    <x v="0"/>
    <s v="Accessories"/>
    <x v="2"/>
    <n v="23600"/>
    <x v="1"/>
    <n v="0.05"/>
    <n v="4250"/>
    <x v="2"/>
    <s v="Standard"/>
    <s v="Delivered"/>
    <n v="4"/>
    <s v="February"/>
    <x v="322"/>
    <n v="878"/>
    <n v="27397.562642369019"/>
    <n v="55"/>
  </r>
  <r>
    <s v="ORD0324"/>
    <x v="323"/>
    <x v="3"/>
    <x v="3"/>
    <x v="3"/>
    <x v="1"/>
    <x v="3"/>
    <x v="0"/>
    <x v="0"/>
    <s v="Consumer"/>
    <x v="2"/>
    <s v="Paper"/>
    <x v="7"/>
    <n v="690"/>
    <x v="6"/>
    <n v="0.02"/>
    <n v="195"/>
    <x v="0"/>
    <s v="Standard"/>
    <s v="Delivered"/>
    <n v="5"/>
    <s v="February"/>
    <x v="323"/>
    <n v="877"/>
    <n v="27401.892816419611"/>
    <n v="55"/>
  </r>
  <r>
    <s v="ORD0325"/>
    <x v="324"/>
    <x v="4"/>
    <x v="4"/>
    <x v="4"/>
    <x v="0"/>
    <x v="4"/>
    <x v="3"/>
    <x v="0"/>
    <s v="Corporate"/>
    <x v="1"/>
    <s v="Tables"/>
    <x v="4"/>
    <n v="23200"/>
    <x v="1"/>
    <n v="0.08"/>
    <n v="3900"/>
    <x v="1"/>
    <s v="Express"/>
    <s v="Delivered"/>
    <n v="4"/>
    <s v="February"/>
    <x v="324"/>
    <n v="876"/>
    <n v="27432.38584474886"/>
    <n v="55"/>
  </r>
  <r>
    <s v="ORD0326"/>
    <x v="325"/>
    <x v="5"/>
    <x v="5"/>
    <x v="5"/>
    <x v="1"/>
    <x v="5"/>
    <x v="4"/>
    <x v="1"/>
    <s v="Consumer"/>
    <x v="0"/>
    <s v="Accessories"/>
    <x v="5"/>
    <n v="3650"/>
    <x v="3"/>
    <n v="0.05"/>
    <n v="900"/>
    <x v="0"/>
    <s v="Standard"/>
    <s v="Delivered"/>
    <n v="4"/>
    <s v="February"/>
    <x v="325"/>
    <n v="875"/>
    <n v="27437.222857142857"/>
    <n v="55"/>
  </r>
  <r>
    <s v="ORD0327"/>
    <x v="326"/>
    <x v="6"/>
    <x v="0"/>
    <x v="6"/>
    <x v="0"/>
    <x v="6"/>
    <x v="0"/>
    <x v="0"/>
    <s v="Consumer"/>
    <x v="0"/>
    <s v="Accessories"/>
    <x v="6"/>
    <n v="2380"/>
    <x v="10"/>
    <n v="0"/>
    <n v="710"/>
    <x v="3"/>
    <s v="Standard"/>
    <s v="Delivered"/>
    <n v="3"/>
    <s v="March"/>
    <x v="326"/>
    <n v="874"/>
    <n v="27464.439359267733"/>
    <n v="55"/>
  </r>
  <r>
    <s v="ORD0328"/>
    <x v="327"/>
    <x v="7"/>
    <x v="6"/>
    <x v="7"/>
    <x v="1"/>
    <x v="7"/>
    <x v="5"/>
    <x v="2"/>
    <s v="Corporate"/>
    <x v="2"/>
    <s v="Paper"/>
    <x v="3"/>
    <n v="5400"/>
    <x v="2"/>
    <n v="0.02"/>
    <n v="1330"/>
    <x v="0"/>
    <s v="Standard"/>
    <s v="Delivered"/>
    <n v="5"/>
    <s v="March"/>
    <x v="327"/>
    <n v="873"/>
    <n v="27493.172966781214"/>
    <n v="55"/>
  </r>
  <r>
    <s v="ORD0329"/>
    <x v="328"/>
    <x v="8"/>
    <x v="1"/>
    <x v="8"/>
    <x v="0"/>
    <x v="8"/>
    <x v="6"/>
    <x v="3"/>
    <s v="Corporate"/>
    <x v="1"/>
    <s v="Storage"/>
    <x v="8"/>
    <n v="16600"/>
    <x v="0"/>
    <n v="0.1"/>
    <n v="2860"/>
    <x v="1"/>
    <s v="Express"/>
    <s v="Delivered"/>
    <n v="4"/>
    <s v="March"/>
    <x v="328"/>
    <n v="872"/>
    <n v="27518.509174311926"/>
    <n v="55"/>
  </r>
  <r>
    <s v="ORD0330"/>
    <x v="329"/>
    <x v="9"/>
    <x v="4"/>
    <x v="9"/>
    <x v="1"/>
    <x v="0"/>
    <x v="0"/>
    <x v="0"/>
    <s v="Consumer"/>
    <x v="0"/>
    <s v="Printers"/>
    <x v="9"/>
    <n v="18800"/>
    <x v="1"/>
    <n v="0.05"/>
    <n v="3600"/>
    <x v="0"/>
    <s v="Standard"/>
    <s v="Delivered"/>
    <n v="4"/>
    <s v="March"/>
    <x v="329"/>
    <n v="871"/>
    <n v="27531.044776119405"/>
    <n v="55"/>
  </r>
  <r>
    <s v="ORD0331"/>
    <x v="330"/>
    <x v="10"/>
    <x v="7"/>
    <x v="10"/>
    <x v="0"/>
    <x v="9"/>
    <x v="7"/>
    <x v="1"/>
    <s v="Consumer"/>
    <x v="2"/>
    <s v="Accessories"/>
    <x v="10"/>
    <n v="990"/>
    <x v="11"/>
    <n v="0"/>
    <n v="300"/>
    <x v="2"/>
    <s v="Standard"/>
    <s v="Delivered"/>
    <n v="5"/>
    <s v="April"/>
    <x v="330"/>
    <n v="870"/>
    <n v="27541.080459770114"/>
    <n v="55"/>
  </r>
  <r>
    <s v="ORD0332"/>
    <x v="331"/>
    <x v="11"/>
    <x v="3"/>
    <x v="11"/>
    <x v="1"/>
    <x v="2"/>
    <x v="2"/>
    <x v="2"/>
    <s v="Corporate"/>
    <x v="1"/>
    <s v="Tables"/>
    <x v="11"/>
    <n v="27800"/>
    <x v="0"/>
    <n v="0.08"/>
    <n v="5480"/>
    <x v="1"/>
    <s v="Express"/>
    <s v="Delivered"/>
    <n v="4"/>
    <s v="April"/>
    <x v="331"/>
    <n v="869"/>
    <n v="27571.634062140391"/>
    <n v="55"/>
  </r>
  <r>
    <s v="ORD0333"/>
    <x v="332"/>
    <x v="12"/>
    <x v="0"/>
    <x v="12"/>
    <x v="0"/>
    <x v="3"/>
    <x v="0"/>
    <x v="0"/>
    <s v="Consumer"/>
    <x v="0"/>
    <s v="Computers"/>
    <x v="0"/>
    <n v="78500"/>
    <x v="0"/>
    <n v="0.1"/>
    <n v="8800"/>
    <x v="0"/>
    <s v="Express"/>
    <s v="Delivered"/>
    <n v="5"/>
    <s v="April"/>
    <x v="332"/>
    <n v="868"/>
    <n v="27571.370967741936"/>
    <n v="55"/>
  </r>
  <r>
    <s v="ORD0334"/>
    <x v="333"/>
    <x v="13"/>
    <x v="1"/>
    <x v="13"/>
    <x v="1"/>
    <x v="4"/>
    <x v="3"/>
    <x v="0"/>
    <s v="Consumer"/>
    <x v="2"/>
    <s v="Storage"/>
    <x v="12"/>
    <n v="1280"/>
    <x v="5"/>
    <n v="0.05"/>
    <n v="380"/>
    <x v="3"/>
    <s v="Standard"/>
    <s v="Delivered"/>
    <n v="4"/>
    <s v="April"/>
    <x v="333"/>
    <n v="867"/>
    <n v="27512.629757785468"/>
    <n v="55"/>
  </r>
  <r>
    <s v="ORD0335"/>
    <x v="334"/>
    <x v="14"/>
    <x v="8"/>
    <x v="14"/>
    <x v="0"/>
    <x v="5"/>
    <x v="4"/>
    <x v="1"/>
    <s v="Corporate"/>
    <x v="1"/>
    <s v="Chairs"/>
    <x v="1"/>
    <n v="12000"/>
    <x v="9"/>
    <n v="7.0000000000000007E-2"/>
    <n v="2620"/>
    <x v="1"/>
    <s v="Standard"/>
    <s v="Delivered"/>
    <n v="4"/>
    <s v="May"/>
    <x v="334"/>
    <n v="866"/>
    <n v="27542.921478060045"/>
    <n v="55"/>
  </r>
  <r>
    <s v="ORD0336"/>
    <x v="335"/>
    <x v="15"/>
    <x v="6"/>
    <x v="15"/>
    <x v="1"/>
    <x v="1"/>
    <x v="1"/>
    <x v="1"/>
    <s v="Consumer"/>
    <x v="0"/>
    <s v="Accessories"/>
    <x v="2"/>
    <n v="26400"/>
    <x v="1"/>
    <n v="0.05"/>
    <n v="4850"/>
    <x v="0"/>
    <s v="Express"/>
    <s v="Delivered"/>
    <n v="5"/>
    <s v="May"/>
    <x v="335"/>
    <n v="865"/>
    <n v="27560.890173410404"/>
    <n v="55"/>
  </r>
  <r>
    <s v="ORD0337"/>
    <x v="336"/>
    <x v="16"/>
    <x v="5"/>
    <x v="16"/>
    <x v="0"/>
    <x v="7"/>
    <x v="5"/>
    <x v="2"/>
    <s v="Corporate"/>
    <x v="2"/>
    <s v="Paper"/>
    <x v="3"/>
    <n v="5500"/>
    <x v="2"/>
    <n v="0.03"/>
    <n v="1340"/>
    <x v="2"/>
    <s v="Standard"/>
    <s v="Delivered"/>
    <n v="4"/>
    <s v="May"/>
    <x v="336"/>
    <n v="864"/>
    <n v="27562.233796296296"/>
    <n v="55"/>
  </r>
  <r>
    <s v="ORD0338"/>
    <x v="337"/>
    <x v="17"/>
    <x v="0"/>
    <x v="17"/>
    <x v="1"/>
    <x v="0"/>
    <x v="0"/>
    <x v="0"/>
    <s v="Consumer"/>
    <x v="1"/>
    <s v="Tables"/>
    <x v="4"/>
    <n v="23500"/>
    <x v="1"/>
    <n v="0.1"/>
    <n v="3700"/>
    <x v="0"/>
    <s v="Express"/>
    <s v="Delivered"/>
    <n v="5"/>
    <s v="May"/>
    <x v="337"/>
    <n v="863"/>
    <n v="27587.798377752028"/>
    <n v="55"/>
  </r>
  <r>
    <s v="ORD0339"/>
    <x v="338"/>
    <x v="18"/>
    <x v="2"/>
    <x v="18"/>
    <x v="0"/>
    <x v="9"/>
    <x v="7"/>
    <x v="1"/>
    <s v="Corporate"/>
    <x v="0"/>
    <s v="Accessories"/>
    <x v="5"/>
    <n v="4050"/>
    <x v="9"/>
    <n v="0.05"/>
    <n v="1000"/>
    <x v="1"/>
    <s v="Standard"/>
    <s v="Delivered"/>
    <n v="3"/>
    <s v="May"/>
    <x v="338"/>
    <n v="862"/>
    <n v="27592.540603248261"/>
    <n v="55"/>
  </r>
  <r>
    <s v="ORD0340"/>
    <x v="339"/>
    <x v="19"/>
    <x v="7"/>
    <x v="19"/>
    <x v="1"/>
    <x v="6"/>
    <x v="0"/>
    <x v="0"/>
    <s v="Consumer"/>
    <x v="0"/>
    <s v="Accessories"/>
    <x v="6"/>
    <n v="2450"/>
    <x v="12"/>
    <n v="0"/>
    <n v="730"/>
    <x v="0"/>
    <s v="Standard"/>
    <s v="Delivered"/>
    <n v="4"/>
    <s v="June"/>
    <x v="339"/>
    <n v="861"/>
    <n v="27619.883855981418"/>
    <n v="55"/>
  </r>
  <r>
    <s v="ORD0341"/>
    <x v="340"/>
    <x v="0"/>
    <x v="0"/>
    <x v="0"/>
    <x v="0"/>
    <x v="0"/>
    <x v="0"/>
    <x v="0"/>
    <s v="Consumer"/>
    <x v="0"/>
    <s v="Computers"/>
    <x v="0"/>
    <n v="74500"/>
    <x v="0"/>
    <n v="0.05"/>
    <n v="9900"/>
    <x v="0"/>
    <s v="Express"/>
    <s v="Delivered"/>
    <n v="5"/>
    <s v="June"/>
    <x v="340"/>
    <n v="860"/>
    <n v="27649.151162790698"/>
    <n v="55"/>
  </r>
  <r>
    <s v="ORD0342"/>
    <x v="341"/>
    <x v="1"/>
    <x v="1"/>
    <x v="1"/>
    <x v="1"/>
    <x v="1"/>
    <x v="1"/>
    <x v="1"/>
    <s v="Corporate"/>
    <x v="1"/>
    <s v="Chairs"/>
    <x v="1"/>
    <n v="10400"/>
    <x v="3"/>
    <n v="0.1"/>
    <n v="2350"/>
    <x v="1"/>
    <s v="Standard"/>
    <s v="Delivered"/>
    <n v="4"/>
    <s v="June"/>
    <x v="341"/>
    <n v="859"/>
    <n v="27594.610011641442"/>
    <n v="55"/>
  </r>
  <r>
    <s v="ORD0343"/>
    <x v="342"/>
    <x v="2"/>
    <x v="2"/>
    <x v="2"/>
    <x v="0"/>
    <x v="2"/>
    <x v="2"/>
    <x v="2"/>
    <s v="Consumer"/>
    <x v="0"/>
    <s v="Accessories"/>
    <x v="2"/>
    <n v="24300"/>
    <x v="1"/>
    <n v="0.05"/>
    <n v="4400"/>
    <x v="2"/>
    <s v="Standard"/>
    <s v="Delivered"/>
    <n v="4"/>
    <s v="June"/>
    <x v="342"/>
    <n v="858"/>
    <n v="27614.65034965035"/>
    <n v="55"/>
  </r>
  <r>
    <s v="ORD0344"/>
    <x v="343"/>
    <x v="3"/>
    <x v="3"/>
    <x v="3"/>
    <x v="1"/>
    <x v="3"/>
    <x v="0"/>
    <x v="0"/>
    <s v="Consumer"/>
    <x v="2"/>
    <s v="Paper"/>
    <x v="7"/>
    <n v="710"/>
    <x v="6"/>
    <n v="0.02"/>
    <n v="200"/>
    <x v="0"/>
    <s v="Standard"/>
    <s v="Delivered"/>
    <n v="5"/>
    <s v="July"/>
    <x v="343"/>
    <n v="857"/>
    <n v="27618.518086347725"/>
    <n v="55"/>
  </r>
  <r>
    <s v="ORD0345"/>
    <x v="344"/>
    <x v="4"/>
    <x v="4"/>
    <x v="4"/>
    <x v="0"/>
    <x v="4"/>
    <x v="3"/>
    <x v="0"/>
    <s v="Corporate"/>
    <x v="1"/>
    <s v="Tables"/>
    <x v="4"/>
    <n v="24000"/>
    <x v="1"/>
    <n v="0.08"/>
    <n v="4050"/>
    <x v="1"/>
    <s v="Express"/>
    <s v="Delivered"/>
    <n v="4"/>
    <s v="July"/>
    <x v="344"/>
    <n v="856"/>
    <n v="27649.953271028036"/>
    <n v="55"/>
  </r>
  <r>
    <s v="ORD0346"/>
    <x v="345"/>
    <x v="5"/>
    <x v="5"/>
    <x v="5"/>
    <x v="1"/>
    <x v="5"/>
    <x v="4"/>
    <x v="1"/>
    <s v="Consumer"/>
    <x v="0"/>
    <s v="Accessories"/>
    <x v="5"/>
    <n v="3750"/>
    <x v="3"/>
    <n v="0.05"/>
    <n v="930"/>
    <x v="0"/>
    <s v="Standard"/>
    <s v="Delivered"/>
    <n v="4"/>
    <s v="July"/>
    <x v="345"/>
    <n v="855"/>
    <n v="27654.222222222223"/>
    <n v="55"/>
  </r>
  <r>
    <s v="ORD0347"/>
    <x v="346"/>
    <x v="6"/>
    <x v="0"/>
    <x v="6"/>
    <x v="0"/>
    <x v="6"/>
    <x v="0"/>
    <x v="0"/>
    <s v="Consumer"/>
    <x v="0"/>
    <s v="Accessories"/>
    <x v="6"/>
    <n v="2520"/>
    <x v="10"/>
    <n v="0"/>
    <n v="750"/>
    <x v="3"/>
    <s v="Standard"/>
    <s v="Delivered"/>
    <n v="3"/>
    <s v="July"/>
    <x v="346"/>
    <n v="854"/>
    <n v="27682.213114754097"/>
    <n v="55"/>
  </r>
  <r>
    <s v="ORD0348"/>
    <x v="347"/>
    <x v="7"/>
    <x v="6"/>
    <x v="7"/>
    <x v="1"/>
    <x v="7"/>
    <x v="5"/>
    <x v="2"/>
    <s v="Corporate"/>
    <x v="2"/>
    <s v="Paper"/>
    <x v="3"/>
    <n v="5600"/>
    <x v="2"/>
    <n v="0.02"/>
    <n v="1380"/>
    <x v="0"/>
    <s v="Standard"/>
    <s v="Delivered"/>
    <n v="5"/>
    <s v="August"/>
    <x v="347"/>
    <n v="853"/>
    <n v="27711.711606096131"/>
    <n v="55"/>
  </r>
  <r>
    <s v="ORD0349"/>
    <x v="348"/>
    <x v="8"/>
    <x v="1"/>
    <x v="8"/>
    <x v="0"/>
    <x v="8"/>
    <x v="6"/>
    <x v="3"/>
    <s v="Corporate"/>
    <x v="1"/>
    <s v="Storage"/>
    <x v="8"/>
    <n v="17000"/>
    <x v="0"/>
    <n v="0.1"/>
    <n v="2940"/>
    <x v="1"/>
    <s v="Express"/>
    <s v="Delivered"/>
    <n v="4"/>
    <s v="August"/>
    <x v="348"/>
    <n v="852"/>
    <n v="27737.664319248826"/>
    <n v="55"/>
  </r>
  <r>
    <s v="ORD0350"/>
    <x v="349"/>
    <x v="9"/>
    <x v="4"/>
    <x v="9"/>
    <x v="1"/>
    <x v="0"/>
    <x v="0"/>
    <x v="0"/>
    <s v="Consumer"/>
    <x v="0"/>
    <s v="Printers"/>
    <x v="9"/>
    <n v="19200"/>
    <x v="1"/>
    <n v="0.05"/>
    <n v="3680"/>
    <x v="0"/>
    <s v="Standard"/>
    <s v="Delivered"/>
    <n v="4"/>
    <s v="August"/>
    <x v="349"/>
    <n v="851"/>
    <n v="27750.282021151586"/>
    <n v="55"/>
  </r>
  <r>
    <s v="ORD0351"/>
    <x v="350"/>
    <x v="10"/>
    <x v="7"/>
    <x v="10"/>
    <x v="0"/>
    <x v="9"/>
    <x v="7"/>
    <x v="1"/>
    <s v="Consumer"/>
    <x v="2"/>
    <s v="Accessories"/>
    <x v="10"/>
    <n v="1020"/>
    <x v="11"/>
    <n v="0"/>
    <n v="310"/>
    <x v="2"/>
    <s v="Standard"/>
    <s v="Delivered"/>
    <n v="5"/>
    <s v="August"/>
    <x v="350"/>
    <n v="850"/>
    <n v="27760.341176470589"/>
    <n v="55"/>
  </r>
  <r>
    <s v="ORD0352"/>
    <x v="351"/>
    <x v="11"/>
    <x v="3"/>
    <x v="11"/>
    <x v="1"/>
    <x v="2"/>
    <x v="2"/>
    <x v="2"/>
    <s v="Corporate"/>
    <x v="1"/>
    <s v="Tables"/>
    <x v="11"/>
    <n v="28400"/>
    <x v="0"/>
    <n v="0.08"/>
    <n v="5620"/>
    <x v="1"/>
    <s v="Express"/>
    <s v="Delivered"/>
    <n v="4"/>
    <s v="August"/>
    <x v="351"/>
    <n v="849"/>
    <n v="27791.837455830388"/>
    <n v="55"/>
  </r>
  <r>
    <s v="ORD0353"/>
    <x v="352"/>
    <x v="12"/>
    <x v="0"/>
    <x v="12"/>
    <x v="0"/>
    <x v="3"/>
    <x v="0"/>
    <x v="0"/>
    <s v="Consumer"/>
    <x v="0"/>
    <s v="Computers"/>
    <x v="0"/>
    <n v="80000"/>
    <x v="0"/>
    <n v="0.1"/>
    <n v="9000"/>
    <x v="0"/>
    <s v="Express"/>
    <s v="Delivered"/>
    <n v="5"/>
    <s v="September"/>
    <x v="352"/>
    <n v="848"/>
    <n v="27791.120283018867"/>
    <n v="55"/>
  </r>
  <r>
    <s v="ORD0354"/>
    <x v="353"/>
    <x v="13"/>
    <x v="1"/>
    <x v="13"/>
    <x v="1"/>
    <x v="4"/>
    <x v="3"/>
    <x v="0"/>
    <s v="Consumer"/>
    <x v="2"/>
    <s v="Storage"/>
    <x v="12"/>
    <n v="1320"/>
    <x v="5"/>
    <n v="0.05"/>
    <n v="395"/>
    <x v="3"/>
    <s v="Standard"/>
    <s v="Delivered"/>
    <n v="4"/>
    <s v="September"/>
    <x v="353"/>
    <n v="847"/>
    <n v="27729.480519480519"/>
    <n v="55"/>
  </r>
  <r>
    <s v="ORD0355"/>
    <x v="354"/>
    <x v="14"/>
    <x v="8"/>
    <x v="14"/>
    <x v="0"/>
    <x v="5"/>
    <x v="4"/>
    <x v="1"/>
    <s v="Corporate"/>
    <x v="1"/>
    <s v="Chairs"/>
    <x v="1"/>
    <n v="12400"/>
    <x v="9"/>
    <n v="7.0000000000000007E-2"/>
    <n v="2700"/>
    <x v="1"/>
    <s v="Standard"/>
    <s v="Delivered"/>
    <n v="4"/>
    <s v="September"/>
    <x v="354"/>
    <n v="846"/>
    <n v="27760.697399527187"/>
    <n v="55"/>
  </r>
  <r>
    <s v="ORD0356"/>
    <x v="355"/>
    <x v="15"/>
    <x v="6"/>
    <x v="15"/>
    <x v="1"/>
    <x v="1"/>
    <x v="1"/>
    <x v="1"/>
    <s v="Consumer"/>
    <x v="0"/>
    <s v="Accessories"/>
    <x v="2"/>
    <n v="27100"/>
    <x v="1"/>
    <n v="0.05"/>
    <n v="5000"/>
    <x v="0"/>
    <s v="Express"/>
    <s v="Delivered"/>
    <n v="5"/>
    <s v="September"/>
    <x v="355"/>
    <n v="845"/>
    <n v="27778.875739644969"/>
    <n v="55"/>
  </r>
  <r>
    <s v="ORD0357"/>
    <x v="356"/>
    <x v="16"/>
    <x v="5"/>
    <x v="16"/>
    <x v="0"/>
    <x v="7"/>
    <x v="5"/>
    <x v="2"/>
    <s v="Corporate"/>
    <x v="2"/>
    <s v="Paper"/>
    <x v="3"/>
    <n v="5700"/>
    <x v="2"/>
    <n v="0.03"/>
    <n v="1390"/>
    <x v="2"/>
    <s v="Standard"/>
    <s v="Delivered"/>
    <n v="4"/>
    <s v="October"/>
    <x v="356"/>
    <n v="844"/>
    <n v="27779.68009478673"/>
    <n v="55"/>
  </r>
  <r>
    <s v="ORD0358"/>
    <x v="357"/>
    <x v="17"/>
    <x v="0"/>
    <x v="17"/>
    <x v="1"/>
    <x v="0"/>
    <x v="0"/>
    <x v="0"/>
    <s v="Consumer"/>
    <x v="1"/>
    <s v="Tables"/>
    <x v="4"/>
    <n v="24200"/>
    <x v="1"/>
    <n v="0.1"/>
    <n v="3820"/>
    <x v="0"/>
    <s v="Express"/>
    <s v="Delivered"/>
    <n v="5"/>
    <s v="October"/>
    <x v="357"/>
    <n v="843"/>
    <n v="27805.871886120996"/>
    <n v="55"/>
  </r>
  <r>
    <s v="ORD0359"/>
    <x v="358"/>
    <x v="18"/>
    <x v="2"/>
    <x v="18"/>
    <x v="0"/>
    <x v="9"/>
    <x v="7"/>
    <x v="1"/>
    <s v="Corporate"/>
    <x v="0"/>
    <s v="Accessories"/>
    <x v="5"/>
    <n v="4150"/>
    <x v="9"/>
    <n v="0.05"/>
    <n v="1020"/>
    <x v="1"/>
    <s v="Standard"/>
    <s v="Delivered"/>
    <n v="3"/>
    <s v="October"/>
    <x v="358"/>
    <n v="842"/>
    <n v="27810.154394299287"/>
    <n v="55"/>
  </r>
  <r>
    <s v="ORD0360"/>
    <x v="359"/>
    <x v="19"/>
    <x v="7"/>
    <x v="19"/>
    <x v="1"/>
    <x v="6"/>
    <x v="0"/>
    <x v="0"/>
    <s v="Consumer"/>
    <x v="0"/>
    <s v="Accessories"/>
    <x v="6"/>
    <n v="2600"/>
    <x v="12"/>
    <n v="0"/>
    <n v="780"/>
    <x v="0"/>
    <s v="Standard"/>
    <s v="Delivered"/>
    <n v="4"/>
    <s v="October"/>
    <x v="359"/>
    <n v="841"/>
    <n v="27838.287752675387"/>
    <n v="55"/>
  </r>
  <r>
    <s v="ORD0361"/>
    <x v="360"/>
    <x v="0"/>
    <x v="0"/>
    <x v="0"/>
    <x v="0"/>
    <x v="0"/>
    <x v="0"/>
    <x v="0"/>
    <s v="Consumer"/>
    <x v="0"/>
    <s v="Computers"/>
    <x v="0"/>
    <n v="76000"/>
    <x v="0"/>
    <n v="0.05"/>
    <n v="10100"/>
    <x v="0"/>
    <s v="Express"/>
    <s v="Delivered"/>
    <n v="5"/>
    <s v="October"/>
    <x v="360"/>
    <n v="840"/>
    <n v="27868.333333333332"/>
    <n v="55"/>
  </r>
  <r>
    <s v="ORD0362"/>
    <x v="361"/>
    <x v="1"/>
    <x v="1"/>
    <x v="1"/>
    <x v="1"/>
    <x v="1"/>
    <x v="1"/>
    <x v="1"/>
    <s v="Corporate"/>
    <x v="1"/>
    <s v="Chairs"/>
    <x v="1"/>
    <n v="10700"/>
    <x v="3"/>
    <n v="0.1"/>
    <n v="2420"/>
    <x v="1"/>
    <s v="Standard"/>
    <s v="Delivered"/>
    <n v="4"/>
    <s v="November"/>
    <x v="361"/>
    <n v="839"/>
    <n v="27810.965435041715"/>
    <n v="55"/>
  </r>
  <r>
    <s v="ORD0363"/>
    <x v="362"/>
    <x v="2"/>
    <x v="2"/>
    <x v="2"/>
    <x v="0"/>
    <x v="2"/>
    <x v="2"/>
    <x v="2"/>
    <s v="Consumer"/>
    <x v="0"/>
    <s v="Accessories"/>
    <x v="2"/>
    <n v="25000"/>
    <x v="1"/>
    <n v="0.05"/>
    <n v="4550"/>
    <x v="2"/>
    <s v="Standard"/>
    <s v="Delivered"/>
    <n v="4"/>
    <s v="November"/>
    <x v="362"/>
    <n v="838"/>
    <n v="27831.384248210023"/>
    <n v="55"/>
  </r>
  <r>
    <s v="ORD0364"/>
    <x v="363"/>
    <x v="3"/>
    <x v="3"/>
    <x v="3"/>
    <x v="1"/>
    <x v="3"/>
    <x v="0"/>
    <x v="0"/>
    <s v="Consumer"/>
    <x v="2"/>
    <s v="Paper"/>
    <x v="7"/>
    <n v="730"/>
    <x v="6"/>
    <n v="0.02"/>
    <n v="210"/>
    <x v="0"/>
    <s v="Standard"/>
    <s v="Delivered"/>
    <n v="5"/>
    <s v="November"/>
    <x v="363"/>
    <n v="837"/>
    <n v="27834.767025089604"/>
    <n v="55"/>
  </r>
  <r>
    <s v="ORD0365"/>
    <x v="364"/>
    <x v="4"/>
    <x v="4"/>
    <x v="4"/>
    <x v="0"/>
    <x v="4"/>
    <x v="3"/>
    <x v="0"/>
    <s v="Corporate"/>
    <x v="1"/>
    <s v="Tables"/>
    <x v="4"/>
    <n v="24800"/>
    <x v="1"/>
    <n v="0.08"/>
    <n v="4200"/>
    <x v="1"/>
    <s v="Express"/>
    <s v="Delivered"/>
    <n v="4"/>
    <s v="November"/>
    <x v="364"/>
    <n v="836"/>
    <n v="27867.188995215311"/>
    <n v="55"/>
  </r>
  <r>
    <s v="ORD0366"/>
    <x v="365"/>
    <x v="5"/>
    <x v="5"/>
    <x v="5"/>
    <x v="1"/>
    <x v="5"/>
    <x v="4"/>
    <x v="1"/>
    <s v="Consumer"/>
    <x v="0"/>
    <s v="Accessories"/>
    <x v="5"/>
    <n v="3850"/>
    <x v="3"/>
    <n v="0.05"/>
    <n v="960"/>
    <x v="0"/>
    <s v="Standard"/>
    <s v="Delivered"/>
    <n v="4"/>
    <s v="December"/>
    <x v="365"/>
    <n v="835"/>
    <n v="27870.862275449101"/>
    <n v="55"/>
  </r>
  <r>
    <s v="ORD0367"/>
    <x v="366"/>
    <x v="6"/>
    <x v="0"/>
    <x v="6"/>
    <x v="0"/>
    <x v="6"/>
    <x v="0"/>
    <x v="0"/>
    <s v="Consumer"/>
    <x v="0"/>
    <s v="Accessories"/>
    <x v="6"/>
    <n v="2700"/>
    <x v="10"/>
    <n v="0"/>
    <n v="800"/>
    <x v="3"/>
    <s v="Standard"/>
    <s v="Delivered"/>
    <n v="3"/>
    <s v="December"/>
    <x v="366"/>
    <n v="834"/>
    <n v="27899.664268585133"/>
    <n v="55"/>
  </r>
  <r>
    <s v="ORD0368"/>
    <x v="367"/>
    <x v="7"/>
    <x v="6"/>
    <x v="7"/>
    <x v="1"/>
    <x v="7"/>
    <x v="5"/>
    <x v="2"/>
    <s v="Corporate"/>
    <x v="2"/>
    <s v="Paper"/>
    <x v="3"/>
    <n v="5800"/>
    <x v="2"/>
    <n v="0.02"/>
    <n v="1430"/>
    <x v="0"/>
    <s v="Standard"/>
    <s v="Delivered"/>
    <n v="5"/>
    <s v="December"/>
    <x v="367"/>
    <n v="833"/>
    <n v="27929.915966386554"/>
    <n v="55"/>
  </r>
  <r>
    <s v="ORD0369"/>
    <x v="368"/>
    <x v="8"/>
    <x v="1"/>
    <x v="8"/>
    <x v="0"/>
    <x v="8"/>
    <x v="6"/>
    <x v="3"/>
    <s v="Corporate"/>
    <x v="1"/>
    <s v="Storage"/>
    <x v="8"/>
    <n v="17400"/>
    <x v="0"/>
    <n v="0.1"/>
    <n v="3020"/>
    <x v="1"/>
    <s v="Express"/>
    <s v="Delivered"/>
    <n v="4"/>
    <s v="December"/>
    <x v="368"/>
    <n v="832"/>
    <n v="27956.514423076922"/>
    <n v="55"/>
  </r>
  <r>
    <s v="ORD0370"/>
    <x v="369"/>
    <x v="9"/>
    <x v="4"/>
    <x v="9"/>
    <x v="1"/>
    <x v="0"/>
    <x v="0"/>
    <x v="0"/>
    <s v="Consumer"/>
    <x v="0"/>
    <s v="Printers"/>
    <x v="9"/>
    <n v="19600"/>
    <x v="1"/>
    <n v="0.05"/>
    <n v="3760"/>
    <x v="0"/>
    <s v="Standard"/>
    <s v="Delivered"/>
    <n v="4"/>
    <s v="January"/>
    <x v="369"/>
    <n v="831"/>
    <n v="27969.21780986763"/>
    <n v="55"/>
  </r>
  <r>
    <s v="ORD0371"/>
    <x v="370"/>
    <x v="10"/>
    <x v="7"/>
    <x v="10"/>
    <x v="0"/>
    <x v="9"/>
    <x v="7"/>
    <x v="1"/>
    <s v="Consumer"/>
    <x v="2"/>
    <s v="Accessories"/>
    <x v="10"/>
    <n v="1050"/>
    <x v="11"/>
    <n v="0"/>
    <n v="320"/>
    <x v="2"/>
    <s v="Standard"/>
    <s v="Delivered"/>
    <n v="5"/>
    <s v="January"/>
    <x v="370"/>
    <n v="830"/>
    <n v="27979.301204819276"/>
    <n v="55"/>
  </r>
  <r>
    <s v="ORD0372"/>
    <x v="371"/>
    <x v="11"/>
    <x v="3"/>
    <x v="11"/>
    <x v="1"/>
    <x v="2"/>
    <x v="2"/>
    <x v="2"/>
    <s v="Corporate"/>
    <x v="1"/>
    <s v="Tables"/>
    <x v="11"/>
    <n v="29000"/>
    <x v="0"/>
    <n v="0.08"/>
    <n v="5750"/>
    <x v="1"/>
    <s v="Express"/>
    <s v="Delivered"/>
    <n v="4"/>
    <s v="January"/>
    <x v="371"/>
    <n v="829"/>
    <n v="28011.785283474066"/>
    <n v="55"/>
  </r>
  <r>
    <s v="ORD0373"/>
    <x v="372"/>
    <x v="12"/>
    <x v="0"/>
    <x v="12"/>
    <x v="0"/>
    <x v="3"/>
    <x v="0"/>
    <x v="0"/>
    <s v="Consumer"/>
    <x v="0"/>
    <s v="Computers"/>
    <x v="0"/>
    <n v="81500"/>
    <x v="0"/>
    <n v="0.1"/>
    <n v="9200"/>
    <x v="0"/>
    <s v="Express"/>
    <s v="Delivered"/>
    <n v="5"/>
    <s v="January"/>
    <x v="372"/>
    <n v="828"/>
    <n v="28010.591787439615"/>
    <n v="55"/>
  </r>
  <r>
    <s v="ORD0374"/>
    <x v="373"/>
    <x v="13"/>
    <x v="1"/>
    <x v="13"/>
    <x v="1"/>
    <x v="4"/>
    <x v="3"/>
    <x v="0"/>
    <s v="Consumer"/>
    <x v="2"/>
    <s v="Storage"/>
    <x v="12"/>
    <n v="1360"/>
    <x v="5"/>
    <n v="0.05"/>
    <n v="410"/>
    <x v="3"/>
    <s v="Standard"/>
    <s v="Delivered"/>
    <n v="4"/>
    <s v="January"/>
    <x v="373"/>
    <n v="827"/>
    <n v="27945.912938331319"/>
    <n v="55"/>
  </r>
  <r>
    <s v="ORD0375"/>
    <x v="374"/>
    <x v="14"/>
    <x v="8"/>
    <x v="14"/>
    <x v="0"/>
    <x v="5"/>
    <x v="4"/>
    <x v="1"/>
    <s v="Corporate"/>
    <x v="1"/>
    <s v="Chairs"/>
    <x v="1"/>
    <n v="12800"/>
    <x v="9"/>
    <n v="7.0000000000000007E-2"/>
    <n v="2800"/>
    <x v="1"/>
    <s v="Standard"/>
    <s v="Delivered"/>
    <n v="4"/>
    <s v="February"/>
    <x v="374"/>
    <n v="826"/>
    <n v="27978.09927360775"/>
    <n v="55"/>
  </r>
  <r>
    <s v="ORD0376"/>
    <x v="375"/>
    <x v="15"/>
    <x v="6"/>
    <x v="15"/>
    <x v="1"/>
    <x v="1"/>
    <x v="1"/>
    <x v="1"/>
    <s v="Consumer"/>
    <x v="0"/>
    <s v="Accessories"/>
    <x v="2"/>
    <n v="27800"/>
    <x v="1"/>
    <n v="0.05"/>
    <n v="5150"/>
    <x v="0"/>
    <s v="Express"/>
    <s v="Delivered"/>
    <n v="5"/>
    <s v="February"/>
    <x v="375"/>
    <n v="825"/>
    <n v="27996.496969696971"/>
    <n v="55"/>
  </r>
  <r>
    <s v="ORD0377"/>
    <x v="376"/>
    <x v="16"/>
    <x v="5"/>
    <x v="16"/>
    <x v="0"/>
    <x v="7"/>
    <x v="5"/>
    <x v="2"/>
    <s v="Corporate"/>
    <x v="2"/>
    <s v="Paper"/>
    <x v="3"/>
    <n v="5900"/>
    <x v="2"/>
    <n v="0.03"/>
    <n v="1450"/>
    <x v="2"/>
    <s v="Standard"/>
    <s v="Delivered"/>
    <n v="4"/>
    <s v="February"/>
    <x v="376"/>
    <n v="824"/>
    <n v="27996.735436893203"/>
    <n v="55"/>
  </r>
  <r>
    <s v="ORD0378"/>
    <x v="377"/>
    <x v="17"/>
    <x v="0"/>
    <x v="17"/>
    <x v="1"/>
    <x v="0"/>
    <x v="0"/>
    <x v="0"/>
    <s v="Consumer"/>
    <x v="1"/>
    <s v="Tables"/>
    <x v="4"/>
    <n v="25000"/>
    <x v="1"/>
    <n v="0.1"/>
    <n v="3950"/>
    <x v="0"/>
    <s v="Express"/>
    <s v="Delivered"/>
    <n v="5"/>
    <s v="February"/>
    <x v="377"/>
    <n v="823"/>
    <n v="28023.584447144593"/>
    <n v="55"/>
  </r>
  <r>
    <s v="ORD0379"/>
    <x v="378"/>
    <x v="18"/>
    <x v="2"/>
    <x v="18"/>
    <x v="0"/>
    <x v="9"/>
    <x v="7"/>
    <x v="1"/>
    <s v="Corporate"/>
    <x v="0"/>
    <s v="Accessories"/>
    <x v="5"/>
    <n v="4250"/>
    <x v="9"/>
    <n v="0.05"/>
    <n v="1050"/>
    <x v="1"/>
    <s v="Standard"/>
    <s v="Delivered"/>
    <n v="3"/>
    <s v="March"/>
    <x v="378"/>
    <n v="822"/>
    <n v="28027.262773722628"/>
    <n v="55"/>
  </r>
  <r>
    <s v="ORD0380"/>
    <x v="379"/>
    <x v="19"/>
    <x v="7"/>
    <x v="19"/>
    <x v="1"/>
    <x v="6"/>
    <x v="0"/>
    <x v="0"/>
    <s v="Consumer"/>
    <x v="0"/>
    <s v="Accessories"/>
    <x v="6"/>
    <n v="2750"/>
    <x v="12"/>
    <n v="0"/>
    <n v="820"/>
    <x v="0"/>
    <s v="Standard"/>
    <s v="Delivered"/>
    <n v="4"/>
    <s v="March"/>
    <x v="379"/>
    <n v="821"/>
    <n v="28056.224116930571"/>
    <n v="55"/>
  </r>
  <r>
    <s v="ORD0381"/>
    <x v="380"/>
    <x v="0"/>
    <x v="0"/>
    <x v="0"/>
    <x v="0"/>
    <x v="0"/>
    <x v="0"/>
    <x v="0"/>
    <s v="Consumer"/>
    <x v="0"/>
    <s v="Computers"/>
    <x v="0"/>
    <n v="77500"/>
    <x v="0"/>
    <n v="0.05"/>
    <n v="10300"/>
    <x v="0"/>
    <s v="Express"/>
    <s v="Delivered"/>
    <n v="5"/>
    <s v="March"/>
    <x v="380"/>
    <n v="820"/>
    <n v="28087.085365853658"/>
    <n v="55"/>
  </r>
  <r>
    <s v="ORD0382"/>
    <x v="381"/>
    <x v="1"/>
    <x v="1"/>
    <x v="1"/>
    <x v="1"/>
    <x v="1"/>
    <x v="1"/>
    <x v="1"/>
    <s v="Corporate"/>
    <x v="1"/>
    <s v="Chairs"/>
    <x v="1"/>
    <n v="11000"/>
    <x v="3"/>
    <n v="0.1"/>
    <n v="2500"/>
    <x v="1"/>
    <s v="Standard"/>
    <s v="Delivered"/>
    <n v="4"/>
    <s v="March"/>
    <x v="381"/>
    <n v="819"/>
    <n v="28026.752136752137"/>
    <n v="55"/>
  </r>
  <r>
    <s v="ORD0383"/>
    <x v="382"/>
    <x v="2"/>
    <x v="2"/>
    <x v="2"/>
    <x v="0"/>
    <x v="2"/>
    <x v="2"/>
    <x v="2"/>
    <s v="Consumer"/>
    <x v="0"/>
    <s v="Accessories"/>
    <x v="2"/>
    <n v="25700"/>
    <x v="1"/>
    <n v="0.05"/>
    <n v="4700"/>
    <x v="2"/>
    <s v="Standard"/>
    <s v="Delivered"/>
    <n v="4"/>
    <s v="April"/>
    <x v="382"/>
    <n v="818"/>
    <n v="28047.567237163814"/>
    <n v="55"/>
  </r>
  <r>
    <s v="ORD0384"/>
    <x v="383"/>
    <x v="3"/>
    <x v="3"/>
    <x v="3"/>
    <x v="1"/>
    <x v="3"/>
    <x v="0"/>
    <x v="0"/>
    <s v="Consumer"/>
    <x v="2"/>
    <s v="Paper"/>
    <x v="7"/>
    <n v="750"/>
    <x v="6"/>
    <n v="0.02"/>
    <n v="220"/>
    <x v="0"/>
    <s v="Standard"/>
    <s v="Delivered"/>
    <n v="5"/>
    <s v="April"/>
    <x v="383"/>
    <n v="817"/>
    <n v="28050.440636474908"/>
    <n v="55"/>
  </r>
  <r>
    <s v="ORD0385"/>
    <x v="384"/>
    <x v="4"/>
    <x v="4"/>
    <x v="4"/>
    <x v="0"/>
    <x v="4"/>
    <x v="3"/>
    <x v="0"/>
    <s v="Corporate"/>
    <x v="1"/>
    <s v="Tables"/>
    <x v="4"/>
    <n v="25500"/>
    <x v="1"/>
    <n v="0.08"/>
    <n v="4350"/>
    <x v="1"/>
    <s v="Express"/>
    <s v="Delivered"/>
    <n v="4"/>
    <s v="April"/>
    <x v="384"/>
    <n v="816"/>
    <n v="28083.897058823528"/>
    <n v="55"/>
  </r>
  <r>
    <s v="ORD0386"/>
    <x v="385"/>
    <x v="5"/>
    <x v="5"/>
    <x v="5"/>
    <x v="1"/>
    <x v="5"/>
    <x v="4"/>
    <x v="1"/>
    <s v="Consumer"/>
    <x v="0"/>
    <s v="Accessories"/>
    <x v="5"/>
    <n v="3950"/>
    <x v="3"/>
    <n v="0.05"/>
    <n v="990"/>
    <x v="0"/>
    <s v="Standard"/>
    <s v="Delivered"/>
    <n v="4"/>
    <s v="April"/>
    <x v="385"/>
    <n v="815"/>
    <n v="28087.067484662577"/>
    <n v="55"/>
  </r>
  <r>
    <s v="ORD0387"/>
    <x v="386"/>
    <x v="6"/>
    <x v="0"/>
    <x v="6"/>
    <x v="0"/>
    <x v="6"/>
    <x v="0"/>
    <x v="0"/>
    <s v="Consumer"/>
    <x v="0"/>
    <s v="Accessories"/>
    <x v="6"/>
    <n v="2820"/>
    <x v="10"/>
    <n v="0"/>
    <n v="840"/>
    <x v="3"/>
    <s v="Standard"/>
    <s v="Delivered"/>
    <n v="3"/>
    <s v="April"/>
    <x v="386"/>
    <n v="814"/>
    <n v="28116.719901719902"/>
    <n v="55"/>
  </r>
  <r>
    <s v="ORD0388"/>
    <x v="387"/>
    <x v="7"/>
    <x v="6"/>
    <x v="7"/>
    <x v="1"/>
    <x v="7"/>
    <x v="5"/>
    <x v="2"/>
    <s v="Corporate"/>
    <x v="2"/>
    <s v="Paper"/>
    <x v="3"/>
    <n v="6000"/>
    <x v="2"/>
    <n v="0.02"/>
    <n v="1480"/>
    <x v="0"/>
    <s v="Standard"/>
    <s v="Delivered"/>
    <n v="5"/>
    <s v="May"/>
    <x v="387"/>
    <n v="813"/>
    <n v="28147.835178351783"/>
    <n v="55"/>
  </r>
  <r>
    <s v="ORD0389"/>
    <x v="388"/>
    <x v="8"/>
    <x v="1"/>
    <x v="8"/>
    <x v="0"/>
    <x v="8"/>
    <x v="6"/>
    <x v="3"/>
    <s v="Corporate"/>
    <x v="1"/>
    <s v="Storage"/>
    <x v="8"/>
    <n v="17800"/>
    <x v="0"/>
    <n v="0.1"/>
    <n v="3100"/>
    <x v="1"/>
    <s v="Express"/>
    <s v="Delivered"/>
    <n v="4"/>
    <s v="May"/>
    <x v="388"/>
    <n v="812"/>
    <n v="28175.110837438424"/>
    <n v="55"/>
  </r>
  <r>
    <s v="ORD0390"/>
    <x v="389"/>
    <x v="9"/>
    <x v="4"/>
    <x v="9"/>
    <x v="1"/>
    <x v="0"/>
    <x v="0"/>
    <x v="0"/>
    <s v="Consumer"/>
    <x v="0"/>
    <s v="Printers"/>
    <x v="9"/>
    <n v="20000"/>
    <x v="1"/>
    <n v="0.05"/>
    <n v="3850"/>
    <x v="0"/>
    <s v="Standard"/>
    <s v="Delivered"/>
    <n v="4"/>
    <s v="May"/>
    <x v="389"/>
    <n v="811"/>
    <n v="28187.903822441429"/>
    <n v="55"/>
  </r>
  <r>
    <s v="ORD0391"/>
    <x v="390"/>
    <x v="10"/>
    <x v="7"/>
    <x v="10"/>
    <x v="0"/>
    <x v="9"/>
    <x v="7"/>
    <x v="1"/>
    <s v="Consumer"/>
    <x v="2"/>
    <s v="Accessories"/>
    <x v="10"/>
    <n v="1080"/>
    <x v="11"/>
    <n v="0"/>
    <n v="330"/>
    <x v="2"/>
    <s v="Standard"/>
    <s v="Delivered"/>
    <n v="5"/>
    <s v="May"/>
    <x v="390"/>
    <n v="810"/>
    <n v="28198.012345679013"/>
    <n v="55"/>
  </r>
  <r>
    <s v="ORD0392"/>
    <x v="391"/>
    <x v="11"/>
    <x v="3"/>
    <x v="11"/>
    <x v="1"/>
    <x v="2"/>
    <x v="2"/>
    <x v="2"/>
    <s v="Corporate"/>
    <x v="1"/>
    <s v="Tables"/>
    <x v="11"/>
    <n v="29600"/>
    <x v="0"/>
    <n v="0.08"/>
    <n v="5900"/>
    <x v="1"/>
    <s v="Express"/>
    <s v="Delivered"/>
    <n v="4"/>
    <s v="June"/>
    <x v="391"/>
    <n v="809"/>
    <n v="28231.532756489494"/>
    <n v="55"/>
  </r>
  <r>
    <s v="ORD0393"/>
    <x v="392"/>
    <x v="12"/>
    <x v="0"/>
    <x v="12"/>
    <x v="0"/>
    <x v="3"/>
    <x v="0"/>
    <x v="0"/>
    <s v="Consumer"/>
    <x v="0"/>
    <s v="Computers"/>
    <x v="0"/>
    <n v="83000"/>
    <x v="0"/>
    <n v="0.1"/>
    <n v="9400"/>
    <x v="0"/>
    <s v="Express"/>
    <s v="Delivered"/>
    <n v="5"/>
    <s v="June"/>
    <x v="392"/>
    <n v="808"/>
    <n v="28229.839108910892"/>
    <n v="55"/>
  </r>
  <r>
    <s v="ORD0394"/>
    <x v="393"/>
    <x v="13"/>
    <x v="1"/>
    <x v="13"/>
    <x v="1"/>
    <x v="4"/>
    <x v="3"/>
    <x v="0"/>
    <s v="Consumer"/>
    <x v="2"/>
    <s v="Storage"/>
    <x v="12"/>
    <n v="1400"/>
    <x v="5"/>
    <n v="0.05"/>
    <n v="425"/>
    <x v="3"/>
    <s v="Standard"/>
    <s v="Delivered"/>
    <n v="4"/>
    <s v="June"/>
    <x v="393"/>
    <n v="807"/>
    <n v="28161.97026022305"/>
    <n v="55"/>
  </r>
  <r>
    <s v="ORD0395"/>
    <x v="394"/>
    <x v="14"/>
    <x v="8"/>
    <x v="14"/>
    <x v="0"/>
    <x v="5"/>
    <x v="4"/>
    <x v="1"/>
    <s v="Corporate"/>
    <x v="1"/>
    <s v="Chairs"/>
    <x v="1"/>
    <n v="13200"/>
    <x v="9"/>
    <n v="7.0000000000000007E-2"/>
    <n v="2900"/>
    <x v="1"/>
    <s v="Standard"/>
    <s v="Delivered"/>
    <n v="4"/>
    <s v="June"/>
    <x v="394"/>
    <n v="806"/>
    <n v="28195.173697270471"/>
    <n v="55"/>
  </r>
  <r>
    <s v="ORD0396"/>
    <x v="395"/>
    <x v="15"/>
    <x v="6"/>
    <x v="15"/>
    <x v="1"/>
    <x v="1"/>
    <x v="1"/>
    <x v="1"/>
    <s v="Consumer"/>
    <x v="0"/>
    <s v="Accessories"/>
    <x v="2"/>
    <n v="28500"/>
    <x v="1"/>
    <n v="0.05"/>
    <n v="5300"/>
    <x v="0"/>
    <s v="Express"/>
    <s v="Delivered"/>
    <n v="5"/>
    <s v="July"/>
    <x v="395"/>
    <n v="805"/>
    <n v="28213.801242236026"/>
    <n v="55"/>
  </r>
  <r>
    <s v="ORD0397"/>
    <x v="396"/>
    <x v="16"/>
    <x v="5"/>
    <x v="16"/>
    <x v="0"/>
    <x v="7"/>
    <x v="5"/>
    <x v="2"/>
    <s v="Corporate"/>
    <x v="2"/>
    <s v="Paper"/>
    <x v="3"/>
    <n v="6100"/>
    <x v="2"/>
    <n v="0.03"/>
    <n v="1510"/>
    <x v="2"/>
    <s v="Standard"/>
    <s v="Delivered"/>
    <n v="4"/>
    <s v="July"/>
    <x v="396"/>
    <n v="804"/>
    <n v="28213.445273631842"/>
    <n v="55"/>
  </r>
  <r>
    <s v="ORD0398"/>
    <x v="397"/>
    <x v="17"/>
    <x v="0"/>
    <x v="17"/>
    <x v="1"/>
    <x v="0"/>
    <x v="0"/>
    <x v="0"/>
    <s v="Consumer"/>
    <x v="1"/>
    <s v="Tables"/>
    <x v="4"/>
    <n v="25800"/>
    <x v="1"/>
    <n v="0.1"/>
    <n v="4080"/>
    <x v="0"/>
    <s v="Express"/>
    <s v="Delivered"/>
    <n v="5"/>
    <s v="July"/>
    <x v="397"/>
    <n v="803"/>
    <n v="28240.983810709837"/>
    <n v="55"/>
  </r>
  <r>
    <s v="ORD0399"/>
    <x v="398"/>
    <x v="18"/>
    <x v="2"/>
    <x v="18"/>
    <x v="0"/>
    <x v="9"/>
    <x v="7"/>
    <x v="1"/>
    <s v="Corporate"/>
    <x v="0"/>
    <s v="Accessories"/>
    <x v="5"/>
    <n v="4350"/>
    <x v="9"/>
    <n v="0.05"/>
    <n v="1080"/>
    <x v="1"/>
    <s v="Standard"/>
    <s v="Delivered"/>
    <n v="3"/>
    <s v="July"/>
    <x v="398"/>
    <n v="802"/>
    <n v="28244.027431421448"/>
    <n v="55"/>
  </r>
  <r>
    <s v="ORD0400"/>
    <x v="399"/>
    <x v="19"/>
    <x v="7"/>
    <x v="19"/>
    <x v="1"/>
    <x v="6"/>
    <x v="0"/>
    <x v="0"/>
    <s v="Consumer"/>
    <x v="0"/>
    <s v="Accessories"/>
    <x v="6"/>
    <n v="2900"/>
    <x v="12"/>
    <n v="0"/>
    <n v="860"/>
    <x v="0"/>
    <s v="Standard"/>
    <s v="Delivered"/>
    <n v="4"/>
    <s v="July"/>
    <x v="399"/>
    <n v="801"/>
    <n v="28273.857677902623"/>
    <n v="55"/>
  </r>
  <r>
    <s v="ORD0401"/>
    <x v="400"/>
    <x v="0"/>
    <x v="0"/>
    <x v="0"/>
    <x v="0"/>
    <x v="0"/>
    <x v="0"/>
    <x v="0"/>
    <s v="Consumer"/>
    <x v="0"/>
    <s v="Computers"/>
    <x v="0"/>
    <n v="79000"/>
    <x v="0"/>
    <n v="0.05"/>
    <n v="10500"/>
    <x v="0"/>
    <s v="Express"/>
    <s v="Delivered"/>
    <n v="5"/>
    <s v="August"/>
    <x v="400"/>
    <n v="800"/>
    <n v="28305.575000000001"/>
    <n v="55"/>
  </r>
  <r>
    <s v="ORD0402"/>
    <x v="401"/>
    <x v="1"/>
    <x v="1"/>
    <x v="1"/>
    <x v="1"/>
    <x v="1"/>
    <x v="1"/>
    <x v="1"/>
    <s v="Corporate"/>
    <x v="1"/>
    <s v="Chairs"/>
    <x v="1"/>
    <n v="11300"/>
    <x v="3"/>
    <n v="0.1"/>
    <n v="2580"/>
    <x v="1"/>
    <s v="Standard"/>
    <s v="Delivered"/>
    <n v="4"/>
    <s v="August"/>
    <x v="401"/>
    <n v="799"/>
    <n v="28242.127659574468"/>
    <n v="55"/>
  </r>
  <r>
    <s v="ORD0403"/>
    <x v="402"/>
    <x v="2"/>
    <x v="2"/>
    <x v="2"/>
    <x v="0"/>
    <x v="2"/>
    <x v="2"/>
    <x v="2"/>
    <s v="Consumer"/>
    <x v="0"/>
    <s v="Accessories"/>
    <x v="2"/>
    <n v="26400"/>
    <x v="1"/>
    <n v="0.05"/>
    <n v="4850"/>
    <x v="2"/>
    <s v="Standard"/>
    <s v="Delivered"/>
    <n v="4"/>
    <s v="August"/>
    <x v="402"/>
    <n v="798"/>
    <n v="28263.358395989973"/>
    <n v="55"/>
  </r>
  <r>
    <s v="ORD0404"/>
    <x v="403"/>
    <x v="3"/>
    <x v="3"/>
    <x v="3"/>
    <x v="1"/>
    <x v="3"/>
    <x v="0"/>
    <x v="0"/>
    <s v="Consumer"/>
    <x v="2"/>
    <s v="Paper"/>
    <x v="7"/>
    <n v="770"/>
    <x v="6"/>
    <n v="0.02"/>
    <n v="225"/>
    <x v="0"/>
    <s v="Standard"/>
    <s v="Delivered"/>
    <n v="5"/>
    <s v="August"/>
    <x v="403"/>
    <n v="797"/>
    <n v="28265.696361355083"/>
    <n v="55"/>
  </r>
  <r>
    <s v="ORD0405"/>
    <x v="404"/>
    <x v="4"/>
    <x v="4"/>
    <x v="4"/>
    <x v="0"/>
    <x v="4"/>
    <x v="3"/>
    <x v="0"/>
    <s v="Corporate"/>
    <x v="1"/>
    <s v="Tables"/>
    <x v="4"/>
    <n v="26200"/>
    <x v="1"/>
    <n v="0.08"/>
    <n v="4480"/>
    <x v="1"/>
    <s v="Express"/>
    <s v="Delivered"/>
    <n v="4"/>
    <s v="September"/>
    <x v="404"/>
    <n v="796"/>
    <n v="28300.238693467338"/>
    <n v="55"/>
  </r>
  <r>
    <s v="ORD0406"/>
    <x v="405"/>
    <x v="5"/>
    <x v="5"/>
    <x v="5"/>
    <x v="1"/>
    <x v="5"/>
    <x v="4"/>
    <x v="1"/>
    <s v="Consumer"/>
    <x v="0"/>
    <s v="Accessories"/>
    <x v="5"/>
    <n v="4050"/>
    <x v="3"/>
    <n v="0.05"/>
    <n v="1020"/>
    <x v="0"/>
    <s v="Standard"/>
    <s v="Delivered"/>
    <n v="4"/>
    <s v="September"/>
    <x v="405"/>
    <n v="795"/>
    <n v="28302.880503144654"/>
    <n v="55"/>
  </r>
  <r>
    <s v="ORD0407"/>
    <x v="406"/>
    <x v="6"/>
    <x v="0"/>
    <x v="6"/>
    <x v="0"/>
    <x v="6"/>
    <x v="0"/>
    <x v="0"/>
    <s v="Consumer"/>
    <x v="0"/>
    <s v="Accessories"/>
    <x v="6"/>
    <n v="2980"/>
    <x v="10"/>
    <n v="0"/>
    <n v="890"/>
    <x v="3"/>
    <s v="Standard"/>
    <s v="Delivered"/>
    <n v="3"/>
    <s v="September"/>
    <x v="406"/>
    <n v="794"/>
    <n v="28333.425692695215"/>
    <n v="55"/>
  </r>
  <r>
    <s v="ORD0408"/>
    <x v="407"/>
    <x v="7"/>
    <x v="6"/>
    <x v="7"/>
    <x v="1"/>
    <x v="7"/>
    <x v="5"/>
    <x v="2"/>
    <s v="Corporate"/>
    <x v="2"/>
    <s v="Paper"/>
    <x v="3"/>
    <n v="6200"/>
    <x v="2"/>
    <n v="0.02"/>
    <n v="1530"/>
    <x v="0"/>
    <s v="Standard"/>
    <s v="Delivered"/>
    <n v="5"/>
    <s v="September"/>
    <x v="407"/>
    <n v="793"/>
    <n v="28365.397225725093"/>
    <n v="55"/>
  </r>
  <r>
    <s v="ORD0409"/>
    <x v="408"/>
    <x v="8"/>
    <x v="1"/>
    <x v="8"/>
    <x v="0"/>
    <x v="8"/>
    <x v="6"/>
    <x v="3"/>
    <s v="Corporate"/>
    <x v="1"/>
    <s v="Storage"/>
    <x v="8"/>
    <n v="18200"/>
    <x v="0"/>
    <n v="0.1"/>
    <n v="3180"/>
    <x v="1"/>
    <s v="Express"/>
    <s v="Delivered"/>
    <n v="4"/>
    <s v="October"/>
    <x v="408"/>
    <n v="792"/>
    <n v="28393.383838383837"/>
    <n v="55"/>
  </r>
  <r>
    <s v="ORD0410"/>
    <x v="409"/>
    <x v="9"/>
    <x v="4"/>
    <x v="9"/>
    <x v="1"/>
    <x v="0"/>
    <x v="0"/>
    <x v="0"/>
    <s v="Consumer"/>
    <x v="0"/>
    <s v="Printers"/>
    <x v="9"/>
    <n v="20400"/>
    <x v="1"/>
    <n v="0.05"/>
    <n v="3940"/>
    <x v="0"/>
    <s v="Standard"/>
    <s v="Delivered"/>
    <n v="4"/>
    <s v="October"/>
    <x v="409"/>
    <n v="791"/>
    <n v="28406.270543615676"/>
    <n v="55"/>
  </r>
  <r>
    <s v="ORD0411"/>
    <x v="410"/>
    <x v="10"/>
    <x v="7"/>
    <x v="10"/>
    <x v="0"/>
    <x v="9"/>
    <x v="7"/>
    <x v="1"/>
    <s v="Consumer"/>
    <x v="2"/>
    <s v="Accessories"/>
    <x v="10"/>
    <n v="1110"/>
    <x v="11"/>
    <n v="0"/>
    <n v="340"/>
    <x v="2"/>
    <s v="Standard"/>
    <s v="Delivered"/>
    <n v="5"/>
    <s v="October"/>
    <x v="410"/>
    <n v="790"/>
    <n v="28416.405063291139"/>
    <n v="55"/>
  </r>
  <r>
    <s v="ORD0412"/>
    <x v="411"/>
    <x v="11"/>
    <x v="3"/>
    <x v="11"/>
    <x v="1"/>
    <x v="2"/>
    <x v="2"/>
    <x v="2"/>
    <s v="Corporate"/>
    <x v="1"/>
    <s v="Tables"/>
    <x v="11"/>
    <n v="30200"/>
    <x v="0"/>
    <n v="0.08"/>
    <n v="6050"/>
    <x v="1"/>
    <s v="Express"/>
    <s v="Delivered"/>
    <n v="4"/>
    <s v="October"/>
    <x v="411"/>
    <n v="789"/>
    <n v="28451.013941698351"/>
    <n v="55"/>
  </r>
  <r>
    <s v="ORD0413"/>
    <x v="412"/>
    <x v="12"/>
    <x v="0"/>
    <x v="12"/>
    <x v="0"/>
    <x v="3"/>
    <x v="0"/>
    <x v="0"/>
    <s v="Consumer"/>
    <x v="0"/>
    <s v="Computers"/>
    <x v="0"/>
    <n v="84500"/>
    <x v="0"/>
    <n v="0.1"/>
    <n v="9600"/>
    <x v="0"/>
    <s v="Express"/>
    <s v="Delivered"/>
    <n v="5"/>
    <s v="October"/>
    <x v="412"/>
    <n v="788"/>
    <n v="28448.794416243654"/>
    <n v="55"/>
  </r>
  <r>
    <s v="ORD0414"/>
    <x v="413"/>
    <x v="13"/>
    <x v="1"/>
    <x v="13"/>
    <x v="1"/>
    <x v="4"/>
    <x v="3"/>
    <x v="0"/>
    <s v="Consumer"/>
    <x v="2"/>
    <s v="Storage"/>
    <x v="12"/>
    <n v="1440"/>
    <x v="5"/>
    <n v="0.05"/>
    <n v="440"/>
    <x v="3"/>
    <s v="Standard"/>
    <s v="Delivered"/>
    <n v="4"/>
    <s v="November"/>
    <x v="413"/>
    <n v="787"/>
    <n v="28377.573062261752"/>
    <n v="55"/>
  </r>
  <r>
    <s v="ORD0415"/>
    <x v="414"/>
    <x v="14"/>
    <x v="8"/>
    <x v="14"/>
    <x v="0"/>
    <x v="5"/>
    <x v="4"/>
    <x v="1"/>
    <s v="Corporate"/>
    <x v="1"/>
    <s v="Chairs"/>
    <x v="1"/>
    <n v="13600"/>
    <x v="9"/>
    <n v="7.0000000000000007E-2"/>
    <n v="3000"/>
    <x v="1"/>
    <s v="Standard"/>
    <s v="Delivered"/>
    <n v="4"/>
    <s v="November"/>
    <x v="414"/>
    <n v="786"/>
    <n v="28411.844783715012"/>
    <n v="55"/>
  </r>
  <r>
    <s v="ORD0416"/>
    <x v="415"/>
    <x v="15"/>
    <x v="6"/>
    <x v="15"/>
    <x v="1"/>
    <x v="1"/>
    <x v="1"/>
    <x v="1"/>
    <s v="Consumer"/>
    <x v="0"/>
    <s v="Accessories"/>
    <x v="2"/>
    <n v="29200"/>
    <x v="1"/>
    <n v="0.05"/>
    <n v="5450"/>
    <x v="0"/>
    <s v="Express"/>
    <s v="Delivered"/>
    <n v="5"/>
    <s v="November"/>
    <x v="415"/>
    <n v="785"/>
    <n v="28430.713375796178"/>
    <n v="55"/>
  </r>
  <r>
    <s v="ORD0417"/>
    <x v="416"/>
    <x v="16"/>
    <x v="5"/>
    <x v="16"/>
    <x v="0"/>
    <x v="7"/>
    <x v="5"/>
    <x v="2"/>
    <s v="Corporate"/>
    <x v="2"/>
    <s v="Paper"/>
    <x v="3"/>
    <n v="6300"/>
    <x v="2"/>
    <n v="0.03"/>
    <n v="1560"/>
    <x v="2"/>
    <s v="Standard"/>
    <s v="Delivered"/>
    <n v="4"/>
    <s v="November"/>
    <x v="416"/>
    <n v="784"/>
    <n v="28429.732142857141"/>
    <n v="55"/>
  </r>
  <r>
    <s v="ORD0418"/>
    <x v="417"/>
    <x v="17"/>
    <x v="0"/>
    <x v="17"/>
    <x v="1"/>
    <x v="0"/>
    <x v="0"/>
    <x v="0"/>
    <s v="Consumer"/>
    <x v="1"/>
    <s v="Tables"/>
    <x v="4"/>
    <n v="26500"/>
    <x v="1"/>
    <n v="0.1"/>
    <n v="4200"/>
    <x v="0"/>
    <s v="Express"/>
    <s v="Delivered"/>
    <n v="5"/>
    <s v="December"/>
    <x v="417"/>
    <n v="783"/>
    <n v="28457.994891443166"/>
    <n v="55"/>
  </r>
  <r>
    <s v="ORD0419"/>
    <x v="418"/>
    <x v="18"/>
    <x v="2"/>
    <x v="18"/>
    <x v="0"/>
    <x v="9"/>
    <x v="7"/>
    <x v="1"/>
    <s v="Corporate"/>
    <x v="0"/>
    <s v="Accessories"/>
    <x v="5"/>
    <n v="4450"/>
    <x v="9"/>
    <n v="0.05"/>
    <n v="1110"/>
    <x v="1"/>
    <s v="Standard"/>
    <s v="Delivered"/>
    <n v="3"/>
    <s v="December"/>
    <x v="418"/>
    <n v="782"/>
    <n v="28460.498721227621"/>
    <n v="55"/>
  </r>
  <r>
    <s v="ORD0420"/>
    <x v="419"/>
    <x v="19"/>
    <x v="7"/>
    <x v="19"/>
    <x v="1"/>
    <x v="6"/>
    <x v="0"/>
    <x v="0"/>
    <s v="Consumer"/>
    <x v="0"/>
    <s v="Accessories"/>
    <x v="6"/>
    <n v="3050"/>
    <x v="12"/>
    <n v="0"/>
    <n v="910"/>
    <x v="0"/>
    <s v="Standard"/>
    <s v="Delivered"/>
    <n v="4"/>
    <s v="December"/>
    <x v="419"/>
    <n v="781"/>
    <n v="28491.241997439181"/>
    <n v="55"/>
  </r>
  <r>
    <s v="ORD0421"/>
    <x v="420"/>
    <x v="0"/>
    <x v="0"/>
    <x v="0"/>
    <x v="0"/>
    <x v="0"/>
    <x v="0"/>
    <x v="0"/>
    <s v="Consumer"/>
    <x v="0"/>
    <s v="Computers"/>
    <x v="0"/>
    <n v="80500"/>
    <x v="0"/>
    <n v="0.05"/>
    <n v="10700"/>
    <x v="0"/>
    <s v="Express"/>
    <s v="Delivered"/>
    <n v="5"/>
    <s v="December"/>
    <x v="420"/>
    <n v="780"/>
    <n v="28523.858974358973"/>
    <n v="55"/>
  </r>
  <r>
    <s v="ORD0422"/>
    <x v="421"/>
    <x v="1"/>
    <x v="1"/>
    <x v="1"/>
    <x v="1"/>
    <x v="1"/>
    <x v="1"/>
    <x v="1"/>
    <s v="Corporate"/>
    <x v="1"/>
    <s v="Chairs"/>
    <x v="1"/>
    <n v="11600"/>
    <x v="3"/>
    <n v="0.1"/>
    <n v="2650"/>
    <x v="1"/>
    <s v="Standard"/>
    <s v="Delivered"/>
    <n v="4"/>
    <s v="December"/>
    <x v="421"/>
    <n v="779"/>
    <n v="28457.137355584084"/>
    <n v="55"/>
  </r>
  <r>
    <s v="ORD0423"/>
    <x v="422"/>
    <x v="2"/>
    <x v="2"/>
    <x v="2"/>
    <x v="0"/>
    <x v="2"/>
    <x v="2"/>
    <x v="2"/>
    <s v="Consumer"/>
    <x v="0"/>
    <s v="Accessories"/>
    <x v="2"/>
    <n v="27100"/>
    <x v="1"/>
    <n v="0.05"/>
    <n v="5000"/>
    <x v="2"/>
    <s v="Standard"/>
    <s v="Delivered"/>
    <n v="4"/>
    <s v="January"/>
    <x v="422"/>
    <n v="778"/>
    <n v="28478.804627249356"/>
    <n v="55"/>
  </r>
  <r>
    <s v="ORD0424"/>
    <x v="423"/>
    <x v="3"/>
    <x v="3"/>
    <x v="3"/>
    <x v="1"/>
    <x v="3"/>
    <x v="0"/>
    <x v="0"/>
    <s v="Consumer"/>
    <x v="2"/>
    <s v="Paper"/>
    <x v="7"/>
    <n v="790"/>
    <x v="6"/>
    <n v="0.02"/>
    <n v="230"/>
    <x v="0"/>
    <s v="Standard"/>
    <s v="Delivered"/>
    <n v="5"/>
    <s v="January"/>
    <x v="423"/>
    <n v="777"/>
    <n v="28480.579150579149"/>
    <n v="55"/>
  </r>
  <r>
    <s v="ORD0425"/>
    <x v="424"/>
    <x v="4"/>
    <x v="4"/>
    <x v="4"/>
    <x v="0"/>
    <x v="4"/>
    <x v="3"/>
    <x v="0"/>
    <s v="Corporate"/>
    <x v="1"/>
    <s v="Tables"/>
    <x v="4"/>
    <n v="27000"/>
    <x v="1"/>
    <n v="0.08"/>
    <n v="4620"/>
    <x v="1"/>
    <s v="Express"/>
    <s v="Delivered"/>
    <n v="4"/>
    <s v="January"/>
    <x v="424"/>
    <n v="776"/>
    <n v="28516.262886597939"/>
    <n v="55"/>
  </r>
  <r>
    <s v="ORD0426"/>
    <x v="425"/>
    <x v="5"/>
    <x v="5"/>
    <x v="5"/>
    <x v="1"/>
    <x v="5"/>
    <x v="4"/>
    <x v="1"/>
    <s v="Consumer"/>
    <x v="0"/>
    <s v="Accessories"/>
    <x v="5"/>
    <n v="4150"/>
    <x v="3"/>
    <n v="0.05"/>
    <n v="1050"/>
    <x v="0"/>
    <s v="Standard"/>
    <s v="Delivered"/>
    <n v="4"/>
    <s v="January"/>
    <x v="425"/>
    <n v="775"/>
    <n v="28518.219354838711"/>
    <n v="55"/>
  </r>
  <r>
    <s v="ORD0427"/>
    <x v="426"/>
    <x v="6"/>
    <x v="0"/>
    <x v="6"/>
    <x v="0"/>
    <x v="6"/>
    <x v="0"/>
    <x v="0"/>
    <s v="Consumer"/>
    <x v="0"/>
    <s v="Accessories"/>
    <x v="6"/>
    <n v="3150"/>
    <x v="10"/>
    <n v="0"/>
    <n v="940"/>
    <x v="3"/>
    <s v="Standard"/>
    <s v="Delivered"/>
    <n v="3"/>
    <s v="February"/>
    <x v="426"/>
    <n v="774"/>
    <n v="28549.702842377261"/>
    <n v="55"/>
  </r>
  <r>
    <s v="ORD0428"/>
    <x v="427"/>
    <x v="7"/>
    <x v="6"/>
    <x v="7"/>
    <x v="1"/>
    <x v="7"/>
    <x v="5"/>
    <x v="2"/>
    <s v="Corporate"/>
    <x v="2"/>
    <s v="Paper"/>
    <x v="3"/>
    <n v="6400"/>
    <x v="2"/>
    <n v="0.02"/>
    <n v="1580"/>
    <x v="0"/>
    <s v="Standard"/>
    <s v="Delivered"/>
    <n v="5"/>
    <s v="February"/>
    <x v="427"/>
    <n v="773"/>
    <n v="28582.561448900389"/>
    <n v="55"/>
  </r>
  <r>
    <s v="ORD0429"/>
    <x v="428"/>
    <x v="8"/>
    <x v="1"/>
    <x v="8"/>
    <x v="0"/>
    <x v="8"/>
    <x v="6"/>
    <x v="3"/>
    <s v="Corporate"/>
    <x v="1"/>
    <s v="Storage"/>
    <x v="8"/>
    <n v="18600"/>
    <x v="0"/>
    <n v="0.1"/>
    <n v="3260"/>
    <x v="1"/>
    <s v="Express"/>
    <s v="Delivered"/>
    <n v="4"/>
    <s v="February"/>
    <x v="428"/>
    <n v="772"/>
    <n v="28611.295336787563"/>
    <n v="55"/>
  </r>
  <r>
    <s v="ORD0430"/>
    <x v="429"/>
    <x v="9"/>
    <x v="4"/>
    <x v="9"/>
    <x v="1"/>
    <x v="0"/>
    <x v="0"/>
    <x v="0"/>
    <s v="Consumer"/>
    <x v="0"/>
    <s v="Printers"/>
    <x v="9"/>
    <n v="20800"/>
    <x v="1"/>
    <n v="0.05"/>
    <n v="4020"/>
    <x v="0"/>
    <s v="Standard"/>
    <s v="Delivered"/>
    <n v="4"/>
    <s v="February"/>
    <x v="429"/>
    <n v="771"/>
    <n v="28624.280155642024"/>
    <n v="55"/>
  </r>
  <r>
    <s v="ORD0431"/>
    <x v="430"/>
    <x v="10"/>
    <x v="7"/>
    <x v="10"/>
    <x v="0"/>
    <x v="9"/>
    <x v="7"/>
    <x v="1"/>
    <s v="Consumer"/>
    <x v="2"/>
    <s v="Accessories"/>
    <x v="10"/>
    <n v="1140"/>
    <x v="11"/>
    <n v="0"/>
    <n v="350"/>
    <x v="2"/>
    <s v="Standard"/>
    <s v="Delivered"/>
    <n v="5"/>
    <s v="March"/>
    <x v="430"/>
    <n v="770"/>
    <n v="28634.441558441558"/>
    <n v="55"/>
  </r>
  <r>
    <s v="ORD0432"/>
    <x v="431"/>
    <x v="11"/>
    <x v="3"/>
    <x v="11"/>
    <x v="1"/>
    <x v="2"/>
    <x v="2"/>
    <x v="2"/>
    <s v="Corporate"/>
    <x v="1"/>
    <s v="Tables"/>
    <x v="11"/>
    <n v="30800"/>
    <x v="0"/>
    <n v="0.08"/>
    <n v="6200"/>
    <x v="1"/>
    <s v="Express"/>
    <s v="Delivered"/>
    <n v="4"/>
    <s v="March"/>
    <x v="431"/>
    <n v="769"/>
    <n v="28670.195058517555"/>
    <n v="55"/>
  </r>
  <r>
    <s v="ORD0433"/>
    <x v="432"/>
    <x v="12"/>
    <x v="0"/>
    <x v="12"/>
    <x v="0"/>
    <x v="3"/>
    <x v="0"/>
    <x v="0"/>
    <s v="Consumer"/>
    <x v="0"/>
    <s v="Computers"/>
    <x v="0"/>
    <n v="86000"/>
    <x v="0"/>
    <n v="0.1"/>
    <n v="9800"/>
    <x v="0"/>
    <s v="Express"/>
    <s v="Delivered"/>
    <n v="5"/>
    <s v="March"/>
    <x v="432"/>
    <n v="768"/>
    <n v="28667.421875"/>
    <n v="55"/>
  </r>
  <r>
    <s v="ORD0434"/>
    <x v="433"/>
    <x v="13"/>
    <x v="1"/>
    <x v="13"/>
    <x v="1"/>
    <x v="4"/>
    <x v="3"/>
    <x v="0"/>
    <s v="Consumer"/>
    <x v="2"/>
    <s v="Storage"/>
    <x v="12"/>
    <n v="1480"/>
    <x v="5"/>
    <n v="0.05"/>
    <n v="450"/>
    <x v="3"/>
    <s v="Standard"/>
    <s v="Delivered"/>
    <n v="4"/>
    <s v="March"/>
    <x v="433"/>
    <n v="767"/>
    <n v="28592.672750977836"/>
    <n v="55"/>
  </r>
  <r>
    <s v="ORD0435"/>
    <x v="434"/>
    <x v="14"/>
    <x v="8"/>
    <x v="14"/>
    <x v="0"/>
    <x v="5"/>
    <x v="4"/>
    <x v="1"/>
    <s v="Corporate"/>
    <x v="1"/>
    <s v="Chairs"/>
    <x v="1"/>
    <n v="14000"/>
    <x v="9"/>
    <n v="7.0000000000000007E-2"/>
    <n v="3100"/>
    <x v="1"/>
    <s v="Standard"/>
    <s v="Delivered"/>
    <n v="4"/>
    <s v="April"/>
    <x v="434"/>
    <n v="766"/>
    <n v="28628.067885117493"/>
    <n v="55"/>
  </r>
  <r>
    <s v="ORD0436"/>
    <x v="435"/>
    <x v="15"/>
    <x v="6"/>
    <x v="15"/>
    <x v="1"/>
    <x v="1"/>
    <x v="1"/>
    <x v="1"/>
    <s v="Consumer"/>
    <x v="0"/>
    <s v="Accessories"/>
    <x v="2"/>
    <n v="29900"/>
    <x v="1"/>
    <n v="0.05"/>
    <n v="5600"/>
    <x v="0"/>
    <s v="Express"/>
    <s v="Delivered"/>
    <n v="5"/>
    <s v="April"/>
    <x v="435"/>
    <n v="765"/>
    <n v="28647.189542483658"/>
    <n v="55"/>
  </r>
  <r>
    <s v="ORD0437"/>
    <x v="436"/>
    <x v="16"/>
    <x v="5"/>
    <x v="16"/>
    <x v="0"/>
    <x v="7"/>
    <x v="5"/>
    <x v="2"/>
    <s v="Corporate"/>
    <x v="2"/>
    <s v="Paper"/>
    <x v="3"/>
    <n v="6500"/>
    <x v="2"/>
    <n v="0.03"/>
    <n v="1610"/>
    <x v="2"/>
    <s v="Standard"/>
    <s v="Delivered"/>
    <n v="4"/>
    <s v="April"/>
    <x v="436"/>
    <n v="764"/>
    <n v="28645.549738219896"/>
    <n v="55"/>
  </r>
  <r>
    <s v="ORD0438"/>
    <x v="437"/>
    <x v="17"/>
    <x v="0"/>
    <x v="17"/>
    <x v="1"/>
    <x v="0"/>
    <x v="0"/>
    <x v="0"/>
    <s v="Consumer"/>
    <x v="1"/>
    <s v="Tables"/>
    <x v="4"/>
    <n v="27200"/>
    <x v="1"/>
    <n v="0.1"/>
    <n v="4320"/>
    <x v="0"/>
    <s v="Express"/>
    <s v="Delivered"/>
    <n v="5"/>
    <s v="April"/>
    <x v="437"/>
    <n v="763"/>
    <n v="28674.574049803407"/>
    <n v="55"/>
  </r>
  <r>
    <s v="ORD0439"/>
    <x v="438"/>
    <x v="18"/>
    <x v="2"/>
    <x v="18"/>
    <x v="0"/>
    <x v="9"/>
    <x v="7"/>
    <x v="1"/>
    <s v="Corporate"/>
    <x v="0"/>
    <s v="Accessories"/>
    <x v="5"/>
    <n v="4550"/>
    <x v="9"/>
    <n v="0.05"/>
    <n v="1140"/>
    <x v="1"/>
    <s v="Standard"/>
    <s v="Delivered"/>
    <n v="3"/>
    <s v="April"/>
    <x v="438"/>
    <n v="762"/>
    <n v="28676.509186351705"/>
    <n v="55"/>
  </r>
  <r>
    <s v="ORD0440"/>
    <x v="439"/>
    <x v="19"/>
    <x v="7"/>
    <x v="19"/>
    <x v="1"/>
    <x v="6"/>
    <x v="0"/>
    <x v="0"/>
    <s v="Consumer"/>
    <x v="0"/>
    <s v="Accessories"/>
    <x v="6"/>
    <n v="3200"/>
    <x v="12"/>
    <n v="0"/>
    <n v="960"/>
    <x v="0"/>
    <s v="Standard"/>
    <s v="Delivered"/>
    <n v="4"/>
    <s v="May"/>
    <x v="439"/>
    <n v="761"/>
    <n v="28708.212877792379"/>
    <n v="55"/>
  </r>
  <r>
    <s v="ORD0441"/>
    <x v="440"/>
    <x v="0"/>
    <x v="0"/>
    <x v="0"/>
    <x v="0"/>
    <x v="0"/>
    <x v="0"/>
    <x v="0"/>
    <s v="Consumer"/>
    <x v="0"/>
    <s v="Computers"/>
    <x v="0"/>
    <n v="82000"/>
    <x v="0"/>
    <n v="0.05"/>
    <n v="10900"/>
    <x v="0"/>
    <s v="Express"/>
    <s v="Delivered"/>
    <n v="5"/>
    <s v="May"/>
    <x v="440"/>
    <n v="760"/>
    <n v="28741.776315789473"/>
    <n v="55"/>
  </r>
  <r>
    <s v="ORD0442"/>
    <x v="441"/>
    <x v="1"/>
    <x v="1"/>
    <x v="1"/>
    <x v="1"/>
    <x v="1"/>
    <x v="1"/>
    <x v="1"/>
    <s v="Corporate"/>
    <x v="1"/>
    <s v="Chairs"/>
    <x v="1"/>
    <n v="11900"/>
    <x v="3"/>
    <n v="0.1"/>
    <n v="2720"/>
    <x v="1"/>
    <s v="Standard"/>
    <s v="Delivered"/>
    <n v="4"/>
    <s v="May"/>
    <x v="441"/>
    <n v="759"/>
    <n v="28671.607378129116"/>
    <n v="55"/>
  </r>
  <r>
    <s v="ORD0443"/>
    <x v="442"/>
    <x v="2"/>
    <x v="2"/>
    <x v="2"/>
    <x v="0"/>
    <x v="2"/>
    <x v="2"/>
    <x v="2"/>
    <s v="Consumer"/>
    <x v="0"/>
    <s v="Accessories"/>
    <x v="2"/>
    <n v="27800"/>
    <x v="1"/>
    <n v="0.05"/>
    <n v="5150"/>
    <x v="2"/>
    <s v="Standard"/>
    <s v="Delivered"/>
    <n v="4"/>
    <s v="May"/>
    <x v="442"/>
    <n v="758"/>
    <n v="28693.733509234829"/>
    <n v="55"/>
  </r>
  <r>
    <s v="ORD0444"/>
    <x v="443"/>
    <x v="3"/>
    <x v="3"/>
    <x v="3"/>
    <x v="1"/>
    <x v="3"/>
    <x v="0"/>
    <x v="0"/>
    <s v="Consumer"/>
    <x v="2"/>
    <s v="Paper"/>
    <x v="7"/>
    <n v="810"/>
    <x v="6"/>
    <n v="0.02"/>
    <n v="235"/>
    <x v="0"/>
    <s v="Standard"/>
    <s v="Delivered"/>
    <n v="5"/>
    <s v="June"/>
    <x v="443"/>
    <n v="757"/>
    <n v="28694.914134742405"/>
    <n v="55"/>
  </r>
  <r>
    <s v="ORD0445"/>
    <x v="444"/>
    <x v="4"/>
    <x v="4"/>
    <x v="4"/>
    <x v="0"/>
    <x v="4"/>
    <x v="3"/>
    <x v="0"/>
    <s v="Corporate"/>
    <x v="1"/>
    <s v="Tables"/>
    <x v="4"/>
    <n v="27800"/>
    <x v="1"/>
    <n v="0.08"/>
    <n v="4760"/>
    <x v="1"/>
    <s v="Express"/>
    <s v="Delivered"/>
    <n v="4"/>
    <s v="June"/>
    <x v="444"/>
    <n v="756"/>
    <n v="28731.798941798941"/>
    <n v="55"/>
  </r>
  <r>
    <s v="ORD0446"/>
    <x v="445"/>
    <x v="5"/>
    <x v="5"/>
    <x v="5"/>
    <x v="1"/>
    <x v="5"/>
    <x v="4"/>
    <x v="1"/>
    <s v="Consumer"/>
    <x v="0"/>
    <s v="Accessories"/>
    <x v="5"/>
    <n v="4250"/>
    <x v="3"/>
    <n v="0.05"/>
    <n v="1080"/>
    <x v="0"/>
    <s v="Standard"/>
    <s v="Delivered"/>
    <n v="4"/>
    <s v="June"/>
    <x v="445"/>
    <n v="755"/>
    <n v="28733.03311258278"/>
    <n v="55"/>
  </r>
  <r>
    <s v="ORD0447"/>
    <x v="446"/>
    <x v="6"/>
    <x v="0"/>
    <x v="6"/>
    <x v="0"/>
    <x v="6"/>
    <x v="0"/>
    <x v="0"/>
    <s v="Consumer"/>
    <x v="0"/>
    <s v="Accessories"/>
    <x v="6"/>
    <n v="3250"/>
    <x v="10"/>
    <n v="0"/>
    <n v="970"/>
    <x v="3"/>
    <s v="Standard"/>
    <s v="Delivered"/>
    <n v="3"/>
    <s v="June"/>
    <x v="446"/>
    <n v="754"/>
    <n v="28765.503978779841"/>
    <n v="55"/>
  </r>
  <r>
    <s v="ORD0448"/>
    <x v="447"/>
    <x v="7"/>
    <x v="6"/>
    <x v="7"/>
    <x v="1"/>
    <x v="7"/>
    <x v="5"/>
    <x v="2"/>
    <s v="Corporate"/>
    <x v="2"/>
    <s v="Paper"/>
    <x v="3"/>
    <n v="6600"/>
    <x v="2"/>
    <n v="0.02"/>
    <n v="1630"/>
    <x v="0"/>
    <s v="Standard"/>
    <s v="Delivered"/>
    <n v="5"/>
    <s v="July"/>
    <x v="447"/>
    <n v="753"/>
    <n v="28799.389110225762"/>
    <n v="55"/>
  </r>
  <r>
    <s v="ORD0449"/>
    <x v="448"/>
    <x v="8"/>
    <x v="1"/>
    <x v="8"/>
    <x v="0"/>
    <x v="8"/>
    <x v="6"/>
    <x v="3"/>
    <s v="Corporate"/>
    <x v="1"/>
    <s v="Storage"/>
    <x v="8"/>
    <n v="19000"/>
    <x v="0"/>
    <n v="0.1"/>
    <n v="3340"/>
    <x v="1"/>
    <s v="Express"/>
    <s v="Delivered"/>
    <n v="4"/>
    <s v="July"/>
    <x v="448"/>
    <n v="752"/>
    <n v="28828.909574468085"/>
    <n v="55"/>
  </r>
  <r>
    <s v="ORD0450"/>
    <x v="449"/>
    <x v="9"/>
    <x v="4"/>
    <x v="9"/>
    <x v="1"/>
    <x v="0"/>
    <x v="0"/>
    <x v="0"/>
    <s v="Consumer"/>
    <x v="0"/>
    <s v="Printers"/>
    <x v="9"/>
    <n v="21200"/>
    <x v="1"/>
    <n v="0.05"/>
    <n v="4100"/>
    <x v="0"/>
    <s v="Standard"/>
    <s v="Delivered"/>
    <n v="4"/>
    <s v="July"/>
    <x v="449"/>
    <n v="751"/>
    <n v="28841.997336884153"/>
    <n v="55"/>
  </r>
  <r>
    <s v="ORD0451"/>
    <x v="450"/>
    <x v="10"/>
    <x v="7"/>
    <x v="10"/>
    <x v="0"/>
    <x v="9"/>
    <x v="7"/>
    <x v="1"/>
    <s v="Consumer"/>
    <x v="2"/>
    <s v="Accessories"/>
    <x v="10"/>
    <n v="1170"/>
    <x v="11"/>
    <n v="0"/>
    <n v="360"/>
    <x v="2"/>
    <s v="Standard"/>
    <s v="Delivered"/>
    <n v="5"/>
    <s v="July"/>
    <x v="450"/>
    <n v="750"/>
    <n v="28852.186666666668"/>
    <n v="55"/>
  </r>
  <r>
    <s v="ORD0452"/>
    <x v="451"/>
    <x v="11"/>
    <x v="3"/>
    <x v="11"/>
    <x v="1"/>
    <x v="2"/>
    <x v="2"/>
    <x v="2"/>
    <s v="Corporate"/>
    <x v="1"/>
    <s v="Tables"/>
    <x v="11"/>
    <n v="31400"/>
    <x v="0"/>
    <n v="0.08"/>
    <n v="6350"/>
    <x v="1"/>
    <s v="Express"/>
    <s v="Delivered"/>
    <n v="4"/>
    <s v="July"/>
    <x v="451"/>
    <n v="749"/>
    <n v="28889.145527369827"/>
    <n v="55"/>
  </r>
  <r>
    <s v="ORD0453"/>
    <x v="452"/>
    <x v="12"/>
    <x v="0"/>
    <x v="12"/>
    <x v="0"/>
    <x v="3"/>
    <x v="0"/>
    <x v="0"/>
    <s v="Consumer"/>
    <x v="0"/>
    <s v="Computers"/>
    <x v="0"/>
    <n v="87500"/>
    <x v="0"/>
    <n v="0.1"/>
    <n v="10000"/>
    <x v="0"/>
    <s v="Express"/>
    <s v="Delivered"/>
    <n v="5"/>
    <s v="August"/>
    <x v="452"/>
    <n v="748"/>
    <n v="28885.788770053477"/>
    <n v="55"/>
  </r>
  <r>
    <s v="ORD0454"/>
    <x v="453"/>
    <x v="13"/>
    <x v="1"/>
    <x v="13"/>
    <x v="1"/>
    <x v="4"/>
    <x v="3"/>
    <x v="0"/>
    <s v="Consumer"/>
    <x v="2"/>
    <s v="Storage"/>
    <x v="12"/>
    <n v="1520"/>
    <x v="5"/>
    <n v="0.05"/>
    <n v="465"/>
    <x v="3"/>
    <s v="Standard"/>
    <s v="Delivered"/>
    <n v="4"/>
    <s v="August"/>
    <x v="453"/>
    <n v="747"/>
    <n v="28807.322623828648"/>
    <n v="55"/>
  </r>
  <r>
    <s v="ORD0455"/>
    <x v="454"/>
    <x v="14"/>
    <x v="8"/>
    <x v="14"/>
    <x v="0"/>
    <x v="5"/>
    <x v="4"/>
    <x v="1"/>
    <s v="Corporate"/>
    <x v="1"/>
    <s v="Chairs"/>
    <x v="1"/>
    <n v="14400"/>
    <x v="9"/>
    <n v="7.0000000000000007E-2"/>
    <n v="3200"/>
    <x v="1"/>
    <s v="Standard"/>
    <s v="Delivered"/>
    <n v="4"/>
    <s v="August"/>
    <x v="454"/>
    <n v="746"/>
    <n v="28843.900804289544"/>
    <n v="55"/>
  </r>
  <r>
    <s v="ORD0456"/>
    <x v="455"/>
    <x v="15"/>
    <x v="6"/>
    <x v="15"/>
    <x v="1"/>
    <x v="1"/>
    <x v="1"/>
    <x v="1"/>
    <s v="Consumer"/>
    <x v="0"/>
    <s v="Accessories"/>
    <x v="2"/>
    <n v="30600"/>
    <x v="1"/>
    <n v="0.05"/>
    <n v="5750"/>
    <x v="0"/>
    <s v="Express"/>
    <s v="Delivered"/>
    <n v="5"/>
    <s v="August"/>
    <x v="455"/>
    <n v="745"/>
    <n v="28863.288590604028"/>
    <n v="55"/>
  </r>
  <r>
    <s v="ORD0457"/>
    <x v="456"/>
    <x v="16"/>
    <x v="5"/>
    <x v="16"/>
    <x v="0"/>
    <x v="7"/>
    <x v="5"/>
    <x v="2"/>
    <s v="Corporate"/>
    <x v="2"/>
    <s v="Paper"/>
    <x v="3"/>
    <n v="6700"/>
    <x v="2"/>
    <n v="0.03"/>
    <n v="1660"/>
    <x v="2"/>
    <s v="Standard"/>
    <s v="Delivered"/>
    <n v="4"/>
    <s v="September"/>
    <x v="456"/>
    <n v="744"/>
    <n v="28860.954301075268"/>
    <n v="55"/>
  </r>
  <r>
    <s v="ORD0458"/>
    <x v="457"/>
    <x v="17"/>
    <x v="0"/>
    <x v="17"/>
    <x v="1"/>
    <x v="0"/>
    <x v="0"/>
    <x v="0"/>
    <s v="Consumer"/>
    <x v="1"/>
    <s v="Tables"/>
    <x v="4"/>
    <n v="27900"/>
    <x v="1"/>
    <n v="0.1"/>
    <n v="4440"/>
    <x v="0"/>
    <s v="Express"/>
    <s v="Delivered"/>
    <n v="5"/>
    <s v="September"/>
    <x v="457"/>
    <n v="743"/>
    <n v="28890.780619111709"/>
    <n v="55"/>
  </r>
  <r>
    <s v="ORD0459"/>
    <x v="458"/>
    <x v="18"/>
    <x v="2"/>
    <x v="18"/>
    <x v="0"/>
    <x v="9"/>
    <x v="7"/>
    <x v="1"/>
    <s v="Corporate"/>
    <x v="0"/>
    <s v="Accessories"/>
    <x v="5"/>
    <n v="4650"/>
    <x v="9"/>
    <n v="0.05"/>
    <n v="1170"/>
    <x v="1"/>
    <s v="Standard"/>
    <s v="Delivered"/>
    <n v="3"/>
    <s v="September"/>
    <x v="458"/>
    <n v="742"/>
    <n v="28892.115902964961"/>
    <n v="55"/>
  </r>
  <r>
    <s v="ORD0460"/>
    <x v="459"/>
    <x v="19"/>
    <x v="7"/>
    <x v="19"/>
    <x v="1"/>
    <x v="6"/>
    <x v="0"/>
    <x v="0"/>
    <s v="Consumer"/>
    <x v="0"/>
    <s v="Accessories"/>
    <x v="6"/>
    <n v="3350"/>
    <x v="12"/>
    <n v="0"/>
    <n v="1000"/>
    <x v="0"/>
    <s v="Standard"/>
    <s v="Delivered"/>
    <n v="4"/>
    <s v="September"/>
    <x v="459"/>
    <n v="741"/>
    <n v="28924.831309041834"/>
    <n v="55"/>
  </r>
  <r>
    <s v="ORD0461"/>
    <x v="460"/>
    <x v="0"/>
    <x v="0"/>
    <x v="0"/>
    <x v="0"/>
    <x v="0"/>
    <x v="0"/>
    <x v="0"/>
    <s v="Consumer"/>
    <x v="0"/>
    <s v="Computers"/>
    <x v="0"/>
    <n v="83500"/>
    <x v="0"/>
    <n v="0.05"/>
    <n v="11100"/>
    <x v="0"/>
    <s v="Express"/>
    <s v="Delivered"/>
    <n v="5"/>
    <s v="September"/>
    <x v="460"/>
    <n v="740"/>
    <n v="28959.391891891893"/>
    <n v="55"/>
  </r>
  <r>
    <s v="ORD0462"/>
    <x v="461"/>
    <x v="1"/>
    <x v="1"/>
    <x v="1"/>
    <x v="1"/>
    <x v="1"/>
    <x v="1"/>
    <x v="1"/>
    <s v="Corporate"/>
    <x v="1"/>
    <s v="Chairs"/>
    <x v="1"/>
    <n v="12200"/>
    <x v="3"/>
    <n v="0.1"/>
    <n v="2800"/>
    <x v="1"/>
    <s v="Standard"/>
    <s v="Delivered"/>
    <n v="4"/>
    <s v="October"/>
    <x v="461"/>
    <n v="739"/>
    <n v="28885.588633288226"/>
    <n v="55"/>
  </r>
  <r>
    <s v="ORD0463"/>
    <x v="462"/>
    <x v="2"/>
    <x v="2"/>
    <x v="2"/>
    <x v="0"/>
    <x v="2"/>
    <x v="2"/>
    <x v="2"/>
    <s v="Consumer"/>
    <x v="0"/>
    <s v="Accessories"/>
    <x v="2"/>
    <n v="28500"/>
    <x v="1"/>
    <n v="0.05"/>
    <n v="5300"/>
    <x v="2"/>
    <s v="Standard"/>
    <s v="Delivered"/>
    <n v="4"/>
    <s v="October"/>
    <x v="462"/>
    <n v="738"/>
    <n v="28908.197831978319"/>
    <n v="55"/>
  </r>
  <r>
    <s v="ORD0464"/>
    <x v="463"/>
    <x v="3"/>
    <x v="3"/>
    <x v="3"/>
    <x v="1"/>
    <x v="3"/>
    <x v="0"/>
    <x v="0"/>
    <s v="Consumer"/>
    <x v="2"/>
    <s v="Paper"/>
    <x v="7"/>
    <n v="830"/>
    <x v="6"/>
    <n v="0.02"/>
    <n v="240"/>
    <x v="0"/>
    <s v="Standard"/>
    <s v="Delivered"/>
    <n v="5"/>
    <s v="October"/>
    <x v="463"/>
    <n v="737"/>
    <n v="28908.75169606513"/>
    <n v="55"/>
  </r>
  <r>
    <s v="ORD0465"/>
    <x v="464"/>
    <x v="4"/>
    <x v="4"/>
    <x v="4"/>
    <x v="0"/>
    <x v="4"/>
    <x v="3"/>
    <x v="0"/>
    <s v="Corporate"/>
    <x v="1"/>
    <s v="Tables"/>
    <x v="4"/>
    <n v="28600"/>
    <x v="1"/>
    <n v="0.08"/>
    <n v="4900"/>
    <x v="1"/>
    <s v="Express"/>
    <s v="Delivered"/>
    <n v="4"/>
    <s v="October"/>
    <x v="464"/>
    <n v="736"/>
    <n v="28946.902173913044"/>
    <n v="55"/>
  </r>
  <r>
    <s v="ORD0466"/>
    <x v="465"/>
    <x v="5"/>
    <x v="5"/>
    <x v="5"/>
    <x v="1"/>
    <x v="5"/>
    <x v="4"/>
    <x v="1"/>
    <s v="Consumer"/>
    <x v="0"/>
    <s v="Accessories"/>
    <x v="5"/>
    <n v="4350"/>
    <x v="3"/>
    <n v="0.05"/>
    <n v="1110"/>
    <x v="0"/>
    <s v="Standard"/>
    <s v="Delivered"/>
    <n v="4"/>
    <s v="November"/>
    <x v="465"/>
    <n v="735"/>
    <n v="28947.374149659863"/>
    <n v="55"/>
  </r>
  <r>
    <s v="ORD0467"/>
    <x v="466"/>
    <x v="6"/>
    <x v="0"/>
    <x v="6"/>
    <x v="0"/>
    <x v="6"/>
    <x v="0"/>
    <x v="0"/>
    <s v="Consumer"/>
    <x v="0"/>
    <s v="Accessories"/>
    <x v="6"/>
    <n v="3450"/>
    <x v="10"/>
    <n v="0"/>
    <n v="1030"/>
    <x v="3"/>
    <s v="Standard"/>
    <s v="Delivered"/>
    <n v="3"/>
    <s v="November"/>
    <x v="466"/>
    <n v="734"/>
    <n v="28980.885558583108"/>
    <n v="55"/>
  </r>
  <r>
    <s v="ORD0468"/>
    <x v="467"/>
    <x v="7"/>
    <x v="6"/>
    <x v="7"/>
    <x v="1"/>
    <x v="7"/>
    <x v="5"/>
    <x v="2"/>
    <s v="Corporate"/>
    <x v="2"/>
    <s v="Paper"/>
    <x v="3"/>
    <n v="6800"/>
    <x v="2"/>
    <n v="0.02"/>
    <n v="1680"/>
    <x v="0"/>
    <s v="Standard"/>
    <s v="Delivered"/>
    <n v="5"/>
    <s v="November"/>
    <x v="467"/>
    <n v="733"/>
    <n v="29015.716234652115"/>
    <n v="55"/>
  </r>
  <r>
    <s v="ORD0469"/>
    <x v="468"/>
    <x v="8"/>
    <x v="1"/>
    <x v="8"/>
    <x v="0"/>
    <x v="8"/>
    <x v="6"/>
    <x v="3"/>
    <s v="Corporate"/>
    <x v="1"/>
    <s v="Storage"/>
    <x v="8"/>
    <n v="19400"/>
    <x v="0"/>
    <n v="0.1"/>
    <n v="3420"/>
    <x v="1"/>
    <s v="Express"/>
    <s v="Delivered"/>
    <n v="4"/>
    <s v="November"/>
    <x v="468"/>
    <n v="732"/>
    <n v="29046.065573770491"/>
    <n v="55"/>
  </r>
  <r>
    <s v="ORD0470"/>
    <x v="469"/>
    <x v="9"/>
    <x v="4"/>
    <x v="9"/>
    <x v="1"/>
    <x v="0"/>
    <x v="0"/>
    <x v="0"/>
    <s v="Consumer"/>
    <x v="0"/>
    <s v="Printers"/>
    <x v="9"/>
    <n v="21600"/>
    <x v="1"/>
    <n v="0.05"/>
    <n v="4180"/>
    <x v="0"/>
    <s v="Standard"/>
    <s v="Delivered"/>
    <n v="4"/>
    <s v="December"/>
    <x v="469"/>
    <n v="731"/>
    <n v="29059.261285909713"/>
    <n v="55"/>
  </r>
  <r>
    <s v="ORD0471"/>
    <x v="470"/>
    <x v="10"/>
    <x v="7"/>
    <x v="10"/>
    <x v="0"/>
    <x v="9"/>
    <x v="7"/>
    <x v="1"/>
    <s v="Consumer"/>
    <x v="2"/>
    <s v="Accessories"/>
    <x v="10"/>
    <n v="1200"/>
    <x v="11"/>
    <n v="0"/>
    <n v="370"/>
    <x v="2"/>
    <s v="Standard"/>
    <s v="Delivered"/>
    <n v="5"/>
    <s v="December"/>
    <x v="470"/>
    <n v="730"/>
    <n v="29069.479452054795"/>
    <n v="55"/>
  </r>
  <r>
    <s v="ORD0472"/>
    <x v="471"/>
    <x v="11"/>
    <x v="3"/>
    <x v="11"/>
    <x v="1"/>
    <x v="2"/>
    <x v="2"/>
    <x v="2"/>
    <s v="Corporate"/>
    <x v="1"/>
    <s v="Tables"/>
    <x v="11"/>
    <n v="32000"/>
    <x v="0"/>
    <n v="0.08"/>
    <n v="6500"/>
    <x v="1"/>
    <s v="Express"/>
    <s v="Delivered"/>
    <n v="4"/>
    <s v="December"/>
    <x v="471"/>
    <n v="729"/>
    <n v="29107.709190672154"/>
    <n v="55"/>
  </r>
  <r>
    <s v="ORD0473"/>
    <x v="472"/>
    <x v="12"/>
    <x v="0"/>
    <x v="12"/>
    <x v="0"/>
    <x v="3"/>
    <x v="0"/>
    <x v="0"/>
    <s v="Consumer"/>
    <x v="0"/>
    <s v="Computers"/>
    <x v="0"/>
    <n v="89000"/>
    <x v="0"/>
    <n v="0.1"/>
    <n v="10200"/>
    <x v="0"/>
    <s v="Express"/>
    <s v="Delivered"/>
    <n v="5"/>
    <s v="December"/>
    <x v="472"/>
    <n v="728"/>
    <n v="29103.736263736264"/>
    <n v="55"/>
  </r>
  <r>
    <s v="ORD0474"/>
    <x v="473"/>
    <x v="13"/>
    <x v="1"/>
    <x v="13"/>
    <x v="1"/>
    <x v="4"/>
    <x v="3"/>
    <x v="0"/>
    <s v="Consumer"/>
    <x v="2"/>
    <s v="Storage"/>
    <x v="12"/>
    <n v="1560"/>
    <x v="5"/>
    <n v="0.05"/>
    <n v="480"/>
    <x v="3"/>
    <s v="Standard"/>
    <s v="Delivered"/>
    <n v="4"/>
    <s v="December"/>
    <x v="473"/>
    <n v="727"/>
    <n v="29021.348005502063"/>
    <n v="55"/>
  </r>
  <r>
    <s v="ORD0475"/>
    <x v="474"/>
    <x v="14"/>
    <x v="8"/>
    <x v="14"/>
    <x v="0"/>
    <x v="5"/>
    <x v="4"/>
    <x v="1"/>
    <s v="Corporate"/>
    <x v="1"/>
    <s v="Chairs"/>
    <x v="1"/>
    <n v="14800"/>
    <x v="9"/>
    <n v="7.0000000000000007E-2"/>
    <n v="3300"/>
    <x v="1"/>
    <s v="Standard"/>
    <s v="Delivered"/>
    <n v="4"/>
    <s v="January"/>
    <x v="474"/>
    <n v="726"/>
    <n v="29059.173553719007"/>
    <n v="55"/>
  </r>
  <r>
    <s v="ORD0476"/>
    <x v="475"/>
    <x v="15"/>
    <x v="6"/>
    <x v="15"/>
    <x v="1"/>
    <x v="1"/>
    <x v="1"/>
    <x v="1"/>
    <s v="Consumer"/>
    <x v="0"/>
    <s v="Accessories"/>
    <x v="2"/>
    <n v="31300"/>
    <x v="1"/>
    <n v="0.05"/>
    <n v="5900"/>
    <x v="0"/>
    <s v="Express"/>
    <s v="Delivered"/>
    <n v="5"/>
    <s v="January"/>
    <x v="475"/>
    <n v="725"/>
    <n v="29078.841379310346"/>
    <n v="55"/>
  </r>
  <r>
    <s v="ORD0477"/>
    <x v="476"/>
    <x v="16"/>
    <x v="5"/>
    <x v="16"/>
    <x v="0"/>
    <x v="7"/>
    <x v="5"/>
    <x v="2"/>
    <s v="Corporate"/>
    <x v="2"/>
    <s v="Paper"/>
    <x v="3"/>
    <n v="6900"/>
    <x v="2"/>
    <n v="0.03"/>
    <n v="1710"/>
    <x v="2"/>
    <s v="Standard"/>
    <s v="Delivered"/>
    <n v="4"/>
    <s v="January"/>
    <x v="476"/>
    <n v="724"/>
    <n v="29075.773480662985"/>
    <n v="55"/>
  </r>
  <r>
    <s v="ORD0478"/>
    <x v="477"/>
    <x v="17"/>
    <x v="0"/>
    <x v="17"/>
    <x v="1"/>
    <x v="0"/>
    <x v="0"/>
    <x v="0"/>
    <s v="Consumer"/>
    <x v="1"/>
    <s v="Tables"/>
    <x v="4"/>
    <n v="28600"/>
    <x v="1"/>
    <n v="0.1"/>
    <n v="4560"/>
    <x v="0"/>
    <s v="Express"/>
    <s v="Delivered"/>
    <n v="5"/>
    <s v="January"/>
    <x v="477"/>
    <n v="723"/>
    <n v="29106.445366528354"/>
    <n v="55"/>
  </r>
  <r>
    <s v="ORD0479"/>
    <x v="478"/>
    <x v="18"/>
    <x v="2"/>
    <x v="18"/>
    <x v="0"/>
    <x v="9"/>
    <x v="7"/>
    <x v="1"/>
    <s v="Corporate"/>
    <x v="0"/>
    <s v="Accessories"/>
    <x v="5"/>
    <n v="4750"/>
    <x v="9"/>
    <n v="0.05"/>
    <n v="1200"/>
    <x v="1"/>
    <s v="Standard"/>
    <s v="Delivered"/>
    <n v="3"/>
    <s v="February"/>
    <x v="478"/>
    <n v="722"/>
    <n v="29107.146814404434"/>
    <n v="55"/>
  </r>
  <r>
    <s v="ORD0480"/>
    <x v="479"/>
    <x v="19"/>
    <x v="7"/>
    <x v="19"/>
    <x v="1"/>
    <x v="6"/>
    <x v="0"/>
    <x v="0"/>
    <s v="Consumer"/>
    <x v="0"/>
    <s v="Accessories"/>
    <x v="6"/>
    <n v="3500"/>
    <x v="12"/>
    <n v="0"/>
    <n v="1050"/>
    <x v="0"/>
    <s v="Standard"/>
    <s v="Delivered"/>
    <n v="4"/>
    <s v="February"/>
    <x v="479"/>
    <n v="721"/>
    <n v="29140.929264909846"/>
    <n v="55"/>
  </r>
  <r>
    <s v="ORD0481"/>
    <x v="480"/>
    <x v="0"/>
    <x v="0"/>
    <x v="0"/>
    <x v="0"/>
    <x v="0"/>
    <x v="0"/>
    <x v="0"/>
    <s v="Consumer"/>
    <x v="0"/>
    <s v="Computers"/>
    <x v="0"/>
    <n v="85000"/>
    <x v="0"/>
    <n v="0.05"/>
    <n v="11300"/>
    <x v="0"/>
    <s v="Express"/>
    <s v="Delivered"/>
    <n v="5"/>
    <s v="February"/>
    <x v="480"/>
    <n v="720"/>
    <n v="29176.541666666668"/>
    <n v="55"/>
  </r>
  <r>
    <s v="ORD0482"/>
    <x v="481"/>
    <x v="1"/>
    <x v="1"/>
    <x v="1"/>
    <x v="1"/>
    <x v="1"/>
    <x v="1"/>
    <x v="1"/>
    <s v="Corporate"/>
    <x v="1"/>
    <s v="Chairs"/>
    <x v="1"/>
    <n v="12500"/>
    <x v="3"/>
    <n v="0.1"/>
    <n v="2880"/>
    <x v="1"/>
    <s v="Standard"/>
    <s v="Delivered"/>
    <n v="4"/>
    <s v="February"/>
    <x v="481"/>
    <n v="719"/>
    <n v="29098.901251738527"/>
    <n v="55"/>
  </r>
  <r>
    <s v="ORD0483"/>
    <x v="482"/>
    <x v="2"/>
    <x v="2"/>
    <x v="2"/>
    <x v="0"/>
    <x v="2"/>
    <x v="2"/>
    <x v="2"/>
    <s v="Consumer"/>
    <x v="0"/>
    <s v="Accessories"/>
    <x v="2"/>
    <n v="29200"/>
    <x v="1"/>
    <n v="0.05"/>
    <n v="5450"/>
    <x v="2"/>
    <s v="Standard"/>
    <s v="Delivered"/>
    <n v="4"/>
    <s v="March"/>
    <x v="482"/>
    <n v="718"/>
    <n v="29122.019498607242"/>
    <n v="55"/>
  </r>
  <r>
    <s v="ORD0484"/>
    <x v="483"/>
    <x v="3"/>
    <x v="3"/>
    <x v="3"/>
    <x v="1"/>
    <x v="3"/>
    <x v="0"/>
    <x v="0"/>
    <s v="Consumer"/>
    <x v="2"/>
    <s v="Paper"/>
    <x v="7"/>
    <n v="850"/>
    <x v="6"/>
    <n v="0.02"/>
    <n v="250"/>
    <x v="0"/>
    <s v="Standard"/>
    <s v="Delivered"/>
    <n v="5"/>
    <s v="March"/>
    <x v="483"/>
    <n v="717"/>
    <n v="29121.910739191073"/>
    <n v="55"/>
  </r>
  <r>
    <s v="ORD0485"/>
    <x v="484"/>
    <x v="4"/>
    <x v="4"/>
    <x v="4"/>
    <x v="0"/>
    <x v="4"/>
    <x v="3"/>
    <x v="0"/>
    <s v="Corporate"/>
    <x v="1"/>
    <s v="Tables"/>
    <x v="4"/>
    <n v="29400"/>
    <x v="1"/>
    <n v="0.08"/>
    <n v="5040"/>
    <x v="1"/>
    <s v="Express"/>
    <s v="Delivered"/>
    <n v="4"/>
    <s v="March"/>
    <x v="484"/>
    <n v="716"/>
    <n v="29161.396648044694"/>
    <n v="55"/>
  </r>
  <r>
    <s v="ORD0486"/>
    <x v="485"/>
    <x v="5"/>
    <x v="5"/>
    <x v="5"/>
    <x v="1"/>
    <x v="5"/>
    <x v="4"/>
    <x v="1"/>
    <s v="Consumer"/>
    <x v="0"/>
    <s v="Accessories"/>
    <x v="5"/>
    <n v="4450"/>
    <x v="3"/>
    <n v="0.05"/>
    <n v="1140"/>
    <x v="0"/>
    <s v="Standard"/>
    <s v="Delivered"/>
    <n v="4"/>
    <s v="March"/>
    <x v="485"/>
    <n v="715"/>
    <n v="29161.062937062936"/>
    <n v="55"/>
  </r>
  <r>
    <s v="ORD0487"/>
    <x v="486"/>
    <x v="6"/>
    <x v="0"/>
    <x v="6"/>
    <x v="0"/>
    <x v="6"/>
    <x v="0"/>
    <x v="0"/>
    <s v="Consumer"/>
    <x v="0"/>
    <s v="Accessories"/>
    <x v="6"/>
    <n v="3550"/>
    <x v="10"/>
    <n v="0"/>
    <n v="1060"/>
    <x v="3"/>
    <s v="Standard"/>
    <s v="Delivered"/>
    <n v="3"/>
    <s v="March"/>
    <x v="486"/>
    <n v="714"/>
    <n v="29195.672268907561"/>
    <n v="55"/>
  </r>
  <r>
    <s v="ORD0488"/>
    <x v="487"/>
    <x v="7"/>
    <x v="6"/>
    <x v="7"/>
    <x v="1"/>
    <x v="7"/>
    <x v="5"/>
    <x v="2"/>
    <s v="Corporate"/>
    <x v="2"/>
    <s v="Paper"/>
    <x v="3"/>
    <n v="7000"/>
    <x v="2"/>
    <n v="0.02"/>
    <n v="1730"/>
    <x v="0"/>
    <s v="Standard"/>
    <s v="Delivered"/>
    <n v="5"/>
    <s v="April"/>
    <x v="487"/>
    <n v="713"/>
    <n v="29231.640953716691"/>
    <n v="55"/>
  </r>
  <r>
    <s v="ORD0489"/>
    <x v="488"/>
    <x v="8"/>
    <x v="1"/>
    <x v="8"/>
    <x v="0"/>
    <x v="8"/>
    <x v="6"/>
    <x v="3"/>
    <s v="Corporate"/>
    <x v="1"/>
    <s v="Storage"/>
    <x v="8"/>
    <n v="19800"/>
    <x v="0"/>
    <n v="0.1"/>
    <n v="3500"/>
    <x v="1"/>
    <s v="Express"/>
    <s v="Delivered"/>
    <n v="4"/>
    <s v="April"/>
    <x v="488"/>
    <n v="712"/>
    <n v="29262.865168539327"/>
    <n v="55"/>
  </r>
  <r>
    <s v="ORD0490"/>
    <x v="489"/>
    <x v="9"/>
    <x v="4"/>
    <x v="9"/>
    <x v="1"/>
    <x v="0"/>
    <x v="0"/>
    <x v="0"/>
    <s v="Consumer"/>
    <x v="0"/>
    <s v="Printers"/>
    <x v="9"/>
    <n v="22000"/>
    <x v="1"/>
    <n v="0.05"/>
    <n v="4260"/>
    <x v="0"/>
    <s v="Standard"/>
    <s v="Delivered"/>
    <n v="4"/>
    <s v="April"/>
    <x v="489"/>
    <n v="711"/>
    <n v="29276.174402250352"/>
    <n v="55"/>
  </r>
  <r>
    <s v="ORD0491"/>
    <x v="490"/>
    <x v="10"/>
    <x v="7"/>
    <x v="10"/>
    <x v="0"/>
    <x v="9"/>
    <x v="7"/>
    <x v="1"/>
    <s v="Consumer"/>
    <x v="2"/>
    <s v="Accessories"/>
    <x v="10"/>
    <n v="1230"/>
    <x v="11"/>
    <n v="0"/>
    <n v="380"/>
    <x v="2"/>
    <s v="Standard"/>
    <s v="Delivered"/>
    <n v="5"/>
    <s v="April"/>
    <x v="490"/>
    <n v="710"/>
    <n v="29286.422535211266"/>
    <n v="55"/>
  </r>
  <r>
    <s v="ORD0492"/>
    <x v="491"/>
    <x v="11"/>
    <x v="3"/>
    <x v="11"/>
    <x v="1"/>
    <x v="2"/>
    <x v="2"/>
    <x v="2"/>
    <s v="Corporate"/>
    <x v="1"/>
    <s v="Tables"/>
    <x v="11"/>
    <n v="32600"/>
    <x v="0"/>
    <n v="0.08"/>
    <n v="6650"/>
    <x v="1"/>
    <s v="Express"/>
    <s v="Delivered"/>
    <n v="4"/>
    <s v="May"/>
    <x v="491"/>
    <n v="709"/>
    <n v="29325.994358251057"/>
    <n v="55"/>
  </r>
  <r>
    <s v="ORD0493"/>
    <x v="492"/>
    <x v="12"/>
    <x v="0"/>
    <x v="12"/>
    <x v="0"/>
    <x v="3"/>
    <x v="0"/>
    <x v="0"/>
    <s v="Consumer"/>
    <x v="0"/>
    <s v="Computers"/>
    <x v="0"/>
    <n v="90500"/>
    <x v="0"/>
    <n v="0.1"/>
    <n v="10400"/>
    <x v="0"/>
    <s v="Express"/>
    <s v="Delivered"/>
    <n v="5"/>
    <s v="May"/>
    <x v="492"/>
    <n v="708"/>
    <n v="29321.370056497177"/>
    <n v="55"/>
  </r>
  <r>
    <s v="ORD0494"/>
    <x v="493"/>
    <x v="13"/>
    <x v="1"/>
    <x v="13"/>
    <x v="1"/>
    <x v="4"/>
    <x v="3"/>
    <x v="0"/>
    <s v="Consumer"/>
    <x v="2"/>
    <s v="Storage"/>
    <x v="12"/>
    <n v="1600"/>
    <x v="5"/>
    <n v="0.05"/>
    <n v="495"/>
    <x v="3"/>
    <s v="Standard"/>
    <s v="Delivered"/>
    <n v="4"/>
    <s v="May"/>
    <x v="493"/>
    <n v="707"/>
    <n v="29234.837340876944"/>
    <n v="55"/>
  </r>
  <r>
    <s v="ORD0495"/>
    <x v="494"/>
    <x v="14"/>
    <x v="8"/>
    <x v="14"/>
    <x v="0"/>
    <x v="5"/>
    <x v="4"/>
    <x v="1"/>
    <s v="Corporate"/>
    <x v="1"/>
    <s v="Chairs"/>
    <x v="1"/>
    <n v="15200"/>
    <x v="9"/>
    <n v="7.0000000000000007E-2"/>
    <n v="3400"/>
    <x v="1"/>
    <s v="Standard"/>
    <s v="Delivered"/>
    <n v="4"/>
    <s v="May"/>
    <x v="494"/>
    <n v="706"/>
    <n v="29273.98016997167"/>
    <n v="55"/>
  </r>
  <r>
    <s v="ORD0496"/>
    <x v="495"/>
    <x v="15"/>
    <x v="6"/>
    <x v="15"/>
    <x v="1"/>
    <x v="1"/>
    <x v="1"/>
    <x v="1"/>
    <s v="Consumer"/>
    <x v="0"/>
    <s v="Accessories"/>
    <x v="2"/>
    <n v="32000"/>
    <x v="1"/>
    <n v="0.05"/>
    <n v="6050"/>
    <x v="0"/>
    <s v="Express"/>
    <s v="Delivered"/>
    <n v="5"/>
    <s v="June"/>
    <x v="495"/>
    <n v="705"/>
    <n v="29293.943262411347"/>
    <n v="55"/>
  </r>
  <r>
    <s v="ORD0497"/>
    <x v="496"/>
    <x v="16"/>
    <x v="5"/>
    <x v="16"/>
    <x v="0"/>
    <x v="7"/>
    <x v="5"/>
    <x v="2"/>
    <s v="Corporate"/>
    <x v="2"/>
    <s v="Paper"/>
    <x v="3"/>
    <n v="7100"/>
    <x v="2"/>
    <n v="0.03"/>
    <n v="1760"/>
    <x v="2"/>
    <s v="Standard"/>
    <s v="Delivered"/>
    <n v="4"/>
    <s v="June"/>
    <x v="496"/>
    <n v="704"/>
    <n v="29290.09943181818"/>
    <n v="55"/>
  </r>
  <r>
    <s v="ORD0498"/>
    <x v="497"/>
    <x v="17"/>
    <x v="0"/>
    <x v="17"/>
    <x v="1"/>
    <x v="0"/>
    <x v="0"/>
    <x v="0"/>
    <s v="Consumer"/>
    <x v="1"/>
    <s v="Tables"/>
    <x v="4"/>
    <n v="29300"/>
    <x v="1"/>
    <n v="0.1"/>
    <n v="4680"/>
    <x v="0"/>
    <s v="Express"/>
    <s v="Delivered"/>
    <n v="5"/>
    <s v="June"/>
    <x v="497"/>
    <n v="703"/>
    <n v="29321.664295874823"/>
    <n v="55"/>
  </r>
  <r>
    <s v="ORD0499"/>
    <x v="498"/>
    <x v="18"/>
    <x v="2"/>
    <x v="18"/>
    <x v="0"/>
    <x v="9"/>
    <x v="7"/>
    <x v="1"/>
    <s v="Corporate"/>
    <x v="0"/>
    <s v="Accessories"/>
    <x v="5"/>
    <n v="4850"/>
    <x v="9"/>
    <n v="0.05"/>
    <n v="1230"/>
    <x v="1"/>
    <s v="Standard"/>
    <s v="Delivered"/>
    <n v="3"/>
    <s v="June"/>
    <x v="498"/>
    <n v="702"/>
    <n v="29321.695156695157"/>
    <n v="55"/>
  </r>
  <r>
    <s v="ORD0500"/>
    <x v="499"/>
    <x v="19"/>
    <x v="7"/>
    <x v="19"/>
    <x v="1"/>
    <x v="6"/>
    <x v="0"/>
    <x v="0"/>
    <s v="Consumer"/>
    <x v="0"/>
    <s v="Accessories"/>
    <x v="6"/>
    <n v="3650"/>
    <x v="12"/>
    <n v="0"/>
    <n v="1090"/>
    <x v="0"/>
    <s v="Standard"/>
    <s v="Delivered"/>
    <n v="4"/>
    <s v="June"/>
    <x v="499"/>
    <n v="701"/>
    <n v="29356.604850213978"/>
    <n v="55"/>
  </r>
  <r>
    <s v="ORD0501"/>
    <x v="500"/>
    <x v="0"/>
    <x v="0"/>
    <x v="0"/>
    <x v="0"/>
    <x v="0"/>
    <x v="0"/>
    <x v="0"/>
    <s v="Consumer"/>
    <x v="0"/>
    <s v="Computers"/>
    <x v="0"/>
    <n v="86500"/>
    <x v="0"/>
    <n v="0.05"/>
    <n v="11500"/>
    <x v="0"/>
    <s v="Express"/>
    <s v="Delivered"/>
    <n v="5"/>
    <s v="July"/>
    <x v="500"/>
    <n v="700"/>
    <n v="29393.32857142857"/>
    <n v="55"/>
  </r>
  <r>
    <s v="ORD0502"/>
    <x v="501"/>
    <x v="1"/>
    <x v="1"/>
    <x v="1"/>
    <x v="1"/>
    <x v="1"/>
    <x v="1"/>
    <x v="1"/>
    <s v="Corporate"/>
    <x v="1"/>
    <s v="Chairs"/>
    <x v="1"/>
    <n v="12800"/>
    <x v="3"/>
    <n v="0.1"/>
    <n v="2950"/>
    <x v="1"/>
    <s v="Standard"/>
    <s v="Delivered"/>
    <n v="4"/>
    <s v="July"/>
    <x v="501"/>
    <n v="699"/>
    <n v="29311.630901287554"/>
    <n v="55"/>
  </r>
  <r>
    <s v="ORD0503"/>
    <x v="502"/>
    <x v="2"/>
    <x v="2"/>
    <x v="2"/>
    <x v="0"/>
    <x v="2"/>
    <x v="2"/>
    <x v="2"/>
    <s v="Consumer"/>
    <x v="0"/>
    <s v="Accessories"/>
    <x v="2"/>
    <n v="29900"/>
    <x v="1"/>
    <n v="0.05"/>
    <n v="5600"/>
    <x v="2"/>
    <s v="Standard"/>
    <s v="Delivered"/>
    <n v="4"/>
    <s v="July"/>
    <x v="502"/>
    <n v="698"/>
    <n v="29335.28653295129"/>
    <n v="55"/>
  </r>
  <r>
    <s v="ORD0504"/>
    <x v="503"/>
    <x v="3"/>
    <x v="3"/>
    <x v="3"/>
    <x v="1"/>
    <x v="3"/>
    <x v="0"/>
    <x v="0"/>
    <s v="Consumer"/>
    <x v="2"/>
    <s v="Paper"/>
    <x v="7"/>
    <n v="870"/>
    <x v="6"/>
    <n v="0.02"/>
    <n v="255"/>
    <x v="0"/>
    <s v="Standard"/>
    <s v="Delivered"/>
    <n v="5"/>
    <s v="July"/>
    <x v="503"/>
    <n v="697"/>
    <n v="29334.476327116212"/>
    <n v="55"/>
  </r>
  <r>
    <s v="ORD0505"/>
    <x v="504"/>
    <x v="4"/>
    <x v="4"/>
    <x v="4"/>
    <x v="0"/>
    <x v="4"/>
    <x v="3"/>
    <x v="0"/>
    <s v="Corporate"/>
    <x v="1"/>
    <s v="Tables"/>
    <x v="4"/>
    <n v="30200"/>
    <x v="1"/>
    <n v="0.08"/>
    <n v="5180"/>
    <x v="1"/>
    <s v="Express"/>
    <s v="Delivered"/>
    <n v="4"/>
    <s v="August"/>
    <x v="504"/>
    <n v="696"/>
    <n v="29375.373563218393"/>
    <n v="55"/>
  </r>
  <r>
    <s v="ORD0506"/>
    <x v="505"/>
    <x v="5"/>
    <x v="5"/>
    <x v="5"/>
    <x v="1"/>
    <x v="5"/>
    <x v="4"/>
    <x v="1"/>
    <s v="Consumer"/>
    <x v="0"/>
    <s v="Accessories"/>
    <x v="5"/>
    <n v="4550"/>
    <x v="3"/>
    <n v="0.05"/>
    <n v="1170"/>
    <x v="0"/>
    <s v="Standard"/>
    <s v="Delivered"/>
    <n v="4"/>
    <s v="August"/>
    <x v="505"/>
    <n v="695"/>
    <n v="29374.187050359713"/>
    <n v="55"/>
  </r>
  <r>
    <s v="ORD0507"/>
    <x v="506"/>
    <x v="6"/>
    <x v="0"/>
    <x v="6"/>
    <x v="0"/>
    <x v="6"/>
    <x v="0"/>
    <x v="0"/>
    <s v="Consumer"/>
    <x v="0"/>
    <s v="Accessories"/>
    <x v="6"/>
    <n v="3750"/>
    <x v="10"/>
    <n v="0"/>
    <n v="1120"/>
    <x v="3"/>
    <s v="Standard"/>
    <s v="Delivered"/>
    <n v="3"/>
    <s v="August"/>
    <x v="506"/>
    <n v="694"/>
    <n v="29409.956772334295"/>
    <n v="55"/>
  </r>
  <r>
    <s v="ORD0508"/>
    <x v="507"/>
    <x v="7"/>
    <x v="6"/>
    <x v="7"/>
    <x v="1"/>
    <x v="7"/>
    <x v="5"/>
    <x v="2"/>
    <s v="Corporate"/>
    <x v="2"/>
    <s v="Paper"/>
    <x v="3"/>
    <n v="7200"/>
    <x v="2"/>
    <n v="0.02"/>
    <n v="1780"/>
    <x v="0"/>
    <s v="Standard"/>
    <s v="Delivered"/>
    <n v="5"/>
    <s v="August"/>
    <x v="507"/>
    <n v="693"/>
    <n v="29446.984126984127"/>
    <n v="55"/>
  </r>
  <r>
    <s v="ORD0509"/>
    <x v="508"/>
    <x v="8"/>
    <x v="1"/>
    <x v="8"/>
    <x v="0"/>
    <x v="8"/>
    <x v="6"/>
    <x v="3"/>
    <s v="Corporate"/>
    <x v="1"/>
    <s v="Storage"/>
    <x v="8"/>
    <n v="20200"/>
    <x v="0"/>
    <n v="0.1"/>
    <n v="3580"/>
    <x v="1"/>
    <s v="Express"/>
    <s v="Delivered"/>
    <n v="4"/>
    <s v="September"/>
    <x v="508"/>
    <n v="692"/>
    <n v="29479.132947976879"/>
    <n v="55"/>
  </r>
  <r>
    <s v="ORD0510"/>
    <x v="509"/>
    <x v="9"/>
    <x v="4"/>
    <x v="9"/>
    <x v="1"/>
    <x v="0"/>
    <x v="0"/>
    <x v="0"/>
    <s v="Consumer"/>
    <x v="0"/>
    <s v="Printers"/>
    <x v="9"/>
    <n v="22400"/>
    <x v="1"/>
    <n v="0.05"/>
    <n v="4340"/>
    <x v="0"/>
    <s v="Standard"/>
    <s v="Delivered"/>
    <n v="4"/>
    <s v="September"/>
    <x v="509"/>
    <n v="691"/>
    <n v="29492.561505065121"/>
    <n v="55"/>
  </r>
  <r>
    <s v="ORD0511"/>
    <x v="510"/>
    <x v="10"/>
    <x v="7"/>
    <x v="10"/>
    <x v="0"/>
    <x v="9"/>
    <x v="7"/>
    <x v="1"/>
    <s v="Consumer"/>
    <x v="2"/>
    <s v="Accessories"/>
    <x v="10"/>
    <n v="1260"/>
    <x v="11"/>
    <n v="0"/>
    <n v="390"/>
    <x v="2"/>
    <s v="Standard"/>
    <s v="Delivered"/>
    <n v="5"/>
    <s v="September"/>
    <x v="510"/>
    <n v="690"/>
    <n v="29502.840579710144"/>
    <n v="55"/>
  </r>
  <r>
    <s v="ORD0512"/>
    <x v="511"/>
    <x v="11"/>
    <x v="3"/>
    <x v="11"/>
    <x v="1"/>
    <x v="2"/>
    <x v="2"/>
    <x v="2"/>
    <s v="Corporate"/>
    <x v="1"/>
    <s v="Tables"/>
    <x v="11"/>
    <n v="33200"/>
    <x v="0"/>
    <n v="0.08"/>
    <n v="6800"/>
    <x v="1"/>
    <s v="Express"/>
    <s v="Delivered"/>
    <n v="4"/>
    <s v="September"/>
    <x v="511"/>
    <n v="689"/>
    <n v="29543.831640058055"/>
    <n v="55"/>
  </r>
  <r>
    <s v="ORD0513"/>
    <x v="512"/>
    <x v="12"/>
    <x v="0"/>
    <x v="12"/>
    <x v="0"/>
    <x v="3"/>
    <x v="0"/>
    <x v="0"/>
    <s v="Consumer"/>
    <x v="0"/>
    <s v="Computers"/>
    <x v="0"/>
    <n v="92000"/>
    <x v="0"/>
    <n v="0.1"/>
    <n v="10600"/>
    <x v="0"/>
    <s v="Express"/>
    <s v="Delivered"/>
    <n v="5"/>
    <s v="September"/>
    <x v="512"/>
    <n v="688"/>
    <n v="29538.517441860466"/>
    <n v="55"/>
  </r>
  <r>
    <s v="ORD0514"/>
    <x v="513"/>
    <x v="13"/>
    <x v="1"/>
    <x v="13"/>
    <x v="1"/>
    <x v="4"/>
    <x v="3"/>
    <x v="0"/>
    <s v="Consumer"/>
    <x v="2"/>
    <s v="Storage"/>
    <x v="12"/>
    <n v="1640"/>
    <x v="5"/>
    <n v="0.05"/>
    <n v="510"/>
    <x v="3"/>
    <s v="Standard"/>
    <s v="Delivered"/>
    <n v="4"/>
    <s v="October"/>
    <x v="513"/>
    <n v="687"/>
    <n v="29447.598253275108"/>
    <n v="55"/>
  </r>
  <r>
    <s v="ORD0515"/>
    <x v="514"/>
    <x v="14"/>
    <x v="8"/>
    <x v="14"/>
    <x v="0"/>
    <x v="5"/>
    <x v="4"/>
    <x v="1"/>
    <s v="Corporate"/>
    <x v="1"/>
    <s v="Chairs"/>
    <x v="1"/>
    <n v="15600"/>
    <x v="9"/>
    <n v="7.0000000000000007E-2"/>
    <n v="3500"/>
    <x v="1"/>
    <s v="Standard"/>
    <s v="Delivered"/>
    <n v="4"/>
    <s v="October"/>
    <x v="514"/>
    <n v="686"/>
    <n v="29488.13411078717"/>
    <n v="55"/>
  </r>
  <r>
    <s v="ORD0516"/>
    <x v="515"/>
    <x v="15"/>
    <x v="6"/>
    <x v="15"/>
    <x v="1"/>
    <x v="1"/>
    <x v="1"/>
    <x v="1"/>
    <s v="Consumer"/>
    <x v="0"/>
    <s v="Accessories"/>
    <x v="2"/>
    <n v="32700"/>
    <x v="1"/>
    <n v="0.05"/>
    <n v="6200"/>
    <x v="0"/>
    <s v="Express"/>
    <s v="Delivered"/>
    <n v="5"/>
    <s v="October"/>
    <x v="515"/>
    <n v="685"/>
    <n v="29508.408759124086"/>
    <n v="55"/>
  </r>
  <r>
    <s v="ORD0517"/>
    <x v="516"/>
    <x v="16"/>
    <x v="5"/>
    <x v="16"/>
    <x v="0"/>
    <x v="7"/>
    <x v="5"/>
    <x v="2"/>
    <s v="Corporate"/>
    <x v="2"/>
    <s v="Paper"/>
    <x v="3"/>
    <n v="7300"/>
    <x v="2"/>
    <n v="0.03"/>
    <n v="1810"/>
    <x v="2"/>
    <s v="Standard"/>
    <s v="Delivered"/>
    <n v="4"/>
    <s v="October"/>
    <x v="516"/>
    <n v="684"/>
    <n v="29503.74269005848"/>
    <n v="55"/>
  </r>
  <r>
    <s v="ORD0518"/>
    <x v="517"/>
    <x v="17"/>
    <x v="0"/>
    <x v="17"/>
    <x v="1"/>
    <x v="0"/>
    <x v="0"/>
    <x v="0"/>
    <s v="Consumer"/>
    <x v="1"/>
    <s v="Tables"/>
    <x v="4"/>
    <n v="30000"/>
    <x v="1"/>
    <n v="0.1"/>
    <n v="4800"/>
    <x v="0"/>
    <s v="Express"/>
    <s v="Delivered"/>
    <n v="5"/>
    <s v="November"/>
    <x v="517"/>
    <n v="683"/>
    <n v="29536.251830161054"/>
    <n v="55"/>
  </r>
  <r>
    <s v="ORD0519"/>
    <x v="518"/>
    <x v="18"/>
    <x v="2"/>
    <x v="18"/>
    <x v="0"/>
    <x v="9"/>
    <x v="7"/>
    <x v="1"/>
    <s v="Corporate"/>
    <x v="0"/>
    <s v="Accessories"/>
    <x v="5"/>
    <n v="4950"/>
    <x v="9"/>
    <n v="0.05"/>
    <n v="1260"/>
    <x v="1"/>
    <s v="Standard"/>
    <s v="Delivered"/>
    <n v="3"/>
    <s v="November"/>
    <x v="518"/>
    <n v="682"/>
    <n v="29535.57184750733"/>
    <n v="55"/>
  </r>
  <r>
    <s v="ORD0520"/>
    <x v="519"/>
    <x v="19"/>
    <x v="7"/>
    <x v="19"/>
    <x v="1"/>
    <x v="6"/>
    <x v="0"/>
    <x v="0"/>
    <s v="Consumer"/>
    <x v="0"/>
    <s v="Accessories"/>
    <x v="6"/>
    <n v="3800"/>
    <x v="12"/>
    <n v="0"/>
    <n v="1140"/>
    <x v="0"/>
    <s v="Standard"/>
    <s v="Delivered"/>
    <n v="4"/>
    <s v="November"/>
    <x v="519"/>
    <n v="681"/>
    <n v="29571.674008810573"/>
    <n v="55"/>
  </r>
  <r>
    <s v="ORD0521"/>
    <x v="520"/>
    <x v="0"/>
    <x v="0"/>
    <x v="0"/>
    <x v="0"/>
    <x v="0"/>
    <x v="0"/>
    <x v="0"/>
    <s v="Consumer"/>
    <x v="0"/>
    <s v="Computers"/>
    <x v="0"/>
    <n v="88000"/>
    <x v="0"/>
    <n v="0.05"/>
    <n v="11700"/>
    <x v="0"/>
    <s v="Express"/>
    <s v="Delivered"/>
    <n v="5"/>
    <s v="November"/>
    <x v="520"/>
    <n v="680"/>
    <n v="29609.573529411766"/>
    <n v="55"/>
  </r>
  <r>
    <s v="ORD0522"/>
    <x v="521"/>
    <x v="1"/>
    <x v="1"/>
    <x v="1"/>
    <x v="1"/>
    <x v="1"/>
    <x v="1"/>
    <x v="1"/>
    <s v="Corporate"/>
    <x v="1"/>
    <s v="Chairs"/>
    <x v="1"/>
    <n v="13100"/>
    <x v="3"/>
    <n v="0.1"/>
    <n v="3020"/>
    <x v="1"/>
    <s v="Standard"/>
    <s v="Delivered"/>
    <n v="4"/>
    <s v="December"/>
    <x v="521"/>
    <n v="679"/>
    <n v="29523.578792341679"/>
    <n v="55"/>
  </r>
  <r>
    <s v="ORD0523"/>
    <x v="522"/>
    <x v="2"/>
    <x v="2"/>
    <x v="2"/>
    <x v="0"/>
    <x v="2"/>
    <x v="2"/>
    <x v="2"/>
    <s v="Consumer"/>
    <x v="0"/>
    <s v="Accessories"/>
    <x v="2"/>
    <n v="30600"/>
    <x v="1"/>
    <n v="0.05"/>
    <n v="5750"/>
    <x v="2"/>
    <s v="Standard"/>
    <s v="Delivered"/>
    <n v="4"/>
    <s v="December"/>
    <x v="522"/>
    <n v="678"/>
    <n v="29547.802359882007"/>
    <n v="55"/>
  </r>
  <r>
    <s v="ORD0524"/>
    <x v="523"/>
    <x v="3"/>
    <x v="3"/>
    <x v="3"/>
    <x v="1"/>
    <x v="3"/>
    <x v="0"/>
    <x v="0"/>
    <s v="Consumer"/>
    <x v="2"/>
    <s v="Paper"/>
    <x v="7"/>
    <n v="890"/>
    <x v="6"/>
    <n v="0.02"/>
    <n v="260"/>
    <x v="0"/>
    <s v="Standard"/>
    <s v="Delivered"/>
    <n v="5"/>
    <s v="December"/>
    <x v="523"/>
    <n v="677"/>
    <n v="29546.248153618908"/>
    <n v="55"/>
  </r>
  <r>
    <s v="ORD0525"/>
    <x v="524"/>
    <x v="4"/>
    <x v="4"/>
    <x v="4"/>
    <x v="0"/>
    <x v="4"/>
    <x v="3"/>
    <x v="0"/>
    <s v="Corporate"/>
    <x v="1"/>
    <s v="Tables"/>
    <x v="4"/>
    <n v="31000"/>
    <x v="1"/>
    <n v="0.08"/>
    <n v="5320"/>
    <x v="1"/>
    <s v="Express"/>
    <s v="Delivered"/>
    <n v="4"/>
    <s v="December"/>
    <x v="524"/>
    <n v="676"/>
    <n v="29588.639053254439"/>
    <n v="55"/>
  </r>
  <r>
    <s v="ORD0526"/>
    <x v="525"/>
    <x v="5"/>
    <x v="5"/>
    <x v="5"/>
    <x v="1"/>
    <x v="5"/>
    <x v="4"/>
    <x v="1"/>
    <s v="Consumer"/>
    <x v="0"/>
    <s v="Accessories"/>
    <x v="5"/>
    <n v="4650"/>
    <x v="3"/>
    <n v="0.05"/>
    <n v="1200"/>
    <x v="0"/>
    <s v="Standard"/>
    <s v="Delivered"/>
    <n v="4"/>
    <s v="December"/>
    <x v="525"/>
    <n v="675"/>
    <n v="29586.548148148147"/>
    <n v="55"/>
  </r>
  <r>
    <s v="ORD0527"/>
    <x v="526"/>
    <x v="6"/>
    <x v="0"/>
    <x v="6"/>
    <x v="0"/>
    <x v="6"/>
    <x v="0"/>
    <x v="0"/>
    <s v="Consumer"/>
    <x v="0"/>
    <s v="Accessories"/>
    <x v="6"/>
    <n v="3900"/>
    <x v="10"/>
    <n v="0"/>
    <n v="1170"/>
    <x v="3"/>
    <s v="Standard"/>
    <s v="Delivered"/>
    <n v="3"/>
    <s v="January"/>
    <x v="526"/>
    <n v="674"/>
    <n v="29623.545994065284"/>
    <n v="55"/>
  </r>
  <r>
    <s v="ORD0528"/>
    <x v="527"/>
    <x v="7"/>
    <x v="6"/>
    <x v="7"/>
    <x v="1"/>
    <x v="7"/>
    <x v="5"/>
    <x v="2"/>
    <s v="Corporate"/>
    <x v="2"/>
    <s v="Paper"/>
    <x v="3"/>
    <n v="7400"/>
    <x v="2"/>
    <n v="0.02"/>
    <n v="1830"/>
    <x v="0"/>
    <s v="Standard"/>
    <s v="Delivered"/>
    <n v="5"/>
    <s v="January"/>
    <x v="527"/>
    <n v="673"/>
    <n v="29661.768202080239"/>
    <n v="55"/>
  </r>
  <r>
    <s v="ORD0529"/>
    <x v="528"/>
    <x v="8"/>
    <x v="1"/>
    <x v="8"/>
    <x v="0"/>
    <x v="8"/>
    <x v="6"/>
    <x v="3"/>
    <s v="Corporate"/>
    <x v="1"/>
    <s v="Storage"/>
    <x v="8"/>
    <n v="20600"/>
    <x v="0"/>
    <n v="0.1"/>
    <n v="3660"/>
    <x v="1"/>
    <s v="Express"/>
    <s v="Delivered"/>
    <n v="4"/>
    <s v="January"/>
    <x v="528"/>
    <n v="672"/>
    <n v="29694.895833333332"/>
    <n v="55"/>
  </r>
  <r>
    <s v="ORD0530"/>
    <x v="529"/>
    <x v="9"/>
    <x v="4"/>
    <x v="9"/>
    <x v="1"/>
    <x v="0"/>
    <x v="0"/>
    <x v="0"/>
    <s v="Consumer"/>
    <x v="0"/>
    <s v="Printers"/>
    <x v="9"/>
    <n v="22800"/>
    <x v="1"/>
    <n v="0.05"/>
    <n v="4420"/>
    <x v="0"/>
    <s v="Standard"/>
    <s v="Delivered"/>
    <n v="4"/>
    <s v="January"/>
    <x v="529"/>
    <n v="671"/>
    <n v="29708.450074515647"/>
    <n v="55"/>
  </r>
  <r>
    <s v="ORD0531"/>
    <x v="530"/>
    <x v="10"/>
    <x v="7"/>
    <x v="10"/>
    <x v="0"/>
    <x v="9"/>
    <x v="7"/>
    <x v="1"/>
    <s v="Consumer"/>
    <x v="2"/>
    <s v="Accessories"/>
    <x v="10"/>
    <n v="1290"/>
    <x v="11"/>
    <n v="0"/>
    <n v="400"/>
    <x v="2"/>
    <s v="Standard"/>
    <s v="Delivered"/>
    <n v="5"/>
    <s v="February"/>
    <x v="530"/>
    <n v="670"/>
    <n v="29718.761194029852"/>
    <n v="55"/>
  </r>
  <r>
    <s v="ORD0532"/>
    <x v="531"/>
    <x v="11"/>
    <x v="3"/>
    <x v="11"/>
    <x v="1"/>
    <x v="2"/>
    <x v="2"/>
    <x v="2"/>
    <s v="Corporate"/>
    <x v="1"/>
    <s v="Tables"/>
    <x v="11"/>
    <n v="33800"/>
    <x v="0"/>
    <n v="0.08"/>
    <n v="6950"/>
    <x v="1"/>
    <s v="Express"/>
    <s v="Delivered"/>
    <n v="4"/>
    <s v="February"/>
    <x v="531"/>
    <n v="669"/>
    <n v="29761.255605381168"/>
    <n v="55"/>
  </r>
  <r>
    <s v="ORD0533"/>
    <x v="532"/>
    <x v="12"/>
    <x v="0"/>
    <x v="12"/>
    <x v="0"/>
    <x v="3"/>
    <x v="0"/>
    <x v="0"/>
    <s v="Consumer"/>
    <x v="0"/>
    <s v="Computers"/>
    <x v="0"/>
    <n v="93500"/>
    <x v="0"/>
    <n v="0.1"/>
    <n v="10800"/>
    <x v="0"/>
    <s v="Express"/>
    <s v="Delivered"/>
    <n v="5"/>
    <s v="February"/>
    <x v="532"/>
    <n v="668"/>
    <n v="29755.209580838324"/>
    <n v="55"/>
  </r>
  <r>
    <s v="ORD0534"/>
    <x v="533"/>
    <x v="13"/>
    <x v="1"/>
    <x v="13"/>
    <x v="1"/>
    <x v="4"/>
    <x v="3"/>
    <x v="0"/>
    <s v="Consumer"/>
    <x v="2"/>
    <s v="Storage"/>
    <x v="12"/>
    <n v="1680"/>
    <x v="5"/>
    <n v="0.05"/>
    <n v="525"/>
    <x v="3"/>
    <s v="Standard"/>
    <s v="Delivered"/>
    <n v="4"/>
    <s v="February"/>
    <x v="533"/>
    <n v="667"/>
    <n v="29659.640179910046"/>
    <n v="55"/>
  </r>
  <r>
    <s v="ORD0535"/>
    <x v="534"/>
    <x v="14"/>
    <x v="8"/>
    <x v="14"/>
    <x v="0"/>
    <x v="5"/>
    <x v="4"/>
    <x v="1"/>
    <s v="Corporate"/>
    <x v="1"/>
    <s v="Chairs"/>
    <x v="1"/>
    <n v="16000"/>
    <x v="9"/>
    <n v="7.0000000000000007E-2"/>
    <n v="3600"/>
    <x v="1"/>
    <s v="Standard"/>
    <s v="Delivered"/>
    <n v="4"/>
    <s v="March"/>
    <x v="534"/>
    <n v="666"/>
    <n v="29701.651651651653"/>
    <n v="55"/>
  </r>
  <r>
    <s v="ORD0536"/>
    <x v="535"/>
    <x v="15"/>
    <x v="6"/>
    <x v="15"/>
    <x v="1"/>
    <x v="1"/>
    <x v="1"/>
    <x v="1"/>
    <s v="Consumer"/>
    <x v="0"/>
    <s v="Accessories"/>
    <x v="2"/>
    <n v="33400"/>
    <x v="1"/>
    <n v="0.05"/>
    <n v="6350"/>
    <x v="0"/>
    <s v="Express"/>
    <s v="Delivered"/>
    <n v="5"/>
    <s v="March"/>
    <x v="535"/>
    <n v="665"/>
    <n v="29722.255639097744"/>
    <n v="55"/>
  </r>
  <r>
    <s v="ORD0537"/>
    <x v="536"/>
    <x v="16"/>
    <x v="5"/>
    <x v="16"/>
    <x v="0"/>
    <x v="7"/>
    <x v="5"/>
    <x v="2"/>
    <s v="Corporate"/>
    <x v="2"/>
    <s v="Paper"/>
    <x v="3"/>
    <n v="7500"/>
    <x v="2"/>
    <n v="0.03"/>
    <n v="1860"/>
    <x v="2"/>
    <s v="Standard"/>
    <s v="Delivered"/>
    <n v="4"/>
    <s v="March"/>
    <x v="536"/>
    <n v="664"/>
    <n v="29716.716867469881"/>
    <n v="55"/>
  </r>
  <r>
    <s v="ORD0538"/>
    <x v="537"/>
    <x v="17"/>
    <x v="0"/>
    <x v="17"/>
    <x v="1"/>
    <x v="0"/>
    <x v="0"/>
    <x v="0"/>
    <s v="Consumer"/>
    <x v="1"/>
    <s v="Tables"/>
    <x v="4"/>
    <n v="30700"/>
    <x v="1"/>
    <n v="0.1"/>
    <n v="4920"/>
    <x v="0"/>
    <s v="Express"/>
    <s v="Delivered"/>
    <n v="5"/>
    <s v="March"/>
    <x v="537"/>
    <n v="663"/>
    <n v="29750.226244343892"/>
    <n v="55"/>
  </r>
  <r>
    <s v="ORD0539"/>
    <x v="538"/>
    <x v="18"/>
    <x v="2"/>
    <x v="18"/>
    <x v="0"/>
    <x v="9"/>
    <x v="7"/>
    <x v="1"/>
    <s v="Corporate"/>
    <x v="0"/>
    <s v="Accessories"/>
    <x v="5"/>
    <n v="5050"/>
    <x v="9"/>
    <n v="0.05"/>
    <n v="1290"/>
    <x v="1"/>
    <s v="Standard"/>
    <s v="Delivered"/>
    <n v="3"/>
    <s v="March"/>
    <x v="538"/>
    <n v="662"/>
    <n v="29748.7915407855"/>
    <n v="55"/>
  </r>
  <r>
    <s v="ORD0540"/>
    <x v="539"/>
    <x v="19"/>
    <x v="7"/>
    <x v="19"/>
    <x v="1"/>
    <x v="6"/>
    <x v="0"/>
    <x v="0"/>
    <s v="Consumer"/>
    <x v="0"/>
    <s v="Accessories"/>
    <x v="6"/>
    <n v="3950"/>
    <x v="12"/>
    <n v="0"/>
    <n v="1180"/>
    <x v="0"/>
    <s v="Standard"/>
    <s v="Delivered"/>
    <n v="4"/>
    <s v="April"/>
    <x v="539"/>
    <n v="661"/>
    <n v="29786.157337367626"/>
    <n v="55"/>
  </r>
  <r>
    <s v="ORD0541"/>
    <x v="540"/>
    <x v="0"/>
    <x v="0"/>
    <x v="0"/>
    <x v="0"/>
    <x v="0"/>
    <x v="0"/>
    <x v="0"/>
    <s v="Consumer"/>
    <x v="0"/>
    <s v="Computers"/>
    <x v="0"/>
    <n v="89500"/>
    <x v="0"/>
    <n v="0.05"/>
    <n v="11900"/>
    <x v="0"/>
    <s v="Express"/>
    <s v="Delivered"/>
    <n v="5"/>
    <s v="April"/>
    <x v="540"/>
    <n v="660"/>
    <n v="29825.303030303032"/>
    <n v="55"/>
  </r>
  <r>
    <s v="ORD0542"/>
    <x v="541"/>
    <x v="1"/>
    <x v="1"/>
    <x v="1"/>
    <x v="1"/>
    <x v="1"/>
    <x v="1"/>
    <x v="1"/>
    <s v="Corporate"/>
    <x v="1"/>
    <s v="Chairs"/>
    <x v="1"/>
    <n v="13400"/>
    <x v="3"/>
    <n v="0.1"/>
    <n v="3100"/>
    <x v="1"/>
    <s v="Standard"/>
    <s v="Delivered"/>
    <n v="4"/>
    <s v="April"/>
    <x v="541"/>
    <n v="659"/>
    <n v="29734.749620637329"/>
    <n v="55"/>
  </r>
  <r>
    <s v="ORD0543"/>
    <x v="542"/>
    <x v="2"/>
    <x v="2"/>
    <x v="2"/>
    <x v="0"/>
    <x v="2"/>
    <x v="2"/>
    <x v="2"/>
    <s v="Consumer"/>
    <x v="0"/>
    <s v="Accessories"/>
    <x v="2"/>
    <n v="31300"/>
    <x v="1"/>
    <n v="0.05"/>
    <n v="5900"/>
    <x v="2"/>
    <s v="Standard"/>
    <s v="Delivered"/>
    <n v="4"/>
    <s v="April"/>
    <x v="542"/>
    <n v="658"/>
    <n v="29759.574468085106"/>
    <n v="55"/>
  </r>
  <r>
    <s v="ORD0544"/>
    <x v="543"/>
    <x v="3"/>
    <x v="3"/>
    <x v="3"/>
    <x v="1"/>
    <x v="3"/>
    <x v="0"/>
    <x v="0"/>
    <s v="Consumer"/>
    <x v="2"/>
    <s v="Paper"/>
    <x v="7"/>
    <n v="910"/>
    <x v="6"/>
    <n v="0.02"/>
    <n v="270"/>
    <x v="0"/>
    <s v="Standard"/>
    <s v="Delivered"/>
    <n v="5"/>
    <s v="May"/>
    <x v="543"/>
    <n v="657"/>
    <n v="29757.229832572299"/>
    <n v="55"/>
  </r>
  <r>
    <s v="ORD0545"/>
    <x v="544"/>
    <x v="4"/>
    <x v="4"/>
    <x v="4"/>
    <x v="0"/>
    <x v="4"/>
    <x v="3"/>
    <x v="0"/>
    <s v="Corporate"/>
    <x v="1"/>
    <s v="Tables"/>
    <x v="4"/>
    <n v="31800"/>
    <x v="1"/>
    <n v="0.08"/>
    <n v="5460"/>
    <x v="1"/>
    <s v="Express"/>
    <s v="Delivered"/>
    <n v="4"/>
    <s v="May"/>
    <x v="544"/>
    <n v="656"/>
    <n v="29801.204268292684"/>
    <n v="55"/>
  </r>
  <r>
    <s v="ORD0546"/>
    <x v="545"/>
    <x v="5"/>
    <x v="5"/>
    <x v="5"/>
    <x v="1"/>
    <x v="5"/>
    <x v="4"/>
    <x v="1"/>
    <s v="Consumer"/>
    <x v="0"/>
    <s v="Accessories"/>
    <x v="5"/>
    <n v="4750"/>
    <x v="3"/>
    <n v="0.05"/>
    <n v="1230"/>
    <x v="0"/>
    <s v="Standard"/>
    <s v="Delivered"/>
    <n v="4"/>
    <s v="May"/>
    <x v="545"/>
    <n v="655"/>
    <n v="29798.152671755724"/>
    <n v="55"/>
  </r>
  <r>
    <s v="ORD0547"/>
    <x v="546"/>
    <x v="6"/>
    <x v="0"/>
    <x v="6"/>
    <x v="0"/>
    <x v="6"/>
    <x v="0"/>
    <x v="0"/>
    <s v="Consumer"/>
    <x v="0"/>
    <s v="Accessories"/>
    <x v="6"/>
    <n v="4050"/>
    <x v="10"/>
    <n v="0"/>
    <n v="1210"/>
    <x v="3"/>
    <s v="Standard"/>
    <s v="Delivered"/>
    <n v="3"/>
    <s v="May"/>
    <x v="546"/>
    <n v="654"/>
    <n v="29836.45259938838"/>
    <n v="55"/>
  </r>
  <r>
    <s v="ORD0548"/>
    <x v="547"/>
    <x v="7"/>
    <x v="6"/>
    <x v="7"/>
    <x v="1"/>
    <x v="7"/>
    <x v="5"/>
    <x v="2"/>
    <s v="Corporate"/>
    <x v="2"/>
    <s v="Paper"/>
    <x v="3"/>
    <n v="7600"/>
    <x v="2"/>
    <n v="0.02"/>
    <n v="1880"/>
    <x v="0"/>
    <s v="Standard"/>
    <s v="Delivered"/>
    <n v="5"/>
    <s v="June"/>
    <x v="547"/>
    <n v="653"/>
    <n v="29875.941807044412"/>
    <n v="55"/>
  </r>
  <r>
    <s v="ORD0549"/>
    <x v="548"/>
    <x v="8"/>
    <x v="1"/>
    <x v="8"/>
    <x v="0"/>
    <x v="8"/>
    <x v="6"/>
    <x v="3"/>
    <s v="Corporate"/>
    <x v="1"/>
    <s v="Storage"/>
    <x v="8"/>
    <n v="21000"/>
    <x v="0"/>
    <n v="0.1"/>
    <n v="3740"/>
    <x v="1"/>
    <s v="Express"/>
    <s v="Delivered"/>
    <n v="4"/>
    <s v="June"/>
    <x v="548"/>
    <n v="652"/>
    <n v="29910.10736196319"/>
    <n v="55"/>
  </r>
  <r>
    <s v="ORD0550"/>
    <x v="549"/>
    <x v="9"/>
    <x v="4"/>
    <x v="9"/>
    <x v="1"/>
    <x v="0"/>
    <x v="0"/>
    <x v="0"/>
    <s v="Consumer"/>
    <x v="0"/>
    <s v="Printers"/>
    <x v="9"/>
    <n v="23200"/>
    <x v="1"/>
    <n v="0.05"/>
    <n v="4500"/>
    <x v="0"/>
    <s v="Standard"/>
    <s v="Delivered"/>
    <n v="4"/>
    <s v="June"/>
    <x v="549"/>
    <n v="651"/>
    <n v="29923.79416282642"/>
    <n v="55"/>
  </r>
  <r>
    <s v="ORD0551"/>
    <x v="550"/>
    <x v="10"/>
    <x v="7"/>
    <x v="10"/>
    <x v="0"/>
    <x v="9"/>
    <x v="7"/>
    <x v="1"/>
    <s v="Consumer"/>
    <x v="2"/>
    <s v="Accessories"/>
    <x v="10"/>
    <n v="1320"/>
    <x v="11"/>
    <n v="0"/>
    <n v="410"/>
    <x v="2"/>
    <s v="Standard"/>
    <s v="Delivered"/>
    <n v="5"/>
    <s v="June"/>
    <x v="550"/>
    <n v="650"/>
    <n v="29934.138461538463"/>
    <n v="55"/>
  </r>
  <r>
    <s v="ORD0552"/>
    <x v="551"/>
    <x v="11"/>
    <x v="3"/>
    <x v="11"/>
    <x v="1"/>
    <x v="2"/>
    <x v="2"/>
    <x v="2"/>
    <s v="Corporate"/>
    <x v="1"/>
    <s v="Tables"/>
    <x v="11"/>
    <n v="34400"/>
    <x v="0"/>
    <n v="0.08"/>
    <n v="7100"/>
    <x v="1"/>
    <s v="Express"/>
    <s v="Delivered"/>
    <n v="4"/>
    <s v="June"/>
    <x v="551"/>
    <n v="649"/>
    <n v="29978.228043143299"/>
    <n v="55"/>
  </r>
  <r>
    <s v="ORD0553"/>
    <x v="552"/>
    <x v="12"/>
    <x v="0"/>
    <x v="12"/>
    <x v="0"/>
    <x v="3"/>
    <x v="0"/>
    <x v="0"/>
    <s v="Consumer"/>
    <x v="0"/>
    <s v="Computers"/>
    <x v="0"/>
    <n v="95000"/>
    <x v="0"/>
    <n v="0.1"/>
    <n v="11000"/>
    <x v="0"/>
    <s v="Express"/>
    <s v="Delivered"/>
    <n v="5"/>
    <s v="July"/>
    <x v="552"/>
    <n v="648"/>
    <n v="29971.404320987655"/>
    <n v="55"/>
  </r>
  <r>
    <s v="ORD0554"/>
    <x v="553"/>
    <x v="13"/>
    <x v="1"/>
    <x v="13"/>
    <x v="1"/>
    <x v="4"/>
    <x v="3"/>
    <x v="0"/>
    <s v="Consumer"/>
    <x v="2"/>
    <s v="Storage"/>
    <x v="12"/>
    <n v="1720"/>
    <x v="5"/>
    <n v="0.05"/>
    <n v="540"/>
    <x v="3"/>
    <s v="Standard"/>
    <s v="Delivered"/>
    <n v="4"/>
    <s v="July"/>
    <x v="553"/>
    <n v="647"/>
    <n v="29870.896445131377"/>
    <n v="55"/>
  </r>
  <r>
    <s v="ORD0555"/>
    <x v="554"/>
    <x v="14"/>
    <x v="8"/>
    <x v="14"/>
    <x v="0"/>
    <x v="5"/>
    <x v="4"/>
    <x v="1"/>
    <s v="Corporate"/>
    <x v="1"/>
    <s v="Chairs"/>
    <x v="1"/>
    <n v="16400"/>
    <x v="9"/>
    <n v="7.0000000000000007E-2"/>
    <n v="3700"/>
    <x v="1"/>
    <s v="Standard"/>
    <s v="Delivered"/>
    <n v="4"/>
    <s v="July"/>
    <x v="554"/>
    <n v="646"/>
    <n v="29914.473684210527"/>
    <n v="55"/>
  </r>
  <r>
    <s v="ORD0556"/>
    <x v="555"/>
    <x v="15"/>
    <x v="6"/>
    <x v="15"/>
    <x v="1"/>
    <x v="1"/>
    <x v="1"/>
    <x v="1"/>
    <s v="Consumer"/>
    <x v="0"/>
    <s v="Accessories"/>
    <x v="2"/>
    <n v="34100"/>
    <x v="1"/>
    <n v="0.05"/>
    <n v="6500"/>
    <x v="0"/>
    <s v="Express"/>
    <s v="Delivered"/>
    <n v="5"/>
    <s v="July"/>
    <x v="555"/>
    <n v="645"/>
    <n v="29935.426356589149"/>
    <n v="55"/>
  </r>
  <r>
    <s v="ORD0557"/>
    <x v="556"/>
    <x v="16"/>
    <x v="5"/>
    <x v="16"/>
    <x v="0"/>
    <x v="7"/>
    <x v="5"/>
    <x v="2"/>
    <s v="Corporate"/>
    <x v="2"/>
    <s v="Paper"/>
    <x v="3"/>
    <n v="7700"/>
    <x v="2"/>
    <n v="0.03"/>
    <n v="1910"/>
    <x v="2"/>
    <s v="Standard"/>
    <s v="Delivered"/>
    <n v="4"/>
    <s v="August"/>
    <x v="556"/>
    <n v="644"/>
    <n v="29928.959627329194"/>
    <n v="55"/>
  </r>
  <r>
    <s v="ORD0558"/>
    <x v="557"/>
    <x v="17"/>
    <x v="0"/>
    <x v="17"/>
    <x v="1"/>
    <x v="0"/>
    <x v="0"/>
    <x v="0"/>
    <s v="Consumer"/>
    <x v="1"/>
    <s v="Tables"/>
    <x v="4"/>
    <n v="31400"/>
    <x v="1"/>
    <n v="0.1"/>
    <n v="5040"/>
    <x v="0"/>
    <s v="Express"/>
    <s v="Delivered"/>
    <n v="5"/>
    <s v="August"/>
    <x v="557"/>
    <n v="643"/>
    <n v="29963.530326594089"/>
    <n v="55"/>
  </r>
  <r>
    <s v="ORD0559"/>
    <x v="558"/>
    <x v="18"/>
    <x v="2"/>
    <x v="18"/>
    <x v="0"/>
    <x v="9"/>
    <x v="7"/>
    <x v="1"/>
    <s v="Corporate"/>
    <x v="0"/>
    <s v="Accessories"/>
    <x v="5"/>
    <n v="5150"/>
    <x v="9"/>
    <n v="0.05"/>
    <n v="1320"/>
    <x v="1"/>
    <s v="Standard"/>
    <s v="Delivered"/>
    <n v="3"/>
    <s v="August"/>
    <x v="558"/>
    <n v="642"/>
    <n v="29961.292834890966"/>
    <n v="55"/>
  </r>
  <r>
    <s v="ORD0560"/>
    <x v="559"/>
    <x v="19"/>
    <x v="7"/>
    <x v="19"/>
    <x v="1"/>
    <x v="6"/>
    <x v="0"/>
    <x v="0"/>
    <s v="Consumer"/>
    <x v="0"/>
    <s v="Accessories"/>
    <x v="6"/>
    <n v="4100"/>
    <x v="12"/>
    <n v="0"/>
    <n v="1230"/>
    <x v="0"/>
    <s v="Standard"/>
    <s v="Delivered"/>
    <n v="4"/>
    <s v="August"/>
    <x v="559"/>
    <n v="641"/>
    <n v="30000"/>
    <n v="55"/>
  </r>
  <r>
    <s v="ORD0561"/>
    <x v="560"/>
    <x v="0"/>
    <x v="0"/>
    <x v="0"/>
    <x v="0"/>
    <x v="0"/>
    <x v="0"/>
    <x v="0"/>
    <s v="Consumer"/>
    <x v="0"/>
    <s v="Computers"/>
    <x v="0"/>
    <n v="91000"/>
    <x v="0"/>
    <n v="0.05"/>
    <n v="12100"/>
    <x v="0"/>
    <s v="Express"/>
    <s v="Delivered"/>
    <n v="5"/>
    <s v="August"/>
    <x v="560"/>
    <n v="640"/>
    <n v="30040.46875"/>
    <n v="55"/>
  </r>
  <r>
    <s v="ORD0562"/>
    <x v="561"/>
    <x v="1"/>
    <x v="1"/>
    <x v="1"/>
    <x v="1"/>
    <x v="1"/>
    <x v="1"/>
    <x v="1"/>
    <s v="Corporate"/>
    <x v="1"/>
    <s v="Chairs"/>
    <x v="1"/>
    <n v="13700"/>
    <x v="3"/>
    <n v="0.1"/>
    <n v="3180"/>
    <x v="1"/>
    <s v="Standard"/>
    <s v="Delivered"/>
    <n v="4"/>
    <s v="September"/>
    <x v="561"/>
    <n v="639"/>
    <n v="29945.070422535213"/>
    <n v="55"/>
  </r>
  <r>
    <s v="ORD0563"/>
    <x v="562"/>
    <x v="2"/>
    <x v="2"/>
    <x v="2"/>
    <x v="0"/>
    <x v="2"/>
    <x v="2"/>
    <x v="2"/>
    <s v="Consumer"/>
    <x v="0"/>
    <s v="Accessories"/>
    <x v="2"/>
    <n v="32000"/>
    <x v="1"/>
    <n v="0.05"/>
    <n v="6050"/>
    <x v="2"/>
    <s v="Standard"/>
    <s v="Delivered"/>
    <n v="4"/>
    <s v="September"/>
    <x v="562"/>
    <n v="638"/>
    <n v="29970.532915360502"/>
    <n v="55"/>
  </r>
  <r>
    <s v="ORD0564"/>
    <x v="563"/>
    <x v="3"/>
    <x v="3"/>
    <x v="3"/>
    <x v="1"/>
    <x v="3"/>
    <x v="0"/>
    <x v="0"/>
    <s v="Consumer"/>
    <x v="2"/>
    <s v="Paper"/>
    <x v="7"/>
    <n v="930"/>
    <x v="6"/>
    <n v="0.02"/>
    <n v="275"/>
    <x v="0"/>
    <s v="Standard"/>
    <s v="Delivered"/>
    <n v="5"/>
    <s v="September"/>
    <x v="563"/>
    <n v="637"/>
    <n v="29967.34693877551"/>
    <n v="55"/>
  </r>
  <r>
    <s v="ORD0565"/>
    <x v="564"/>
    <x v="4"/>
    <x v="4"/>
    <x v="4"/>
    <x v="0"/>
    <x v="4"/>
    <x v="3"/>
    <x v="0"/>
    <s v="Corporate"/>
    <x v="1"/>
    <s v="Tables"/>
    <x v="4"/>
    <n v="32600"/>
    <x v="1"/>
    <n v="0.08"/>
    <n v="5600"/>
    <x v="1"/>
    <s v="Express"/>
    <s v="Delivered"/>
    <n v="4"/>
    <s v="September"/>
    <x v="564"/>
    <n v="636"/>
    <n v="30013.003144654089"/>
    <n v="55"/>
  </r>
  <r>
    <s v="ORD0566"/>
    <x v="565"/>
    <x v="5"/>
    <x v="5"/>
    <x v="5"/>
    <x v="1"/>
    <x v="5"/>
    <x v="4"/>
    <x v="1"/>
    <s v="Consumer"/>
    <x v="0"/>
    <s v="Accessories"/>
    <x v="5"/>
    <n v="4850"/>
    <x v="3"/>
    <n v="0.05"/>
    <n v="1260"/>
    <x v="0"/>
    <s v="Standard"/>
    <s v="Delivered"/>
    <n v="4"/>
    <s v="October"/>
    <x v="565"/>
    <n v="635"/>
    <n v="30008.929133858266"/>
    <n v="55"/>
  </r>
  <r>
    <s v="ORD0567"/>
    <x v="566"/>
    <x v="6"/>
    <x v="0"/>
    <x v="6"/>
    <x v="0"/>
    <x v="6"/>
    <x v="0"/>
    <x v="0"/>
    <s v="Consumer"/>
    <x v="0"/>
    <s v="Accessories"/>
    <x v="6"/>
    <n v="4200"/>
    <x v="10"/>
    <n v="0"/>
    <n v="1260"/>
    <x v="3"/>
    <s v="Standard"/>
    <s v="Delivered"/>
    <n v="3"/>
    <s v="October"/>
    <x v="566"/>
    <n v="634"/>
    <n v="30048.611987381704"/>
    <n v="55"/>
  </r>
  <r>
    <s v="ORD0568"/>
    <x v="567"/>
    <x v="7"/>
    <x v="6"/>
    <x v="7"/>
    <x v="1"/>
    <x v="7"/>
    <x v="5"/>
    <x v="2"/>
    <s v="Corporate"/>
    <x v="2"/>
    <s v="Paper"/>
    <x v="3"/>
    <n v="7800"/>
    <x v="2"/>
    <n v="0.02"/>
    <n v="1930"/>
    <x v="0"/>
    <s v="Standard"/>
    <s v="Delivered"/>
    <n v="5"/>
    <s v="October"/>
    <x v="567"/>
    <n v="633"/>
    <n v="30089.447077409164"/>
    <n v="55"/>
  </r>
  <r>
    <s v="ORD0569"/>
    <x v="568"/>
    <x v="8"/>
    <x v="1"/>
    <x v="8"/>
    <x v="0"/>
    <x v="8"/>
    <x v="6"/>
    <x v="3"/>
    <s v="Corporate"/>
    <x v="1"/>
    <s v="Storage"/>
    <x v="8"/>
    <n v="21400"/>
    <x v="0"/>
    <n v="0.1"/>
    <n v="3820"/>
    <x v="1"/>
    <s v="Express"/>
    <s v="Delivered"/>
    <n v="4"/>
    <s v="October"/>
    <x v="568"/>
    <n v="632"/>
    <n v="30124.715189873419"/>
    <n v="55"/>
  </r>
  <r>
    <s v="ORD0570"/>
    <x v="569"/>
    <x v="9"/>
    <x v="4"/>
    <x v="9"/>
    <x v="1"/>
    <x v="0"/>
    <x v="0"/>
    <x v="0"/>
    <s v="Consumer"/>
    <x v="0"/>
    <s v="Printers"/>
    <x v="9"/>
    <n v="23600"/>
    <x v="1"/>
    <n v="0.05"/>
    <n v="4580"/>
    <x v="0"/>
    <s v="Standard"/>
    <s v="Delivered"/>
    <n v="4"/>
    <s v="November"/>
    <x v="569"/>
    <n v="631"/>
    <n v="30138.541996830427"/>
    <n v="55"/>
  </r>
  <r>
    <s v="ORD0571"/>
    <x v="570"/>
    <x v="10"/>
    <x v="7"/>
    <x v="10"/>
    <x v="0"/>
    <x v="9"/>
    <x v="7"/>
    <x v="1"/>
    <s v="Consumer"/>
    <x v="2"/>
    <s v="Accessories"/>
    <x v="10"/>
    <n v="1350"/>
    <x v="11"/>
    <n v="0"/>
    <n v="420"/>
    <x v="2"/>
    <s v="Standard"/>
    <s v="Delivered"/>
    <n v="5"/>
    <s v="November"/>
    <x v="570"/>
    <n v="630"/>
    <n v="30148.920634920636"/>
    <n v="55"/>
  </r>
  <r>
    <s v="ORD0572"/>
    <x v="571"/>
    <x v="11"/>
    <x v="3"/>
    <x v="11"/>
    <x v="1"/>
    <x v="2"/>
    <x v="2"/>
    <x v="2"/>
    <s v="Corporate"/>
    <x v="1"/>
    <s v="Tables"/>
    <x v="11"/>
    <n v="35000"/>
    <x v="0"/>
    <n v="0.08"/>
    <n v="7250"/>
    <x v="1"/>
    <s v="Express"/>
    <s v="Delivered"/>
    <n v="4"/>
    <s v="November"/>
    <x v="571"/>
    <n v="629"/>
    <n v="30194.705882352941"/>
    <n v="55"/>
  </r>
  <r>
    <s v="ORD0573"/>
    <x v="572"/>
    <x v="12"/>
    <x v="0"/>
    <x v="12"/>
    <x v="0"/>
    <x v="3"/>
    <x v="0"/>
    <x v="0"/>
    <s v="Consumer"/>
    <x v="0"/>
    <s v="Computers"/>
    <x v="0"/>
    <n v="96500"/>
    <x v="0"/>
    <n v="0.1"/>
    <n v="11200"/>
    <x v="0"/>
    <s v="Express"/>
    <s v="Delivered"/>
    <n v="5"/>
    <s v="November"/>
    <x v="572"/>
    <n v="628"/>
    <n v="30187.054140127388"/>
    <n v="55"/>
  </r>
  <r>
    <s v="ORD0574"/>
    <x v="573"/>
    <x v="13"/>
    <x v="1"/>
    <x v="13"/>
    <x v="1"/>
    <x v="4"/>
    <x v="3"/>
    <x v="0"/>
    <s v="Consumer"/>
    <x v="2"/>
    <s v="Storage"/>
    <x v="12"/>
    <n v="1760"/>
    <x v="5"/>
    <n v="0.05"/>
    <n v="555"/>
    <x v="3"/>
    <s v="Standard"/>
    <s v="Delivered"/>
    <n v="4"/>
    <s v="November"/>
    <x v="573"/>
    <n v="627"/>
    <n v="30081.291866028707"/>
    <n v="55"/>
  </r>
  <r>
    <s v="ORD0575"/>
    <x v="574"/>
    <x v="14"/>
    <x v="8"/>
    <x v="14"/>
    <x v="0"/>
    <x v="5"/>
    <x v="4"/>
    <x v="1"/>
    <s v="Corporate"/>
    <x v="1"/>
    <s v="Chairs"/>
    <x v="1"/>
    <n v="16800"/>
    <x v="9"/>
    <n v="7.0000000000000007E-2"/>
    <n v="3800"/>
    <x v="1"/>
    <s v="Standard"/>
    <s v="Delivered"/>
    <n v="4"/>
    <s v="December"/>
    <x v="574"/>
    <n v="626"/>
    <n v="30126.533546325878"/>
    <n v="55"/>
  </r>
  <r>
    <s v="ORD0576"/>
    <x v="575"/>
    <x v="15"/>
    <x v="6"/>
    <x v="15"/>
    <x v="1"/>
    <x v="1"/>
    <x v="1"/>
    <x v="1"/>
    <s v="Consumer"/>
    <x v="0"/>
    <s v="Accessories"/>
    <x v="2"/>
    <n v="34800"/>
    <x v="1"/>
    <n v="0.05"/>
    <n v="6650"/>
    <x v="0"/>
    <s v="Express"/>
    <s v="Delivered"/>
    <n v="5"/>
    <s v="December"/>
    <x v="575"/>
    <n v="625"/>
    <n v="30147.856"/>
    <n v="55"/>
  </r>
  <r>
    <s v="ORD0577"/>
    <x v="576"/>
    <x v="16"/>
    <x v="5"/>
    <x v="16"/>
    <x v="0"/>
    <x v="7"/>
    <x v="5"/>
    <x v="2"/>
    <s v="Corporate"/>
    <x v="2"/>
    <s v="Paper"/>
    <x v="3"/>
    <n v="7900"/>
    <x v="2"/>
    <n v="0.03"/>
    <n v="1960"/>
    <x v="2"/>
    <s v="Standard"/>
    <s v="Delivered"/>
    <n v="4"/>
    <s v="December"/>
    <x v="576"/>
    <n v="624"/>
    <n v="30140.400641025641"/>
    <n v="55"/>
  </r>
  <r>
    <s v="ORD0578"/>
    <x v="577"/>
    <x v="17"/>
    <x v="0"/>
    <x v="17"/>
    <x v="1"/>
    <x v="0"/>
    <x v="0"/>
    <x v="0"/>
    <s v="Consumer"/>
    <x v="1"/>
    <s v="Tables"/>
    <x v="4"/>
    <n v="32100"/>
    <x v="1"/>
    <n v="0.1"/>
    <n v="5160"/>
    <x v="0"/>
    <s v="Express"/>
    <s v="Delivered"/>
    <n v="5"/>
    <s v="December"/>
    <x v="577"/>
    <n v="623"/>
    <n v="30176.099518459068"/>
    <n v="55"/>
  </r>
  <r>
    <s v="ORD0579"/>
    <x v="578"/>
    <x v="18"/>
    <x v="2"/>
    <x v="18"/>
    <x v="0"/>
    <x v="9"/>
    <x v="7"/>
    <x v="1"/>
    <s v="Corporate"/>
    <x v="0"/>
    <s v="Accessories"/>
    <x v="5"/>
    <n v="5250"/>
    <x v="9"/>
    <n v="0.05"/>
    <n v="1350"/>
    <x v="1"/>
    <s v="Standard"/>
    <s v="Delivered"/>
    <n v="3"/>
    <s v="January"/>
    <x v="578"/>
    <n v="622"/>
    <n v="30173.006430868169"/>
    <n v="55"/>
  </r>
  <r>
    <s v="ORD0580"/>
    <x v="579"/>
    <x v="19"/>
    <x v="7"/>
    <x v="19"/>
    <x v="1"/>
    <x v="6"/>
    <x v="0"/>
    <x v="0"/>
    <s v="Consumer"/>
    <x v="0"/>
    <s v="Accessories"/>
    <x v="6"/>
    <n v="4250"/>
    <x v="12"/>
    <n v="0"/>
    <n v="1280"/>
    <x v="0"/>
    <s v="Standard"/>
    <s v="Delivered"/>
    <n v="4"/>
    <s v="January"/>
    <x v="579"/>
    <n v="621"/>
    <n v="30213.140096618357"/>
    <n v="55"/>
  </r>
  <r>
    <s v="ORD0581"/>
    <x v="580"/>
    <x v="0"/>
    <x v="0"/>
    <x v="0"/>
    <x v="0"/>
    <x v="0"/>
    <x v="0"/>
    <x v="0"/>
    <s v="Consumer"/>
    <x v="0"/>
    <s v="Computers"/>
    <x v="0"/>
    <n v="92500"/>
    <x v="0"/>
    <n v="0.05"/>
    <n v="12300"/>
    <x v="0"/>
    <s v="Express"/>
    <s v="Delivered"/>
    <n v="5"/>
    <s v="January"/>
    <x v="580"/>
    <n v="620"/>
    <n v="30255.016129032258"/>
    <n v="55"/>
  </r>
  <r>
    <s v="ORD0582"/>
    <x v="581"/>
    <x v="1"/>
    <x v="1"/>
    <x v="1"/>
    <x v="1"/>
    <x v="1"/>
    <x v="1"/>
    <x v="1"/>
    <s v="Corporate"/>
    <x v="1"/>
    <s v="Chairs"/>
    <x v="1"/>
    <n v="14000"/>
    <x v="3"/>
    <n v="0.1"/>
    <n v="3250"/>
    <x v="1"/>
    <s v="Standard"/>
    <s v="Delivered"/>
    <n v="4"/>
    <s v="January"/>
    <x v="581"/>
    <n v="619"/>
    <n v="30154.458804523423"/>
    <n v="55"/>
  </r>
  <r>
    <s v="ORD0583"/>
    <x v="582"/>
    <x v="2"/>
    <x v="2"/>
    <x v="2"/>
    <x v="0"/>
    <x v="2"/>
    <x v="2"/>
    <x v="2"/>
    <s v="Consumer"/>
    <x v="0"/>
    <s v="Accessories"/>
    <x v="2"/>
    <n v="32700"/>
    <x v="1"/>
    <n v="0.05"/>
    <n v="6200"/>
    <x v="2"/>
    <s v="Standard"/>
    <s v="Delivered"/>
    <n v="4"/>
    <s v="February"/>
    <x v="582"/>
    <n v="618"/>
    <n v="30180.598705501619"/>
    <n v="55"/>
  </r>
  <r>
    <s v="ORD0584"/>
    <x v="583"/>
    <x v="3"/>
    <x v="3"/>
    <x v="3"/>
    <x v="1"/>
    <x v="3"/>
    <x v="0"/>
    <x v="0"/>
    <s v="Consumer"/>
    <x v="2"/>
    <s v="Paper"/>
    <x v="7"/>
    <n v="950"/>
    <x v="6"/>
    <n v="0.02"/>
    <n v="280"/>
    <x v="0"/>
    <s v="Standard"/>
    <s v="Delivered"/>
    <n v="5"/>
    <s v="February"/>
    <x v="583"/>
    <n v="617"/>
    <n v="30176.515397082658"/>
    <n v="55"/>
  </r>
  <r>
    <s v="ORD0585"/>
    <x v="584"/>
    <x v="4"/>
    <x v="4"/>
    <x v="4"/>
    <x v="0"/>
    <x v="4"/>
    <x v="3"/>
    <x v="0"/>
    <s v="Corporate"/>
    <x v="1"/>
    <s v="Tables"/>
    <x v="4"/>
    <n v="33400"/>
    <x v="1"/>
    <n v="0.08"/>
    <n v="5740"/>
    <x v="1"/>
    <s v="Express"/>
    <s v="Delivered"/>
    <n v="4"/>
    <s v="February"/>
    <x v="584"/>
    <n v="616"/>
    <n v="30223.961038961039"/>
    <n v="55"/>
  </r>
  <r>
    <s v="ORD0586"/>
    <x v="585"/>
    <x v="5"/>
    <x v="5"/>
    <x v="5"/>
    <x v="1"/>
    <x v="5"/>
    <x v="4"/>
    <x v="1"/>
    <s v="Consumer"/>
    <x v="0"/>
    <s v="Accessories"/>
    <x v="5"/>
    <n v="4950"/>
    <x v="3"/>
    <n v="0.05"/>
    <n v="1290"/>
    <x v="0"/>
    <s v="Standard"/>
    <s v="Delivered"/>
    <n v="4"/>
    <s v="February"/>
    <x v="585"/>
    <n v="615"/>
    <n v="30218.796747967481"/>
    <n v="55"/>
  </r>
  <r>
    <s v="ORD0587"/>
    <x v="586"/>
    <x v="6"/>
    <x v="0"/>
    <x v="6"/>
    <x v="0"/>
    <x v="6"/>
    <x v="0"/>
    <x v="0"/>
    <s v="Consumer"/>
    <x v="0"/>
    <s v="Accessories"/>
    <x v="6"/>
    <n v="4300"/>
    <x v="10"/>
    <n v="0"/>
    <n v="1290"/>
    <x v="3"/>
    <s v="Standard"/>
    <s v="Delivered"/>
    <n v="3"/>
    <s v="February"/>
    <x v="586"/>
    <n v="614"/>
    <n v="30259.951140065146"/>
    <n v="55"/>
  </r>
  <r>
    <s v="ORD0588"/>
    <x v="587"/>
    <x v="7"/>
    <x v="6"/>
    <x v="7"/>
    <x v="1"/>
    <x v="7"/>
    <x v="5"/>
    <x v="2"/>
    <s v="Corporate"/>
    <x v="2"/>
    <s v="Paper"/>
    <x v="3"/>
    <n v="8000"/>
    <x v="2"/>
    <n v="0.02"/>
    <n v="1980"/>
    <x v="0"/>
    <s v="Standard"/>
    <s v="Delivered"/>
    <n v="5"/>
    <s v="March"/>
    <x v="587"/>
    <n v="613"/>
    <n v="30302.300163132139"/>
    <n v="55"/>
  </r>
  <r>
    <s v="ORD0589"/>
    <x v="588"/>
    <x v="8"/>
    <x v="1"/>
    <x v="8"/>
    <x v="0"/>
    <x v="8"/>
    <x v="6"/>
    <x v="3"/>
    <s v="Corporate"/>
    <x v="1"/>
    <s v="Storage"/>
    <x v="8"/>
    <n v="21800"/>
    <x v="0"/>
    <n v="0.1"/>
    <n v="3900"/>
    <x v="1"/>
    <s v="Express"/>
    <s v="Delivered"/>
    <n v="4"/>
    <s v="March"/>
    <x v="588"/>
    <n v="612"/>
    <n v="30338.741830065359"/>
    <n v="55"/>
  </r>
  <r>
    <s v="ORD0590"/>
    <x v="589"/>
    <x v="9"/>
    <x v="4"/>
    <x v="9"/>
    <x v="1"/>
    <x v="0"/>
    <x v="0"/>
    <x v="0"/>
    <s v="Consumer"/>
    <x v="0"/>
    <s v="Printers"/>
    <x v="9"/>
    <n v="24000"/>
    <x v="1"/>
    <n v="0.05"/>
    <n v="4660"/>
    <x v="0"/>
    <s v="Standard"/>
    <s v="Delivered"/>
    <n v="4"/>
    <s v="March"/>
    <x v="589"/>
    <n v="611"/>
    <n v="30352.716857610474"/>
    <n v="55"/>
  </r>
  <r>
    <s v="ORD0591"/>
    <x v="590"/>
    <x v="10"/>
    <x v="7"/>
    <x v="10"/>
    <x v="0"/>
    <x v="9"/>
    <x v="7"/>
    <x v="1"/>
    <s v="Consumer"/>
    <x v="2"/>
    <s v="Accessories"/>
    <x v="10"/>
    <n v="1380"/>
    <x v="11"/>
    <n v="0"/>
    <n v="430"/>
    <x v="2"/>
    <s v="Standard"/>
    <s v="Delivered"/>
    <n v="5"/>
    <s v="March"/>
    <x v="590"/>
    <n v="610"/>
    <n v="30363.131147540982"/>
    <n v="55"/>
  </r>
  <r>
    <s v="ORD0592"/>
    <x v="591"/>
    <x v="11"/>
    <x v="3"/>
    <x v="11"/>
    <x v="1"/>
    <x v="2"/>
    <x v="2"/>
    <x v="2"/>
    <s v="Corporate"/>
    <x v="1"/>
    <s v="Tables"/>
    <x v="11"/>
    <n v="35600"/>
    <x v="0"/>
    <n v="0.08"/>
    <n v="7400"/>
    <x v="1"/>
    <s v="Express"/>
    <s v="Delivered"/>
    <n v="4"/>
    <s v="April"/>
    <x v="591"/>
    <n v="609"/>
    <n v="30410.722495894908"/>
    <n v="55"/>
  </r>
  <r>
    <s v="ORD0593"/>
    <x v="592"/>
    <x v="12"/>
    <x v="0"/>
    <x v="12"/>
    <x v="0"/>
    <x v="3"/>
    <x v="0"/>
    <x v="0"/>
    <s v="Consumer"/>
    <x v="0"/>
    <s v="Computers"/>
    <x v="0"/>
    <n v="98000"/>
    <x v="0"/>
    <n v="0.1"/>
    <n v="11400"/>
    <x v="0"/>
    <s v="Express"/>
    <s v="Delivered"/>
    <n v="5"/>
    <s v="April"/>
    <x v="592"/>
    <n v="608"/>
    <n v="30402.1875"/>
    <n v="55"/>
  </r>
  <r>
    <s v="ORD0594"/>
    <x v="593"/>
    <x v="13"/>
    <x v="1"/>
    <x v="13"/>
    <x v="1"/>
    <x v="4"/>
    <x v="3"/>
    <x v="0"/>
    <s v="Consumer"/>
    <x v="2"/>
    <s v="Storage"/>
    <x v="12"/>
    <n v="1800"/>
    <x v="5"/>
    <n v="0.05"/>
    <n v="570"/>
    <x v="3"/>
    <s v="Standard"/>
    <s v="Delivered"/>
    <n v="4"/>
    <s v="April"/>
    <x v="593"/>
    <n v="607"/>
    <n v="30290.823723228994"/>
    <n v="55"/>
  </r>
  <r>
    <s v="ORD0595"/>
    <x v="594"/>
    <x v="14"/>
    <x v="8"/>
    <x v="14"/>
    <x v="0"/>
    <x v="5"/>
    <x v="4"/>
    <x v="1"/>
    <s v="Corporate"/>
    <x v="1"/>
    <s v="Chairs"/>
    <x v="1"/>
    <n v="17200"/>
    <x v="9"/>
    <n v="7.0000000000000007E-2"/>
    <n v="3900"/>
    <x v="1"/>
    <s v="Standard"/>
    <s v="Delivered"/>
    <n v="4"/>
    <s v="April"/>
    <x v="594"/>
    <n v="606"/>
    <n v="30337.838283828383"/>
    <n v="55"/>
  </r>
  <r>
    <s v="ORD0596"/>
    <x v="595"/>
    <x v="15"/>
    <x v="6"/>
    <x v="15"/>
    <x v="1"/>
    <x v="1"/>
    <x v="1"/>
    <x v="1"/>
    <s v="Consumer"/>
    <x v="0"/>
    <s v="Accessories"/>
    <x v="2"/>
    <n v="35500"/>
    <x v="1"/>
    <n v="0.05"/>
    <n v="6800"/>
    <x v="0"/>
    <s v="Express"/>
    <s v="Delivered"/>
    <n v="5"/>
    <s v="May"/>
    <x v="595"/>
    <n v="605"/>
    <n v="30359.553719008265"/>
    <n v="55"/>
  </r>
  <r>
    <s v="ORD0597"/>
    <x v="596"/>
    <x v="16"/>
    <x v="5"/>
    <x v="16"/>
    <x v="0"/>
    <x v="7"/>
    <x v="5"/>
    <x v="2"/>
    <s v="Corporate"/>
    <x v="2"/>
    <s v="Paper"/>
    <x v="3"/>
    <n v="8100"/>
    <x v="2"/>
    <n v="0.03"/>
    <n v="2010"/>
    <x v="2"/>
    <s v="Standard"/>
    <s v="Delivered"/>
    <n v="4"/>
    <s v="May"/>
    <x v="596"/>
    <n v="604"/>
    <n v="30351.043046357616"/>
    <n v="55"/>
  </r>
  <r>
    <s v="ORD0598"/>
    <x v="597"/>
    <x v="17"/>
    <x v="0"/>
    <x v="17"/>
    <x v="1"/>
    <x v="0"/>
    <x v="0"/>
    <x v="0"/>
    <s v="Consumer"/>
    <x v="1"/>
    <s v="Tables"/>
    <x v="4"/>
    <n v="32800"/>
    <x v="1"/>
    <n v="0.1"/>
    <n v="5280"/>
    <x v="0"/>
    <s v="Express"/>
    <s v="Delivered"/>
    <n v="5"/>
    <s v="May"/>
    <x v="597"/>
    <n v="603"/>
    <n v="30387.943615257049"/>
    <n v="55"/>
  </r>
  <r>
    <s v="ORD0599"/>
    <x v="598"/>
    <x v="18"/>
    <x v="2"/>
    <x v="18"/>
    <x v="0"/>
    <x v="9"/>
    <x v="7"/>
    <x v="1"/>
    <s v="Corporate"/>
    <x v="0"/>
    <s v="Accessories"/>
    <x v="5"/>
    <n v="5350"/>
    <x v="9"/>
    <n v="0.05"/>
    <n v="1380"/>
    <x v="1"/>
    <s v="Standard"/>
    <s v="Delivered"/>
    <n v="3"/>
    <s v="May"/>
    <x v="598"/>
    <n v="602"/>
    <n v="30383.936877076412"/>
    <n v="55"/>
  </r>
  <r>
    <s v="ORD0600"/>
    <x v="599"/>
    <x v="19"/>
    <x v="7"/>
    <x v="19"/>
    <x v="1"/>
    <x v="6"/>
    <x v="0"/>
    <x v="0"/>
    <s v="Consumer"/>
    <x v="0"/>
    <s v="Accessories"/>
    <x v="6"/>
    <n v="4400"/>
    <x v="12"/>
    <n v="0"/>
    <n v="1320"/>
    <x v="0"/>
    <s v="Standard"/>
    <s v="Delivered"/>
    <n v="4"/>
    <s v="May"/>
    <x v="599"/>
    <n v="601"/>
    <n v="30425.59068219634"/>
    <n v="55"/>
  </r>
  <r>
    <s v="ORD0601"/>
    <x v="600"/>
    <x v="0"/>
    <x v="0"/>
    <x v="0"/>
    <x v="0"/>
    <x v="0"/>
    <x v="0"/>
    <x v="0"/>
    <s v="Consumer"/>
    <x v="0"/>
    <s v="Computers"/>
    <x v="0"/>
    <n v="94000"/>
    <x v="0"/>
    <n v="0.05"/>
    <n v="12500"/>
    <x v="0"/>
    <s v="Express"/>
    <s v="Delivered"/>
    <n v="5"/>
    <s v="June"/>
    <x v="600"/>
    <n v="600"/>
    <n v="30468.966666666667"/>
    <n v="55"/>
  </r>
  <r>
    <s v="ORD0602"/>
    <x v="601"/>
    <x v="1"/>
    <x v="1"/>
    <x v="1"/>
    <x v="1"/>
    <x v="1"/>
    <x v="1"/>
    <x v="1"/>
    <s v="Corporate"/>
    <x v="1"/>
    <s v="Chairs"/>
    <x v="1"/>
    <n v="14300"/>
    <x v="3"/>
    <n v="0.1"/>
    <n v="3320"/>
    <x v="1"/>
    <s v="Standard"/>
    <s v="Delivered"/>
    <n v="4"/>
    <s v="June"/>
    <x v="601"/>
    <n v="599"/>
    <n v="30362.904841402338"/>
    <n v="55"/>
  </r>
  <r>
    <s v="ORD0603"/>
    <x v="602"/>
    <x v="2"/>
    <x v="2"/>
    <x v="2"/>
    <x v="0"/>
    <x v="2"/>
    <x v="2"/>
    <x v="2"/>
    <s v="Consumer"/>
    <x v="0"/>
    <s v="Accessories"/>
    <x v="2"/>
    <n v="33400"/>
    <x v="1"/>
    <n v="0.05"/>
    <n v="6350"/>
    <x v="2"/>
    <s v="Standard"/>
    <s v="Delivered"/>
    <n v="4"/>
    <s v="June"/>
    <x v="602"/>
    <n v="598"/>
    <n v="30389.765886287627"/>
    <n v="55"/>
  </r>
  <r>
    <s v="ORD0604"/>
    <x v="603"/>
    <x v="3"/>
    <x v="3"/>
    <x v="3"/>
    <x v="1"/>
    <x v="3"/>
    <x v="0"/>
    <x v="0"/>
    <s v="Consumer"/>
    <x v="2"/>
    <s v="Paper"/>
    <x v="7"/>
    <n v="970"/>
    <x v="6"/>
    <n v="0.02"/>
    <n v="285"/>
    <x v="0"/>
    <s v="Standard"/>
    <s v="Delivered"/>
    <n v="5"/>
    <s v="June"/>
    <x v="603"/>
    <n v="597"/>
    <n v="30384.723618090451"/>
    <n v="55"/>
  </r>
  <r>
    <s v="ORD0605"/>
    <x v="604"/>
    <x v="4"/>
    <x v="4"/>
    <x v="4"/>
    <x v="0"/>
    <x v="4"/>
    <x v="3"/>
    <x v="0"/>
    <s v="Corporate"/>
    <x v="1"/>
    <s v="Tables"/>
    <x v="4"/>
    <n v="34200"/>
    <x v="1"/>
    <n v="0.08"/>
    <n v="5880"/>
    <x v="1"/>
    <s v="Express"/>
    <s v="Delivered"/>
    <n v="4"/>
    <s v="July"/>
    <x v="604"/>
    <n v="596"/>
    <n v="30434.077181208053"/>
    <n v="55"/>
  </r>
  <r>
    <s v="ORD0606"/>
    <x v="605"/>
    <x v="5"/>
    <x v="5"/>
    <x v="5"/>
    <x v="1"/>
    <x v="5"/>
    <x v="4"/>
    <x v="1"/>
    <s v="Consumer"/>
    <x v="0"/>
    <s v="Accessories"/>
    <x v="5"/>
    <n v="5050"/>
    <x v="3"/>
    <n v="0.05"/>
    <n v="1320"/>
    <x v="0"/>
    <s v="Standard"/>
    <s v="Delivered"/>
    <n v="4"/>
    <s v="July"/>
    <x v="605"/>
    <n v="595"/>
    <n v="30427.747899159665"/>
    <n v="55"/>
  </r>
  <r>
    <s v="ORD0607"/>
    <x v="606"/>
    <x v="6"/>
    <x v="0"/>
    <x v="6"/>
    <x v="0"/>
    <x v="6"/>
    <x v="0"/>
    <x v="0"/>
    <s v="Consumer"/>
    <x v="0"/>
    <s v="Accessories"/>
    <x v="6"/>
    <n v="4400"/>
    <x v="10"/>
    <n v="0"/>
    <n v="1320"/>
    <x v="3"/>
    <s v="Standard"/>
    <s v="Delivered"/>
    <n v="3"/>
    <s v="July"/>
    <x v="606"/>
    <n v="594"/>
    <n v="30470.471380471379"/>
    <n v="55"/>
  </r>
  <r>
    <s v="ORD0608"/>
    <x v="607"/>
    <x v="7"/>
    <x v="6"/>
    <x v="7"/>
    <x v="1"/>
    <x v="7"/>
    <x v="5"/>
    <x v="2"/>
    <s v="Corporate"/>
    <x v="2"/>
    <s v="Paper"/>
    <x v="3"/>
    <n v="8200"/>
    <x v="2"/>
    <n v="0.02"/>
    <n v="2030"/>
    <x v="0"/>
    <s v="Standard"/>
    <s v="Delivered"/>
    <n v="5"/>
    <s v="July"/>
    <x v="607"/>
    <n v="593"/>
    <n v="30514.435075885329"/>
    <n v="55"/>
  </r>
  <r>
    <s v="ORD0609"/>
    <x v="608"/>
    <x v="8"/>
    <x v="1"/>
    <x v="8"/>
    <x v="0"/>
    <x v="8"/>
    <x v="6"/>
    <x v="3"/>
    <s v="Corporate"/>
    <x v="1"/>
    <s v="Storage"/>
    <x v="8"/>
    <n v="22200"/>
    <x v="0"/>
    <n v="0.1"/>
    <n v="3980"/>
    <x v="1"/>
    <s v="Express"/>
    <s v="Delivered"/>
    <n v="4"/>
    <s v="August"/>
    <x v="608"/>
    <n v="592"/>
    <n v="30552.12837837838"/>
    <n v="55"/>
  </r>
  <r>
    <s v="ORD0610"/>
    <x v="609"/>
    <x v="9"/>
    <x v="4"/>
    <x v="9"/>
    <x v="1"/>
    <x v="0"/>
    <x v="0"/>
    <x v="0"/>
    <s v="Consumer"/>
    <x v="0"/>
    <s v="Printers"/>
    <x v="9"/>
    <n v="24400"/>
    <x v="1"/>
    <n v="0.05"/>
    <n v="4740"/>
    <x v="0"/>
    <s v="Standard"/>
    <s v="Delivered"/>
    <n v="4"/>
    <s v="August"/>
    <x v="609"/>
    <n v="591"/>
    <n v="30566.26057529611"/>
    <n v="55"/>
  </r>
  <r>
    <s v="ORD0611"/>
    <x v="610"/>
    <x v="10"/>
    <x v="7"/>
    <x v="10"/>
    <x v="0"/>
    <x v="9"/>
    <x v="7"/>
    <x v="1"/>
    <s v="Consumer"/>
    <x v="2"/>
    <s v="Accessories"/>
    <x v="10"/>
    <n v="1410"/>
    <x v="11"/>
    <n v="0"/>
    <n v="440"/>
    <x v="2"/>
    <s v="Standard"/>
    <s v="Delivered"/>
    <n v="5"/>
    <s v="August"/>
    <x v="610"/>
    <n v="590"/>
    <n v="30576.711864406781"/>
    <n v="55"/>
  </r>
  <r>
    <s v="ORD0612"/>
    <x v="611"/>
    <x v="11"/>
    <x v="3"/>
    <x v="11"/>
    <x v="1"/>
    <x v="2"/>
    <x v="2"/>
    <x v="2"/>
    <s v="Corporate"/>
    <x v="1"/>
    <s v="Tables"/>
    <x v="11"/>
    <n v="36200"/>
    <x v="0"/>
    <n v="0.08"/>
    <n v="7550"/>
    <x v="1"/>
    <s v="Express"/>
    <s v="Delivered"/>
    <n v="4"/>
    <s v="August"/>
    <x v="611"/>
    <n v="589"/>
    <n v="30626.230899830221"/>
    <n v="55"/>
  </r>
  <r>
    <s v="ORD0613"/>
    <x v="612"/>
    <x v="12"/>
    <x v="0"/>
    <x v="12"/>
    <x v="0"/>
    <x v="3"/>
    <x v="0"/>
    <x v="0"/>
    <s v="Consumer"/>
    <x v="0"/>
    <s v="Computers"/>
    <x v="0"/>
    <n v="99500"/>
    <x v="0"/>
    <n v="0.1"/>
    <n v="11600"/>
    <x v="0"/>
    <s v="Express"/>
    <s v="Delivered"/>
    <n v="5"/>
    <s v="August"/>
    <x v="612"/>
    <n v="588"/>
    <n v="30616.751700680274"/>
    <n v="55"/>
  </r>
  <r>
    <s v="ORD0614"/>
    <x v="613"/>
    <x v="13"/>
    <x v="1"/>
    <x v="13"/>
    <x v="1"/>
    <x v="4"/>
    <x v="3"/>
    <x v="0"/>
    <s v="Consumer"/>
    <x v="2"/>
    <s v="Storage"/>
    <x v="12"/>
    <n v="1840"/>
    <x v="5"/>
    <n v="0.05"/>
    <n v="585"/>
    <x v="3"/>
    <s v="Standard"/>
    <s v="Delivered"/>
    <n v="4"/>
    <s v="September"/>
    <x v="613"/>
    <n v="587"/>
    <n v="30499.403747870529"/>
    <n v="55"/>
  </r>
  <r>
    <s v="ORD0615"/>
    <x v="614"/>
    <x v="14"/>
    <x v="8"/>
    <x v="14"/>
    <x v="0"/>
    <x v="5"/>
    <x v="4"/>
    <x v="1"/>
    <s v="Corporate"/>
    <x v="1"/>
    <s v="Chairs"/>
    <x v="1"/>
    <n v="17600"/>
    <x v="9"/>
    <n v="7.0000000000000007E-2"/>
    <n v="4000"/>
    <x v="1"/>
    <s v="Standard"/>
    <s v="Delivered"/>
    <n v="4"/>
    <s v="September"/>
    <x v="614"/>
    <n v="586"/>
    <n v="30548.310580204779"/>
    <n v="55"/>
  </r>
  <r>
    <s v="ORD0616"/>
    <x v="615"/>
    <x v="15"/>
    <x v="6"/>
    <x v="15"/>
    <x v="1"/>
    <x v="1"/>
    <x v="1"/>
    <x v="1"/>
    <s v="Consumer"/>
    <x v="0"/>
    <s v="Accessories"/>
    <x v="2"/>
    <n v="36200"/>
    <x v="1"/>
    <n v="0.05"/>
    <n v="6950"/>
    <x v="0"/>
    <s v="Express"/>
    <s v="Delivered"/>
    <n v="5"/>
    <s v="September"/>
    <x v="615"/>
    <n v="585"/>
    <n v="30570.444444444445"/>
    <n v="55"/>
  </r>
  <r>
    <s v="ORD0617"/>
    <x v="616"/>
    <x v="16"/>
    <x v="5"/>
    <x v="16"/>
    <x v="0"/>
    <x v="7"/>
    <x v="5"/>
    <x v="2"/>
    <s v="Corporate"/>
    <x v="2"/>
    <s v="Paper"/>
    <x v="3"/>
    <n v="8300"/>
    <x v="2"/>
    <n v="0.03"/>
    <n v="2060"/>
    <x v="2"/>
    <s v="Standard"/>
    <s v="Delivered"/>
    <n v="4"/>
    <s v="September"/>
    <x v="616"/>
    <n v="584"/>
    <n v="30560.804794520547"/>
    <n v="55"/>
  </r>
  <r>
    <s v="ORD0618"/>
    <x v="617"/>
    <x v="17"/>
    <x v="0"/>
    <x v="17"/>
    <x v="1"/>
    <x v="0"/>
    <x v="0"/>
    <x v="0"/>
    <s v="Consumer"/>
    <x v="1"/>
    <s v="Tables"/>
    <x v="4"/>
    <n v="33500"/>
    <x v="1"/>
    <n v="0.1"/>
    <n v="5400"/>
    <x v="0"/>
    <s v="Express"/>
    <s v="Delivered"/>
    <n v="5"/>
    <s v="October"/>
    <x v="617"/>
    <n v="583"/>
    <n v="30598.987993138937"/>
    <n v="55"/>
  </r>
  <r>
    <s v="ORD0619"/>
    <x v="618"/>
    <x v="18"/>
    <x v="2"/>
    <x v="18"/>
    <x v="0"/>
    <x v="9"/>
    <x v="7"/>
    <x v="1"/>
    <s v="Corporate"/>
    <x v="0"/>
    <s v="Accessories"/>
    <x v="5"/>
    <n v="5450"/>
    <x v="9"/>
    <n v="0.05"/>
    <n v="1410"/>
    <x v="1"/>
    <s v="Standard"/>
    <s v="Delivered"/>
    <n v="3"/>
    <s v="October"/>
    <x v="618"/>
    <n v="582"/>
    <n v="30594.003436426116"/>
    <n v="55"/>
  </r>
  <r>
    <s v="ORD0620"/>
    <x v="619"/>
    <x v="19"/>
    <x v="7"/>
    <x v="19"/>
    <x v="1"/>
    <x v="6"/>
    <x v="0"/>
    <x v="0"/>
    <s v="Consumer"/>
    <x v="0"/>
    <s v="Accessories"/>
    <x v="6"/>
    <n v="4500"/>
    <x v="12"/>
    <n v="0"/>
    <n v="1350"/>
    <x v="0"/>
    <s v="Standard"/>
    <s v="Delivered"/>
    <n v="4"/>
    <s v="October"/>
    <x v="619"/>
    <n v="581"/>
    <n v="30637.280550774525"/>
    <n v="55"/>
  </r>
  <r>
    <s v="ORD0621"/>
    <x v="620"/>
    <x v="0"/>
    <x v="0"/>
    <x v="0"/>
    <x v="0"/>
    <x v="0"/>
    <x v="0"/>
    <x v="0"/>
    <s v="Consumer"/>
    <x v="0"/>
    <s v="Computers"/>
    <x v="0"/>
    <n v="95500"/>
    <x v="0"/>
    <n v="0.05"/>
    <n v="12700"/>
    <x v="0"/>
    <s v="Express"/>
    <s v="Delivered"/>
    <n v="5"/>
    <s v="October"/>
    <x v="620"/>
    <n v="580"/>
    <n v="30682.344827586207"/>
    <n v="55"/>
  </r>
  <r>
    <s v="ORD0622"/>
    <x v="621"/>
    <x v="1"/>
    <x v="1"/>
    <x v="1"/>
    <x v="1"/>
    <x v="1"/>
    <x v="1"/>
    <x v="1"/>
    <s v="Corporate"/>
    <x v="1"/>
    <s v="Chairs"/>
    <x v="1"/>
    <n v="14600"/>
    <x v="3"/>
    <n v="0.1"/>
    <n v="3400"/>
    <x v="1"/>
    <s v="Standard"/>
    <s v="Delivered"/>
    <n v="4"/>
    <s v="October"/>
    <x v="621"/>
    <n v="579"/>
    <n v="30570.397236614852"/>
    <n v="55"/>
  </r>
  <r>
    <s v="ORD0623"/>
    <x v="622"/>
    <x v="2"/>
    <x v="2"/>
    <x v="2"/>
    <x v="0"/>
    <x v="2"/>
    <x v="2"/>
    <x v="2"/>
    <s v="Consumer"/>
    <x v="0"/>
    <s v="Accessories"/>
    <x v="2"/>
    <n v="34100"/>
    <x v="1"/>
    <n v="0.05"/>
    <n v="6500"/>
    <x v="2"/>
    <s v="Standard"/>
    <s v="Delivered"/>
    <n v="4"/>
    <s v="November"/>
    <x v="622"/>
    <n v="578"/>
    <n v="30598.0276816609"/>
    <n v="55"/>
  </r>
  <r>
    <s v="ORD0624"/>
    <x v="623"/>
    <x v="3"/>
    <x v="3"/>
    <x v="3"/>
    <x v="1"/>
    <x v="3"/>
    <x v="0"/>
    <x v="0"/>
    <s v="Consumer"/>
    <x v="2"/>
    <s v="Paper"/>
    <x v="7"/>
    <n v="990"/>
    <x v="6"/>
    <n v="0.02"/>
    <n v="290"/>
    <x v="0"/>
    <s v="Standard"/>
    <s v="Delivered"/>
    <n v="5"/>
    <s v="November"/>
    <x v="623"/>
    <n v="577"/>
    <n v="30591.958405545927"/>
    <n v="55"/>
  </r>
  <r>
    <s v="ORD0625"/>
    <x v="624"/>
    <x v="4"/>
    <x v="4"/>
    <x v="4"/>
    <x v="0"/>
    <x v="4"/>
    <x v="3"/>
    <x v="0"/>
    <s v="Corporate"/>
    <x v="1"/>
    <s v="Tables"/>
    <x v="4"/>
    <n v="35000"/>
    <x v="1"/>
    <n v="0.08"/>
    <n v="6020"/>
    <x v="1"/>
    <s v="Express"/>
    <s v="Delivered"/>
    <n v="4"/>
    <s v="November"/>
    <x v="624"/>
    <n v="576"/>
    <n v="30643.350694444445"/>
    <n v="55"/>
  </r>
  <r>
    <s v="ORD0626"/>
    <x v="625"/>
    <x v="5"/>
    <x v="5"/>
    <x v="5"/>
    <x v="1"/>
    <x v="5"/>
    <x v="4"/>
    <x v="1"/>
    <s v="Consumer"/>
    <x v="0"/>
    <s v="Accessories"/>
    <x v="5"/>
    <n v="5150"/>
    <x v="3"/>
    <n v="0.05"/>
    <n v="1350"/>
    <x v="0"/>
    <s v="Standard"/>
    <s v="Delivered"/>
    <n v="4"/>
    <s v="November"/>
    <x v="625"/>
    <n v="575"/>
    <n v="30635.773913043478"/>
    <n v="55"/>
  </r>
  <r>
    <s v="ORD0627"/>
    <x v="626"/>
    <x v="6"/>
    <x v="0"/>
    <x v="6"/>
    <x v="0"/>
    <x v="6"/>
    <x v="0"/>
    <x v="0"/>
    <s v="Consumer"/>
    <x v="0"/>
    <s v="Accessories"/>
    <x v="6"/>
    <n v="4600"/>
    <x v="10"/>
    <n v="0"/>
    <n v="1380"/>
    <x v="3"/>
    <s v="Standard"/>
    <s v="Delivered"/>
    <n v="3"/>
    <s v="December"/>
    <x v="626"/>
    <n v="574"/>
    <n v="30680.174216027874"/>
    <n v="55"/>
  </r>
  <r>
    <s v="ORD0628"/>
    <x v="627"/>
    <x v="7"/>
    <x v="6"/>
    <x v="7"/>
    <x v="1"/>
    <x v="7"/>
    <x v="5"/>
    <x v="2"/>
    <s v="Corporate"/>
    <x v="2"/>
    <s v="Paper"/>
    <x v="3"/>
    <n v="8400"/>
    <x v="2"/>
    <n v="0.02"/>
    <n v="2080"/>
    <x v="0"/>
    <s v="Standard"/>
    <s v="Delivered"/>
    <n v="5"/>
    <s v="December"/>
    <x v="627"/>
    <n v="573"/>
    <n v="30725.689354275743"/>
    <n v="55"/>
  </r>
  <r>
    <s v="ORD0629"/>
    <x v="628"/>
    <x v="8"/>
    <x v="1"/>
    <x v="8"/>
    <x v="0"/>
    <x v="8"/>
    <x v="6"/>
    <x v="3"/>
    <s v="Corporate"/>
    <x v="1"/>
    <s v="Storage"/>
    <x v="8"/>
    <n v="22600"/>
    <x v="0"/>
    <n v="0.1"/>
    <n v="4060"/>
    <x v="1"/>
    <s v="Express"/>
    <s v="Delivered"/>
    <n v="4"/>
    <s v="December"/>
    <x v="628"/>
    <n v="572"/>
    <n v="30764.720279720281"/>
    <n v="55"/>
  </r>
  <r>
    <s v="ORD0630"/>
    <x v="629"/>
    <x v="9"/>
    <x v="4"/>
    <x v="9"/>
    <x v="1"/>
    <x v="0"/>
    <x v="0"/>
    <x v="0"/>
    <s v="Consumer"/>
    <x v="0"/>
    <s v="Printers"/>
    <x v="9"/>
    <n v="24800"/>
    <x v="1"/>
    <n v="0.05"/>
    <n v="4820"/>
    <x v="0"/>
    <s v="Standard"/>
    <s v="Delivered"/>
    <n v="4"/>
    <s v="December"/>
    <x v="629"/>
    <n v="571"/>
    <n v="30779.019264448336"/>
    <n v="55"/>
  </r>
  <r>
    <s v="ORD0631"/>
    <x v="630"/>
    <x v="10"/>
    <x v="7"/>
    <x v="10"/>
    <x v="0"/>
    <x v="9"/>
    <x v="7"/>
    <x v="1"/>
    <s v="Consumer"/>
    <x v="2"/>
    <s v="Accessories"/>
    <x v="10"/>
    <n v="1440"/>
    <x v="11"/>
    <n v="0"/>
    <n v="450"/>
    <x v="2"/>
    <s v="Standard"/>
    <s v="Delivered"/>
    <n v="5"/>
    <s v="January"/>
    <x v="630"/>
    <n v="570"/>
    <n v="30789.508771929824"/>
    <n v="55"/>
  </r>
  <r>
    <s v="ORD0632"/>
    <x v="631"/>
    <x v="11"/>
    <x v="3"/>
    <x v="11"/>
    <x v="1"/>
    <x v="2"/>
    <x v="2"/>
    <x v="2"/>
    <s v="Corporate"/>
    <x v="1"/>
    <s v="Tables"/>
    <x v="11"/>
    <n v="36800"/>
    <x v="0"/>
    <n v="0.08"/>
    <n v="7700"/>
    <x v="1"/>
    <s v="Express"/>
    <s v="Delivered"/>
    <n v="4"/>
    <s v="January"/>
    <x v="631"/>
    <n v="569"/>
    <n v="30841.089630931459"/>
    <n v="55"/>
  </r>
  <r>
    <s v="ORD0633"/>
    <x v="632"/>
    <x v="12"/>
    <x v="0"/>
    <x v="12"/>
    <x v="0"/>
    <x v="3"/>
    <x v="0"/>
    <x v="0"/>
    <s v="Consumer"/>
    <x v="0"/>
    <s v="Computers"/>
    <x v="0"/>
    <n v="101000"/>
    <x v="0"/>
    <n v="0.1"/>
    <n v="11800"/>
    <x v="0"/>
    <s v="Express"/>
    <s v="Delivered"/>
    <n v="5"/>
    <s v="January"/>
    <x v="632"/>
    <n v="568"/>
    <n v="30830.598591549297"/>
    <n v="55"/>
  </r>
  <r>
    <s v="ORD0634"/>
    <x v="633"/>
    <x v="13"/>
    <x v="1"/>
    <x v="13"/>
    <x v="1"/>
    <x v="4"/>
    <x v="3"/>
    <x v="0"/>
    <s v="Consumer"/>
    <x v="2"/>
    <s v="Storage"/>
    <x v="12"/>
    <n v="1880"/>
    <x v="5"/>
    <n v="0.05"/>
    <n v="600"/>
    <x v="3"/>
    <s v="Standard"/>
    <s v="Delivered"/>
    <n v="4"/>
    <s v="January"/>
    <x v="633"/>
    <n v="567"/>
    <n v="30706.8430335097"/>
    <n v="55"/>
  </r>
  <r>
    <s v="ORD0635"/>
    <x v="634"/>
    <x v="14"/>
    <x v="8"/>
    <x v="14"/>
    <x v="0"/>
    <x v="5"/>
    <x v="4"/>
    <x v="1"/>
    <s v="Corporate"/>
    <x v="1"/>
    <s v="Chairs"/>
    <x v="1"/>
    <n v="18000"/>
    <x v="9"/>
    <n v="7.0000000000000007E-2"/>
    <n v="4100"/>
    <x v="1"/>
    <s v="Standard"/>
    <s v="Delivered"/>
    <n v="4"/>
    <s v="January"/>
    <x v="634"/>
    <n v="566"/>
    <n v="30757.773851590107"/>
    <n v="55"/>
  </r>
  <r>
    <s v="ORD0636"/>
    <x v="635"/>
    <x v="15"/>
    <x v="6"/>
    <x v="15"/>
    <x v="1"/>
    <x v="1"/>
    <x v="1"/>
    <x v="1"/>
    <s v="Consumer"/>
    <x v="0"/>
    <s v="Accessories"/>
    <x v="2"/>
    <n v="36900"/>
    <x v="1"/>
    <n v="0.05"/>
    <n v="7100"/>
    <x v="0"/>
    <s v="Express"/>
    <s v="Delivered"/>
    <n v="5"/>
    <s v="February"/>
    <x v="635"/>
    <n v="565"/>
    <n v="30780.353982300883"/>
    <n v="55"/>
  </r>
  <r>
    <s v="ORD0637"/>
    <x v="636"/>
    <x v="16"/>
    <x v="5"/>
    <x v="16"/>
    <x v="0"/>
    <x v="7"/>
    <x v="5"/>
    <x v="2"/>
    <s v="Corporate"/>
    <x v="2"/>
    <s v="Paper"/>
    <x v="3"/>
    <n v="8500"/>
    <x v="2"/>
    <n v="0.03"/>
    <n v="2110"/>
    <x v="2"/>
    <s v="Standard"/>
    <s v="Delivered"/>
    <n v="4"/>
    <s v="February"/>
    <x v="636"/>
    <n v="564"/>
    <n v="30769.503546099291"/>
    <n v="55"/>
  </r>
  <r>
    <s v="ORD0638"/>
    <x v="637"/>
    <x v="17"/>
    <x v="0"/>
    <x v="17"/>
    <x v="1"/>
    <x v="0"/>
    <x v="0"/>
    <x v="0"/>
    <s v="Consumer"/>
    <x v="1"/>
    <s v="Tables"/>
    <x v="4"/>
    <n v="34200"/>
    <x v="1"/>
    <n v="0.1"/>
    <n v="5520"/>
    <x v="0"/>
    <s v="Express"/>
    <s v="Delivered"/>
    <n v="5"/>
    <s v="February"/>
    <x v="637"/>
    <n v="563"/>
    <n v="30809.05861456483"/>
    <n v="55"/>
  </r>
  <r>
    <s v="ORD0639"/>
    <x v="638"/>
    <x v="18"/>
    <x v="2"/>
    <x v="18"/>
    <x v="0"/>
    <x v="9"/>
    <x v="7"/>
    <x v="1"/>
    <s v="Corporate"/>
    <x v="0"/>
    <s v="Accessories"/>
    <x v="5"/>
    <n v="5550"/>
    <x v="9"/>
    <n v="0.05"/>
    <n v="1440"/>
    <x v="1"/>
    <s v="Standard"/>
    <s v="Delivered"/>
    <n v="3"/>
    <s v="February"/>
    <x v="638"/>
    <n v="562"/>
    <n v="30803.024911032029"/>
    <n v="55"/>
  </r>
  <r>
    <s v="ORD0640"/>
    <x v="639"/>
    <x v="19"/>
    <x v="7"/>
    <x v="19"/>
    <x v="1"/>
    <x v="6"/>
    <x v="0"/>
    <x v="0"/>
    <s v="Consumer"/>
    <x v="0"/>
    <s v="Accessories"/>
    <x v="6"/>
    <n v="4700"/>
    <x v="12"/>
    <n v="0"/>
    <n v="1410"/>
    <x v="0"/>
    <s v="Standard"/>
    <s v="Delivered"/>
    <n v="4"/>
    <s v="March"/>
    <x v="639"/>
    <n v="561"/>
    <n v="30848.039215686276"/>
    <n v="55"/>
  </r>
  <r>
    <s v="ORD0641"/>
    <x v="640"/>
    <x v="0"/>
    <x v="0"/>
    <x v="0"/>
    <x v="0"/>
    <x v="0"/>
    <x v="0"/>
    <x v="0"/>
    <s v="Consumer"/>
    <x v="0"/>
    <s v="Computers"/>
    <x v="0"/>
    <n v="97000"/>
    <x v="0"/>
    <n v="0.05"/>
    <n v="12900"/>
    <x v="0"/>
    <s v="Express"/>
    <s v="Delivered"/>
    <n v="5"/>
    <s v="March"/>
    <x v="640"/>
    <n v="560"/>
    <n v="30894.732142857141"/>
    <n v="55"/>
  </r>
  <r>
    <s v="ORD0642"/>
    <x v="641"/>
    <x v="1"/>
    <x v="1"/>
    <x v="1"/>
    <x v="1"/>
    <x v="1"/>
    <x v="1"/>
    <x v="1"/>
    <s v="Corporate"/>
    <x v="1"/>
    <s v="Chairs"/>
    <x v="1"/>
    <n v="14900"/>
    <x v="3"/>
    <n v="0.1"/>
    <n v="3480"/>
    <x v="1"/>
    <s v="Standard"/>
    <s v="Delivered"/>
    <n v="4"/>
    <s v="March"/>
    <x v="641"/>
    <n v="559"/>
    <n v="30776.475849731665"/>
    <n v="55"/>
  </r>
  <r>
    <s v="ORD0643"/>
    <x v="642"/>
    <x v="2"/>
    <x v="2"/>
    <x v="2"/>
    <x v="0"/>
    <x v="2"/>
    <x v="2"/>
    <x v="2"/>
    <s v="Consumer"/>
    <x v="0"/>
    <s v="Accessories"/>
    <x v="2"/>
    <n v="34800"/>
    <x v="1"/>
    <n v="0.05"/>
    <n v="6650"/>
    <x v="2"/>
    <s v="Standard"/>
    <s v="Delivered"/>
    <n v="4"/>
    <s v="March"/>
    <x v="642"/>
    <n v="558"/>
    <n v="30804.928315412188"/>
    <n v="55"/>
  </r>
  <r>
    <s v="ORD0644"/>
    <x v="643"/>
    <x v="3"/>
    <x v="3"/>
    <x v="3"/>
    <x v="1"/>
    <x v="3"/>
    <x v="0"/>
    <x v="0"/>
    <s v="Consumer"/>
    <x v="2"/>
    <s v="Paper"/>
    <x v="7"/>
    <n v="1010"/>
    <x v="6"/>
    <n v="0.02"/>
    <n v="295"/>
    <x v="0"/>
    <s v="Standard"/>
    <s v="Delivered"/>
    <n v="5"/>
    <s v="April"/>
    <x v="643"/>
    <n v="557"/>
    <n v="30797.755834829444"/>
    <n v="55"/>
  </r>
  <r>
    <s v="ORD0645"/>
    <x v="644"/>
    <x v="4"/>
    <x v="4"/>
    <x v="4"/>
    <x v="0"/>
    <x v="4"/>
    <x v="3"/>
    <x v="0"/>
    <s v="Corporate"/>
    <x v="1"/>
    <s v="Tables"/>
    <x v="4"/>
    <n v="35800"/>
    <x v="1"/>
    <n v="0.08"/>
    <n v="6160"/>
    <x v="1"/>
    <s v="Express"/>
    <s v="Delivered"/>
    <n v="4"/>
    <s v="April"/>
    <x v="644"/>
    <n v="556"/>
    <n v="30851.330935251797"/>
    <n v="55"/>
  </r>
  <r>
    <s v="ORD0646"/>
    <x v="645"/>
    <x v="5"/>
    <x v="5"/>
    <x v="5"/>
    <x v="1"/>
    <x v="5"/>
    <x v="4"/>
    <x v="1"/>
    <s v="Consumer"/>
    <x v="0"/>
    <s v="Accessories"/>
    <x v="5"/>
    <n v="5250"/>
    <x v="3"/>
    <n v="0.05"/>
    <n v="1380"/>
    <x v="0"/>
    <s v="Standard"/>
    <s v="Delivered"/>
    <n v="4"/>
    <s v="April"/>
    <x v="645"/>
    <n v="555"/>
    <n v="30842.414414414416"/>
    <n v="55"/>
  </r>
  <r>
    <s v="ORD0647"/>
    <x v="646"/>
    <x v="6"/>
    <x v="0"/>
    <x v="6"/>
    <x v="0"/>
    <x v="6"/>
    <x v="0"/>
    <x v="0"/>
    <s v="Consumer"/>
    <x v="0"/>
    <s v="Accessories"/>
    <x v="6"/>
    <n v="4800"/>
    <x v="10"/>
    <n v="0"/>
    <n v="1440"/>
    <x v="3"/>
    <s v="Standard"/>
    <s v="Delivered"/>
    <n v="3"/>
    <s v="April"/>
    <x v="646"/>
    <n v="554"/>
    <n v="30888.610108303248"/>
    <n v="55"/>
  </r>
  <r>
    <s v="ORD0648"/>
    <x v="647"/>
    <x v="7"/>
    <x v="6"/>
    <x v="7"/>
    <x v="1"/>
    <x v="7"/>
    <x v="5"/>
    <x v="2"/>
    <s v="Corporate"/>
    <x v="2"/>
    <s v="Paper"/>
    <x v="3"/>
    <n v="8600"/>
    <x v="2"/>
    <n v="0.02"/>
    <n v="2130"/>
    <x v="0"/>
    <s v="Standard"/>
    <s v="Delivered"/>
    <n v="5"/>
    <s v="May"/>
    <x v="647"/>
    <n v="553"/>
    <n v="30935.786618444847"/>
    <n v="55"/>
  </r>
  <r>
    <s v="ORD0649"/>
    <x v="648"/>
    <x v="8"/>
    <x v="1"/>
    <x v="8"/>
    <x v="0"/>
    <x v="8"/>
    <x v="6"/>
    <x v="3"/>
    <s v="Corporate"/>
    <x v="1"/>
    <s v="Storage"/>
    <x v="8"/>
    <n v="23000"/>
    <x v="0"/>
    <n v="0.1"/>
    <n v="4140"/>
    <x v="1"/>
    <s v="Express"/>
    <s v="Delivered"/>
    <n v="4"/>
    <s v="May"/>
    <x v="648"/>
    <n v="552"/>
    <n v="30976.25"/>
    <n v="55"/>
  </r>
  <r>
    <s v="ORD0650"/>
    <x v="649"/>
    <x v="9"/>
    <x v="4"/>
    <x v="9"/>
    <x v="1"/>
    <x v="0"/>
    <x v="0"/>
    <x v="0"/>
    <s v="Consumer"/>
    <x v="0"/>
    <s v="Printers"/>
    <x v="9"/>
    <n v="25200"/>
    <x v="1"/>
    <n v="0.05"/>
    <n v="4900"/>
    <x v="0"/>
    <s v="Standard"/>
    <s v="Delivered"/>
    <n v="4"/>
    <s v="May"/>
    <x v="649"/>
    <n v="551"/>
    <n v="30990.725952813067"/>
    <n v="55"/>
  </r>
  <r>
    <s v="ORD0651"/>
    <x v="650"/>
    <x v="10"/>
    <x v="7"/>
    <x v="10"/>
    <x v="0"/>
    <x v="9"/>
    <x v="7"/>
    <x v="1"/>
    <s v="Consumer"/>
    <x v="2"/>
    <s v="Accessories"/>
    <x v="10"/>
    <n v="1470"/>
    <x v="11"/>
    <n v="0"/>
    <n v="460"/>
    <x v="2"/>
    <s v="Standard"/>
    <s v="Delivered"/>
    <n v="5"/>
    <s v="May"/>
    <x v="650"/>
    <n v="550"/>
    <n v="31001.254545454547"/>
    <n v="55"/>
  </r>
  <r>
    <s v="ORD0652"/>
    <x v="651"/>
    <x v="11"/>
    <x v="3"/>
    <x v="11"/>
    <x v="1"/>
    <x v="2"/>
    <x v="2"/>
    <x v="2"/>
    <s v="Corporate"/>
    <x v="1"/>
    <s v="Tables"/>
    <x v="11"/>
    <n v="37400"/>
    <x v="0"/>
    <n v="0.08"/>
    <n v="7850"/>
    <x v="1"/>
    <s v="Express"/>
    <s v="Delivered"/>
    <n v="4"/>
    <s v="May"/>
    <x v="651"/>
    <n v="549"/>
    <n v="31055.045537340618"/>
    <n v="55"/>
  </r>
  <r>
    <s v="ORD0653"/>
    <x v="652"/>
    <x v="12"/>
    <x v="0"/>
    <x v="12"/>
    <x v="0"/>
    <x v="3"/>
    <x v="0"/>
    <x v="0"/>
    <s v="Consumer"/>
    <x v="0"/>
    <s v="Computers"/>
    <x v="0"/>
    <n v="102500"/>
    <x v="0"/>
    <n v="0.1"/>
    <n v="12000"/>
    <x v="0"/>
    <s v="Express"/>
    <s v="Delivered"/>
    <n v="5"/>
    <s v="June"/>
    <x v="652"/>
    <n v="548"/>
    <n v="31043.467153284673"/>
    <n v="55"/>
  </r>
  <r>
    <s v="ORD0654"/>
    <x v="653"/>
    <x v="13"/>
    <x v="1"/>
    <x v="13"/>
    <x v="1"/>
    <x v="4"/>
    <x v="3"/>
    <x v="0"/>
    <s v="Consumer"/>
    <x v="2"/>
    <s v="Storage"/>
    <x v="12"/>
    <n v="1920"/>
    <x v="5"/>
    <n v="0.05"/>
    <n v="615"/>
    <x v="3"/>
    <s v="Standard"/>
    <s v="Delivered"/>
    <n v="4"/>
    <s v="June"/>
    <x v="653"/>
    <n v="547"/>
    <n v="30912.833638025593"/>
    <n v="55"/>
  </r>
  <r>
    <s v="ORD0655"/>
    <x v="654"/>
    <x v="14"/>
    <x v="8"/>
    <x v="14"/>
    <x v="0"/>
    <x v="5"/>
    <x v="4"/>
    <x v="1"/>
    <s v="Corporate"/>
    <x v="1"/>
    <s v="Chairs"/>
    <x v="1"/>
    <n v="18400"/>
    <x v="9"/>
    <n v="7.0000000000000007E-2"/>
    <n v="4200"/>
    <x v="1"/>
    <s v="Standard"/>
    <s v="Delivered"/>
    <n v="4"/>
    <s v="June"/>
    <x v="654"/>
    <n v="546"/>
    <n v="30965.934065934067"/>
    <n v="55"/>
  </r>
  <r>
    <s v="ORD0656"/>
    <x v="655"/>
    <x v="15"/>
    <x v="6"/>
    <x v="15"/>
    <x v="1"/>
    <x v="1"/>
    <x v="1"/>
    <x v="1"/>
    <s v="Consumer"/>
    <x v="0"/>
    <s v="Accessories"/>
    <x v="2"/>
    <n v="37600"/>
    <x v="1"/>
    <n v="0.05"/>
    <n v="7250"/>
    <x v="0"/>
    <s v="Express"/>
    <s v="Delivered"/>
    <n v="5"/>
    <s v="June"/>
    <x v="655"/>
    <n v="545"/>
    <n v="30988.990825688074"/>
    <n v="55"/>
  </r>
  <r>
    <s v="ORD0657"/>
    <x v="656"/>
    <x v="16"/>
    <x v="5"/>
    <x v="16"/>
    <x v="0"/>
    <x v="7"/>
    <x v="5"/>
    <x v="2"/>
    <s v="Corporate"/>
    <x v="2"/>
    <s v="Paper"/>
    <x v="3"/>
    <n v="8700"/>
    <x v="2"/>
    <n v="0.03"/>
    <n v="2160"/>
    <x v="2"/>
    <s v="Standard"/>
    <s v="Delivered"/>
    <n v="4"/>
    <s v="July"/>
    <x v="656"/>
    <n v="544"/>
    <n v="30976.838235294119"/>
    <n v="55"/>
  </r>
  <r>
    <s v="ORD0658"/>
    <x v="657"/>
    <x v="17"/>
    <x v="0"/>
    <x v="17"/>
    <x v="1"/>
    <x v="0"/>
    <x v="0"/>
    <x v="0"/>
    <s v="Consumer"/>
    <x v="1"/>
    <s v="Tables"/>
    <x v="4"/>
    <n v="34900"/>
    <x v="1"/>
    <n v="0.1"/>
    <n v="5640"/>
    <x v="0"/>
    <s v="Express"/>
    <s v="Delivered"/>
    <n v="5"/>
    <s v="July"/>
    <x v="657"/>
    <n v="543"/>
    <n v="31017.863720073667"/>
    <n v="55"/>
  </r>
  <r>
    <s v="ORD0659"/>
    <x v="658"/>
    <x v="18"/>
    <x v="2"/>
    <x v="18"/>
    <x v="0"/>
    <x v="9"/>
    <x v="7"/>
    <x v="1"/>
    <s v="Corporate"/>
    <x v="0"/>
    <s v="Accessories"/>
    <x v="5"/>
    <n v="5650"/>
    <x v="9"/>
    <n v="0.05"/>
    <n v="1470"/>
    <x v="1"/>
    <s v="Standard"/>
    <s v="Delivered"/>
    <n v="3"/>
    <s v="July"/>
    <x v="658"/>
    <n v="542"/>
    <n v="31010.701107011071"/>
    <n v="55"/>
  </r>
  <r>
    <s v="ORD0660"/>
    <x v="659"/>
    <x v="19"/>
    <x v="7"/>
    <x v="19"/>
    <x v="1"/>
    <x v="6"/>
    <x v="0"/>
    <x v="0"/>
    <s v="Consumer"/>
    <x v="0"/>
    <s v="Accessories"/>
    <x v="6"/>
    <n v="4900"/>
    <x v="12"/>
    <n v="0"/>
    <n v="1470"/>
    <x v="0"/>
    <s v="Standard"/>
    <s v="Delivered"/>
    <n v="4"/>
    <s v="July"/>
    <x v="659"/>
    <n v="541"/>
    <n v="31057.578558225508"/>
    <n v="55"/>
  </r>
  <r>
    <s v="ORD0661"/>
    <x v="660"/>
    <x v="0"/>
    <x v="0"/>
    <x v="0"/>
    <x v="0"/>
    <x v="0"/>
    <x v="0"/>
    <x v="0"/>
    <s v="Consumer"/>
    <x v="0"/>
    <s v="Computers"/>
    <x v="0"/>
    <n v="98500"/>
    <x v="0"/>
    <n v="0.05"/>
    <n v="13100"/>
    <x v="0"/>
    <s v="Express"/>
    <s v="Delivered"/>
    <n v="5"/>
    <s v="July"/>
    <x v="660"/>
    <n v="540"/>
    <n v="31106.018518518518"/>
    <n v="55"/>
  </r>
  <r>
    <s v="ORD0662"/>
    <x v="661"/>
    <x v="1"/>
    <x v="1"/>
    <x v="1"/>
    <x v="1"/>
    <x v="1"/>
    <x v="1"/>
    <x v="1"/>
    <s v="Corporate"/>
    <x v="1"/>
    <s v="Chairs"/>
    <x v="1"/>
    <n v="15200"/>
    <x v="3"/>
    <n v="0.1"/>
    <n v="3560"/>
    <x v="1"/>
    <s v="Standard"/>
    <s v="Delivered"/>
    <n v="4"/>
    <s v="August"/>
    <x v="661"/>
    <n v="539"/>
    <n v="30980.983302411874"/>
    <n v="55"/>
  </r>
  <r>
    <s v="ORD0663"/>
    <x v="662"/>
    <x v="2"/>
    <x v="2"/>
    <x v="2"/>
    <x v="0"/>
    <x v="2"/>
    <x v="2"/>
    <x v="2"/>
    <s v="Consumer"/>
    <x v="0"/>
    <s v="Accessories"/>
    <x v="2"/>
    <n v="35500"/>
    <x v="1"/>
    <n v="0.05"/>
    <n v="6800"/>
    <x v="2"/>
    <s v="Standard"/>
    <s v="Delivered"/>
    <n v="4"/>
    <s v="August"/>
    <x v="662"/>
    <n v="538"/>
    <n v="31010.31598513011"/>
    <n v="55"/>
  </r>
  <r>
    <s v="ORD0664"/>
    <x v="663"/>
    <x v="3"/>
    <x v="3"/>
    <x v="3"/>
    <x v="1"/>
    <x v="3"/>
    <x v="0"/>
    <x v="0"/>
    <s v="Consumer"/>
    <x v="2"/>
    <s v="Paper"/>
    <x v="7"/>
    <n v="1030"/>
    <x v="6"/>
    <n v="0.02"/>
    <n v="305"/>
    <x v="0"/>
    <s v="Standard"/>
    <s v="Delivered"/>
    <n v="5"/>
    <s v="August"/>
    <x v="663"/>
    <n v="537"/>
    <n v="31001.955307262571"/>
    <n v="55"/>
  </r>
  <r>
    <s v="ORD0665"/>
    <x v="664"/>
    <x v="4"/>
    <x v="4"/>
    <x v="4"/>
    <x v="0"/>
    <x v="4"/>
    <x v="3"/>
    <x v="0"/>
    <s v="Corporate"/>
    <x v="1"/>
    <s v="Tables"/>
    <x v="4"/>
    <n v="36600"/>
    <x v="1"/>
    <n v="0.08"/>
    <n v="6300"/>
    <x v="1"/>
    <s v="Express"/>
    <s v="Delivered"/>
    <n v="4"/>
    <s v="August"/>
    <x v="664"/>
    <n v="536"/>
    <n v="31057.873134328358"/>
    <n v="55"/>
  </r>
  <r>
    <s v="ORD0666"/>
    <x v="665"/>
    <x v="5"/>
    <x v="5"/>
    <x v="5"/>
    <x v="1"/>
    <x v="5"/>
    <x v="4"/>
    <x v="1"/>
    <s v="Consumer"/>
    <x v="0"/>
    <s v="Accessories"/>
    <x v="5"/>
    <n v="5350"/>
    <x v="3"/>
    <n v="0.05"/>
    <n v="1410"/>
    <x v="0"/>
    <s v="Standard"/>
    <s v="Delivered"/>
    <n v="4"/>
    <s v="September"/>
    <x v="665"/>
    <n v="535"/>
    <n v="31047.514018691589"/>
    <n v="55"/>
  </r>
  <r>
    <s v="ORD0667"/>
    <x v="666"/>
    <x v="6"/>
    <x v="0"/>
    <x v="6"/>
    <x v="0"/>
    <x v="6"/>
    <x v="0"/>
    <x v="0"/>
    <s v="Consumer"/>
    <x v="0"/>
    <s v="Accessories"/>
    <x v="6"/>
    <n v="5000"/>
    <x v="10"/>
    <n v="0"/>
    <n v="1500"/>
    <x v="3"/>
    <s v="Standard"/>
    <s v="Delivered"/>
    <n v="3"/>
    <s v="September"/>
    <x v="666"/>
    <n v="534"/>
    <n v="31095.63670411985"/>
    <n v="55"/>
  </r>
  <r>
    <s v="ORD0668"/>
    <x v="667"/>
    <x v="7"/>
    <x v="6"/>
    <x v="7"/>
    <x v="1"/>
    <x v="7"/>
    <x v="5"/>
    <x v="2"/>
    <s v="Corporate"/>
    <x v="2"/>
    <s v="Paper"/>
    <x v="3"/>
    <n v="8800"/>
    <x v="2"/>
    <n v="0.02"/>
    <n v="2180"/>
    <x v="0"/>
    <s v="Standard"/>
    <s v="Delivered"/>
    <n v="5"/>
    <s v="September"/>
    <x v="667"/>
    <n v="533"/>
    <n v="31144.596622889305"/>
    <n v="55"/>
  </r>
  <r>
    <s v="ORD0669"/>
    <x v="668"/>
    <x v="8"/>
    <x v="1"/>
    <x v="8"/>
    <x v="0"/>
    <x v="8"/>
    <x v="6"/>
    <x v="3"/>
    <s v="Corporate"/>
    <x v="1"/>
    <s v="Storage"/>
    <x v="8"/>
    <n v="23400"/>
    <x v="0"/>
    <n v="0.1"/>
    <n v="4220"/>
    <x v="1"/>
    <s v="Express"/>
    <s v="Delivered"/>
    <n v="4"/>
    <s v="September"/>
    <x v="668"/>
    <n v="532"/>
    <n v="31186.597744360901"/>
    <n v="55"/>
  </r>
  <r>
    <s v="ORD0670"/>
    <x v="669"/>
    <x v="9"/>
    <x v="4"/>
    <x v="9"/>
    <x v="1"/>
    <x v="0"/>
    <x v="0"/>
    <x v="0"/>
    <s v="Consumer"/>
    <x v="0"/>
    <s v="Printers"/>
    <x v="9"/>
    <n v="25600"/>
    <x v="1"/>
    <n v="0.05"/>
    <n v="4980"/>
    <x v="0"/>
    <s v="Standard"/>
    <s v="Delivered"/>
    <n v="4"/>
    <s v="October"/>
    <x v="669"/>
    <n v="531"/>
    <n v="31201.261770244822"/>
    <n v="55"/>
  </r>
  <r>
    <s v="ORD0671"/>
    <x v="670"/>
    <x v="10"/>
    <x v="7"/>
    <x v="10"/>
    <x v="0"/>
    <x v="9"/>
    <x v="7"/>
    <x v="1"/>
    <s v="Consumer"/>
    <x v="2"/>
    <s v="Accessories"/>
    <x v="10"/>
    <n v="1500"/>
    <x v="11"/>
    <n v="0"/>
    <n v="470"/>
    <x v="2"/>
    <s v="Standard"/>
    <s v="Delivered"/>
    <n v="5"/>
    <s v="October"/>
    <x v="670"/>
    <n v="530"/>
    <n v="31211.830188679247"/>
    <n v="55"/>
  </r>
  <r>
    <s v="ORD0672"/>
    <x v="671"/>
    <x v="11"/>
    <x v="3"/>
    <x v="11"/>
    <x v="1"/>
    <x v="2"/>
    <x v="2"/>
    <x v="2"/>
    <s v="Corporate"/>
    <x v="1"/>
    <s v="Tables"/>
    <x v="11"/>
    <n v="38000"/>
    <x v="0"/>
    <n v="0.08"/>
    <n v="8000"/>
    <x v="1"/>
    <s v="Express"/>
    <s v="Delivered"/>
    <n v="4"/>
    <s v="October"/>
    <x v="671"/>
    <n v="529"/>
    <n v="31267.996219281664"/>
    <n v="55"/>
  </r>
  <r>
    <s v="ORD0673"/>
    <x v="672"/>
    <x v="12"/>
    <x v="0"/>
    <x v="12"/>
    <x v="0"/>
    <x v="3"/>
    <x v="0"/>
    <x v="0"/>
    <s v="Consumer"/>
    <x v="0"/>
    <s v="Computers"/>
    <x v="0"/>
    <n v="104000"/>
    <x v="0"/>
    <n v="0.1"/>
    <n v="12200"/>
    <x v="0"/>
    <s v="Express"/>
    <s v="Delivered"/>
    <n v="5"/>
    <s v="October"/>
    <x v="672"/>
    <n v="528"/>
    <n v="31255.246212121212"/>
    <n v="55"/>
  </r>
  <r>
    <s v="ORD0674"/>
    <x v="673"/>
    <x v="13"/>
    <x v="1"/>
    <x v="13"/>
    <x v="1"/>
    <x v="4"/>
    <x v="3"/>
    <x v="0"/>
    <s v="Consumer"/>
    <x v="2"/>
    <s v="Storage"/>
    <x v="12"/>
    <n v="1960"/>
    <x v="5"/>
    <n v="0.05"/>
    <n v="630"/>
    <x v="3"/>
    <s v="Standard"/>
    <s v="Delivered"/>
    <n v="4"/>
    <s v="October"/>
    <x v="673"/>
    <n v="527"/>
    <n v="31117.210626185959"/>
    <n v="55"/>
  </r>
  <r>
    <s v="ORD0675"/>
    <x v="674"/>
    <x v="14"/>
    <x v="8"/>
    <x v="14"/>
    <x v="0"/>
    <x v="5"/>
    <x v="4"/>
    <x v="1"/>
    <s v="Corporate"/>
    <x v="1"/>
    <s v="Chairs"/>
    <x v="1"/>
    <n v="18800"/>
    <x v="9"/>
    <n v="7.0000000000000007E-2"/>
    <n v="4300"/>
    <x v="1"/>
    <s v="Standard"/>
    <s v="Delivered"/>
    <n v="4"/>
    <s v="November"/>
    <x v="674"/>
    <n v="526"/>
    <n v="31172.64258555133"/>
    <n v="55"/>
  </r>
  <r>
    <s v="ORD0676"/>
    <x v="675"/>
    <x v="15"/>
    <x v="6"/>
    <x v="15"/>
    <x v="1"/>
    <x v="1"/>
    <x v="1"/>
    <x v="1"/>
    <s v="Consumer"/>
    <x v="0"/>
    <s v="Accessories"/>
    <x v="2"/>
    <n v="38300"/>
    <x v="1"/>
    <n v="0.05"/>
    <n v="7400"/>
    <x v="0"/>
    <s v="Express"/>
    <s v="Delivered"/>
    <n v="5"/>
    <s v="November"/>
    <x v="675"/>
    <n v="525"/>
    <n v="31196.209523809524"/>
    <n v="55"/>
  </r>
  <r>
    <s v="ORD0677"/>
    <x v="676"/>
    <x v="16"/>
    <x v="5"/>
    <x v="16"/>
    <x v="0"/>
    <x v="7"/>
    <x v="5"/>
    <x v="2"/>
    <s v="Corporate"/>
    <x v="2"/>
    <s v="Paper"/>
    <x v="3"/>
    <n v="8900"/>
    <x v="2"/>
    <n v="0.03"/>
    <n v="2210"/>
    <x v="2"/>
    <s v="Standard"/>
    <s v="Delivered"/>
    <n v="4"/>
    <s v="November"/>
    <x v="676"/>
    <n v="524"/>
    <n v="31182.652671755724"/>
    <n v="55"/>
  </r>
  <r>
    <s v="ORD0678"/>
    <x v="677"/>
    <x v="17"/>
    <x v="0"/>
    <x v="17"/>
    <x v="1"/>
    <x v="0"/>
    <x v="0"/>
    <x v="0"/>
    <s v="Consumer"/>
    <x v="1"/>
    <s v="Tables"/>
    <x v="4"/>
    <n v="35600"/>
    <x v="1"/>
    <n v="0.1"/>
    <n v="5760"/>
    <x v="0"/>
    <s v="Express"/>
    <s v="Delivered"/>
    <n v="5"/>
    <s v="November"/>
    <x v="677"/>
    <n v="523"/>
    <n v="31225.258126195029"/>
    <n v="55"/>
  </r>
  <r>
    <s v="ORD0679"/>
    <x v="678"/>
    <x v="18"/>
    <x v="2"/>
    <x v="18"/>
    <x v="0"/>
    <x v="9"/>
    <x v="7"/>
    <x v="1"/>
    <s v="Corporate"/>
    <x v="0"/>
    <s v="Accessories"/>
    <x v="5"/>
    <n v="5750"/>
    <x v="9"/>
    <n v="0.05"/>
    <n v="1500"/>
    <x v="1"/>
    <s v="Standard"/>
    <s v="Delivered"/>
    <n v="3"/>
    <s v="December"/>
    <x v="678"/>
    <n v="522"/>
    <n v="31216.877394636016"/>
    <n v="55"/>
  </r>
  <r>
    <s v="ORD0680"/>
    <x v="679"/>
    <x v="19"/>
    <x v="7"/>
    <x v="19"/>
    <x v="1"/>
    <x v="6"/>
    <x v="0"/>
    <x v="0"/>
    <s v="Consumer"/>
    <x v="0"/>
    <s v="Accessories"/>
    <x v="6"/>
    <n v="5100"/>
    <x v="12"/>
    <n v="0"/>
    <n v="1530"/>
    <x v="0"/>
    <s v="Standard"/>
    <s v="Delivered"/>
    <n v="4"/>
    <s v="December"/>
    <x v="679"/>
    <n v="521"/>
    <n v="31265.758157389635"/>
    <n v="55"/>
  </r>
  <r>
    <s v="ORD0681"/>
    <x v="680"/>
    <x v="0"/>
    <x v="0"/>
    <x v="0"/>
    <x v="0"/>
    <x v="0"/>
    <x v="0"/>
    <x v="0"/>
    <s v="Consumer"/>
    <x v="0"/>
    <s v="Computers"/>
    <x v="0"/>
    <n v="100000"/>
    <x v="0"/>
    <n v="0.05"/>
    <n v="13300"/>
    <x v="0"/>
    <s v="Express"/>
    <s v="Delivered"/>
    <n v="5"/>
    <s v="December"/>
    <x v="680"/>
    <n v="520"/>
    <n v="31316.076923076922"/>
    <n v="55"/>
  </r>
  <r>
    <s v="ORD0682"/>
    <x v="681"/>
    <x v="1"/>
    <x v="1"/>
    <x v="1"/>
    <x v="1"/>
    <x v="1"/>
    <x v="1"/>
    <x v="1"/>
    <s v="Corporate"/>
    <x v="1"/>
    <s v="Chairs"/>
    <x v="1"/>
    <n v="15500"/>
    <x v="3"/>
    <n v="0.1"/>
    <n v="3640"/>
    <x v="1"/>
    <s v="Standard"/>
    <s v="Delivered"/>
    <n v="4"/>
    <s v="December"/>
    <x v="681"/>
    <n v="519"/>
    <n v="31183.737957610789"/>
    <n v="55"/>
  </r>
  <r>
    <s v="ORD0683"/>
    <x v="682"/>
    <x v="2"/>
    <x v="2"/>
    <x v="2"/>
    <x v="0"/>
    <x v="2"/>
    <x v="2"/>
    <x v="2"/>
    <s v="Consumer"/>
    <x v="0"/>
    <s v="Accessories"/>
    <x v="2"/>
    <n v="36200"/>
    <x v="1"/>
    <n v="0.05"/>
    <n v="6950"/>
    <x v="2"/>
    <s v="Standard"/>
    <s v="Delivered"/>
    <n v="4"/>
    <s v="January"/>
    <x v="682"/>
    <n v="518"/>
    <n v="31214.015444015444"/>
    <n v="55"/>
  </r>
  <r>
    <s v="ORD0684"/>
    <x v="683"/>
    <x v="3"/>
    <x v="3"/>
    <x v="3"/>
    <x v="1"/>
    <x v="3"/>
    <x v="0"/>
    <x v="0"/>
    <s v="Consumer"/>
    <x v="2"/>
    <s v="Paper"/>
    <x v="7"/>
    <n v="1050"/>
    <x v="6"/>
    <n v="0.02"/>
    <n v="310"/>
    <x v="0"/>
    <s v="Standard"/>
    <s v="Delivered"/>
    <n v="5"/>
    <s v="January"/>
    <x v="683"/>
    <n v="517"/>
    <n v="31204.371373307542"/>
    <n v="55"/>
  </r>
  <r>
    <s v="ORD0685"/>
    <x v="684"/>
    <x v="4"/>
    <x v="4"/>
    <x v="4"/>
    <x v="0"/>
    <x v="4"/>
    <x v="3"/>
    <x v="0"/>
    <s v="Corporate"/>
    <x v="1"/>
    <s v="Tables"/>
    <x v="4"/>
    <n v="37400"/>
    <x v="1"/>
    <n v="0.08"/>
    <n v="6440"/>
    <x v="1"/>
    <s v="Express"/>
    <s v="Delivered"/>
    <n v="4"/>
    <s v="January"/>
    <x v="684"/>
    <n v="516"/>
    <n v="31262.810077519382"/>
    <n v="55"/>
  </r>
  <r>
    <s v="ORD0686"/>
    <x v="685"/>
    <x v="5"/>
    <x v="5"/>
    <x v="5"/>
    <x v="1"/>
    <x v="5"/>
    <x v="4"/>
    <x v="1"/>
    <s v="Consumer"/>
    <x v="0"/>
    <s v="Accessories"/>
    <x v="5"/>
    <n v="5450"/>
    <x v="3"/>
    <n v="0.05"/>
    <n v="1440"/>
    <x v="0"/>
    <s v="Standard"/>
    <s v="Delivered"/>
    <n v="4"/>
    <s v="January"/>
    <x v="685"/>
    <n v="515"/>
    <n v="31250.893203883494"/>
    <n v="55"/>
  </r>
  <r>
    <s v="ORD0687"/>
    <x v="686"/>
    <x v="6"/>
    <x v="0"/>
    <x v="6"/>
    <x v="0"/>
    <x v="6"/>
    <x v="0"/>
    <x v="0"/>
    <s v="Consumer"/>
    <x v="0"/>
    <s v="Accessories"/>
    <x v="6"/>
    <n v="5200"/>
    <x v="10"/>
    <n v="0"/>
    <n v="1560"/>
    <x v="3"/>
    <s v="Standard"/>
    <s v="Delivered"/>
    <n v="3"/>
    <s v="January"/>
    <x v="686"/>
    <n v="514"/>
    <n v="31301.089494163425"/>
    <n v="55"/>
  </r>
  <r>
    <s v="ORD0688"/>
    <x v="687"/>
    <x v="7"/>
    <x v="6"/>
    <x v="7"/>
    <x v="1"/>
    <x v="7"/>
    <x v="5"/>
    <x v="2"/>
    <s v="Corporate"/>
    <x v="2"/>
    <s v="Paper"/>
    <x v="3"/>
    <n v="9000"/>
    <x v="2"/>
    <n v="0.02"/>
    <n v="2230"/>
    <x v="0"/>
    <s v="Standard"/>
    <s v="Delivered"/>
    <n v="5"/>
    <s v="February"/>
    <x v="687"/>
    <n v="513"/>
    <n v="31351.96881091618"/>
    <n v="55"/>
  </r>
  <r>
    <s v="ORD0689"/>
    <x v="688"/>
    <x v="8"/>
    <x v="1"/>
    <x v="8"/>
    <x v="0"/>
    <x v="8"/>
    <x v="6"/>
    <x v="3"/>
    <s v="Corporate"/>
    <x v="1"/>
    <s v="Storage"/>
    <x v="8"/>
    <n v="23800"/>
    <x v="0"/>
    <n v="0.1"/>
    <n v="4300"/>
    <x v="1"/>
    <s v="Express"/>
    <s v="Delivered"/>
    <n v="4"/>
    <s v="February"/>
    <x v="688"/>
    <n v="512"/>
    <n v="31395.625"/>
    <n v="55"/>
  </r>
  <r>
    <s v="ORD0690"/>
    <x v="689"/>
    <x v="9"/>
    <x v="4"/>
    <x v="9"/>
    <x v="1"/>
    <x v="0"/>
    <x v="0"/>
    <x v="0"/>
    <s v="Consumer"/>
    <x v="0"/>
    <s v="Printers"/>
    <x v="9"/>
    <n v="26000"/>
    <x v="1"/>
    <n v="0.05"/>
    <n v="5060"/>
    <x v="0"/>
    <s v="Standard"/>
    <s v="Delivered"/>
    <n v="4"/>
    <s v="February"/>
    <x v="689"/>
    <n v="511"/>
    <n v="31410.489236790607"/>
    <n v="55"/>
  </r>
  <r>
    <s v="ORD0691"/>
    <x v="690"/>
    <x v="10"/>
    <x v="7"/>
    <x v="10"/>
    <x v="0"/>
    <x v="9"/>
    <x v="7"/>
    <x v="1"/>
    <s v="Consumer"/>
    <x v="2"/>
    <s v="Accessories"/>
    <x v="10"/>
    <n v="1530"/>
    <x v="11"/>
    <n v="0"/>
    <n v="480"/>
    <x v="2"/>
    <s v="Standard"/>
    <s v="Delivered"/>
    <n v="5"/>
    <s v="February"/>
    <x v="690"/>
    <n v="510"/>
    <n v="31421.098039215685"/>
    <n v="55"/>
  </r>
  <r>
    <s v="ORD0692"/>
    <x v="691"/>
    <x v="11"/>
    <x v="3"/>
    <x v="11"/>
    <x v="1"/>
    <x v="2"/>
    <x v="2"/>
    <x v="2"/>
    <s v="Corporate"/>
    <x v="1"/>
    <s v="Tables"/>
    <x v="11"/>
    <n v="38600"/>
    <x v="0"/>
    <n v="0.08"/>
    <n v="8150"/>
    <x v="1"/>
    <s v="Express"/>
    <s v="Delivered"/>
    <n v="4"/>
    <s v="March"/>
    <x v="691"/>
    <n v="509"/>
    <n v="31479.823182711199"/>
    <n v="55"/>
  </r>
  <r>
    <s v="ORD0693"/>
    <x v="692"/>
    <x v="12"/>
    <x v="0"/>
    <x v="12"/>
    <x v="0"/>
    <x v="3"/>
    <x v="0"/>
    <x v="0"/>
    <s v="Consumer"/>
    <x v="0"/>
    <s v="Computers"/>
    <x v="0"/>
    <n v="105500"/>
    <x v="0"/>
    <n v="0.1"/>
    <n v="12400"/>
    <x v="0"/>
    <s v="Express"/>
    <s v="Delivered"/>
    <n v="5"/>
    <s v="March"/>
    <x v="692"/>
    <n v="508"/>
    <n v="31465.807086614172"/>
    <n v="55"/>
  </r>
  <r>
    <s v="ORD0694"/>
    <x v="693"/>
    <x v="13"/>
    <x v="1"/>
    <x v="13"/>
    <x v="1"/>
    <x v="4"/>
    <x v="3"/>
    <x v="0"/>
    <s v="Consumer"/>
    <x v="2"/>
    <s v="Storage"/>
    <x v="12"/>
    <n v="2000"/>
    <x v="5"/>
    <n v="0.05"/>
    <n v="645"/>
    <x v="3"/>
    <s v="Standard"/>
    <s v="Delivered"/>
    <n v="4"/>
    <s v="March"/>
    <x v="693"/>
    <n v="507"/>
    <n v="31319.783037475347"/>
    <n v="55"/>
  </r>
  <r>
    <s v="ORD0695"/>
    <x v="694"/>
    <x v="14"/>
    <x v="8"/>
    <x v="14"/>
    <x v="0"/>
    <x v="5"/>
    <x v="4"/>
    <x v="1"/>
    <s v="Corporate"/>
    <x v="1"/>
    <s v="Chairs"/>
    <x v="1"/>
    <n v="19200"/>
    <x v="9"/>
    <n v="7.0000000000000007E-2"/>
    <n v="4400"/>
    <x v="1"/>
    <s v="Standard"/>
    <s v="Delivered"/>
    <n v="4"/>
    <s v="March"/>
    <x v="694"/>
    <n v="506"/>
    <n v="31377.727272727272"/>
    <n v="55"/>
  </r>
  <r>
    <s v="ORD0696"/>
    <x v="695"/>
    <x v="15"/>
    <x v="6"/>
    <x v="15"/>
    <x v="1"/>
    <x v="1"/>
    <x v="1"/>
    <x v="1"/>
    <s v="Consumer"/>
    <x v="0"/>
    <s v="Accessories"/>
    <x v="2"/>
    <n v="39000"/>
    <x v="1"/>
    <n v="0.05"/>
    <n v="7550"/>
    <x v="0"/>
    <s v="Express"/>
    <s v="Delivered"/>
    <n v="5"/>
    <s v="April"/>
    <x v="695"/>
    <n v="505"/>
    <n v="31401.841584158417"/>
    <n v="55"/>
  </r>
  <r>
    <s v="ORD0697"/>
    <x v="696"/>
    <x v="16"/>
    <x v="5"/>
    <x v="16"/>
    <x v="0"/>
    <x v="7"/>
    <x v="5"/>
    <x v="2"/>
    <s v="Corporate"/>
    <x v="2"/>
    <s v="Paper"/>
    <x v="3"/>
    <n v="9100"/>
    <x v="2"/>
    <n v="0.03"/>
    <n v="2260"/>
    <x v="2"/>
    <s v="Standard"/>
    <s v="Delivered"/>
    <n v="4"/>
    <s v="April"/>
    <x v="696"/>
    <n v="504"/>
    <n v="31386.765873015873"/>
    <n v="55"/>
  </r>
  <r>
    <s v="ORD0698"/>
    <x v="697"/>
    <x v="17"/>
    <x v="0"/>
    <x v="17"/>
    <x v="1"/>
    <x v="0"/>
    <x v="0"/>
    <x v="0"/>
    <s v="Consumer"/>
    <x v="1"/>
    <s v="Tables"/>
    <x v="4"/>
    <n v="36300"/>
    <x v="1"/>
    <n v="0.1"/>
    <n v="5880"/>
    <x v="0"/>
    <s v="Express"/>
    <s v="Delivered"/>
    <n v="5"/>
    <s v="April"/>
    <x v="697"/>
    <n v="503"/>
    <n v="31431.07355864811"/>
    <n v="55"/>
  </r>
  <r>
    <s v="ORD0699"/>
    <x v="698"/>
    <x v="18"/>
    <x v="2"/>
    <x v="18"/>
    <x v="0"/>
    <x v="9"/>
    <x v="7"/>
    <x v="1"/>
    <s v="Corporate"/>
    <x v="0"/>
    <s v="Accessories"/>
    <x v="5"/>
    <n v="5850"/>
    <x v="9"/>
    <n v="0.05"/>
    <n v="1530"/>
    <x v="1"/>
    <s v="Standard"/>
    <s v="Delivered"/>
    <n v="3"/>
    <s v="April"/>
    <x v="698"/>
    <n v="502"/>
    <n v="31421.374501992032"/>
    <n v="55"/>
  </r>
  <r>
    <s v="ORD0700"/>
    <x v="699"/>
    <x v="19"/>
    <x v="7"/>
    <x v="19"/>
    <x v="1"/>
    <x v="6"/>
    <x v="0"/>
    <x v="0"/>
    <s v="Consumer"/>
    <x v="0"/>
    <s v="Accessories"/>
    <x v="6"/>
    <n v="5300"/>
    <x v="12"/>
    <n v="0"/>
    <n v="1590"/>
    <x v="0"/>
    <s v="Standard"/>
    <s v="Delivered"/>
    <n v="4"/>
    <s v="April"/>
    <x v="699"/>
    <n v="501"/>
    <n v="31472.415169660679"/>
    <n v="55"/>
  </r>
  <r>
    <s v="ORD0701"/>
    <x v="700"/>
    <x v="0"/>
    <x v="0"/>
    <x v="0"/>
    <x v="0"/>
    <x v="0"/>
    <x v="0"/>
    <x v="0"/>
    <s v="Consumer"/>
    <x v="0"/>
    <s v="Computers"/>
    <x v="0"/>
    <n v="101500"/>
    <x v="0"/>
    <n v="0.05"/>
    <n v="13500"/>
    <x v="0"/>
    <s v="Express"/>
    <s v="Delivered"/>
    <n v="5"/>
    <s v="May"/>
    <x v="700"/>
    <n v="500"/>
    <n v="31524.76"/>
    <n v="55"/>
  </r>
  <r>
    <s v="ORD0702"/>
    <x v="701"/>
    <x v="1"/>
    <x v="1"/>
    <x v="1"/>
    <x v="1"/>
    <x v="1"/>
    <x v="1"/>
    <x v="1"/>
    <s v="Corporate"/>
    <x v="1"/>
    <s v="Chairs"/>
    <x v="1"/>
    <n v="15800"/>
    <x v="3"/>
    <n v="0.1"/>
    <n v="3720"/>
    <x v="1"/>
    <s v="Standard"/>
    <s v="Delivered"/>
    <n v="4"/>
    <s v="May"/>
    <x v="701"/>
    <n v="499"/>
    <n v="31384.529058116234"/>
    <n v="55"/>
  </r>
  <r>
    <s v="ORD0703"/>
    <x v="702"/>
    <x v="2"/>
    <x v="2"/>
    <x v="2"/>
    <x v="0"/>
    <x v="2"/>
    <x v="2"/>
    <x v="2"/>
    <s v="Consumer"/>
    <x v="0"/>
    <s v="Accessories"/>
    <x v="2"/>
    <n v="36900"/>
    <x v="1"/>
    <n v="0.05"/>
    <n v="7100"/>
    <x v="2"/>
    <s v="Standard"/>
    <s v="Delivered"/>
    <n v="4"/>
    <s v="May"/>
    <x v="702"/>
    <n v="498"/>
    <n v="31415.823293172693"/>
    <n v="55"/>
  </r>
  <r>
    <s v="ORD0704"/>
    <x v="703"/>
    <x v="3"/>
    <x v="3"/>
    <x v="3"/>
    <x v="1"/>
    <x v="3"/>
    <x v="0"/>
    <x v="0"/>
    <s v="Consumer"/>
    <x v="2"/>
    <s v="Paper"/>
    <x v="7"/>
    <n v="1070"/>
    <x v="6"/>
    <n v="0.02"/>
    <n v="315"/>
    <x v="0"/>
    <s v="Standard"/>
    <s v="Delivered"/>
    <n v="5"/>
    <s v="May"/>
    <x v="703"/>
    <n v="497"/>
    <n v="31404.788732394365"/>
    <n v="55"/>
  </r>
  <r>
    <s v="ORD0705"/>
    <x v="704"/>
    <x v="4"/>
    <x v="4"/>
    <x v="4"/>
    <x v="0"/>
    <x v="4"/>
    <x v="3"/>
    <x v="0"/>
    <s v="Corporate"/>
    <x v="1"/>
    <s v="Tables"/>
    <x v="4"/>
    <n v="38200"/>
    <x v="1"/>
    <n v="0.08"/>
    <n v="6580"/>
    <x v="1"/>
    <s v="Express"/>
    <s v="Delivered"/>
    <n v="4"/>
    <s v="June"/>
    <x v="704"/>
    <n v="496"/>
    <n v="31465.947580645163"/>
    <n v="55"/>
  </r>
  <r>
    <s v="ORD0706"/>
    <x v="705"/>
    <x v="5"/>
    <x v="5"/>
    <x v="5"/>
    <x v="1"/>
    <x v="5"/>
    <x v="4"/>
    <x v="1"/>
    <s v="Consumer"/>
    <x v="0"/>
    <s v="Accessories"/>
    <x v="5"/>
    <n v="5550"/>
    <x v="3"/>
    <n v="0.05"/>
    <n v="1470"/>
    <x v="0"/>
    <s v="Standard"/>
    <s v="Delivered"/>
    <n v="4"/>
    <s v="June"/>
    <x v="705"/>
    <n v="495"/>
    <n v="31452.343434343435"/>
    <n v="55"/>
  </r>
  <r>
    <s v="ORD0707"/>
    <x v="706"/>
    <x v="6"/>
    <x v="0"/>
    <x v="6"/>
    <x v="0"/>
    <x v="6"/>
    <x v="0"/>
    <x v="0"/>
    <s v="Consumer"/>
    <x v="0"/>
    <s v="Accessories"/>
    <x v="6"/>
    <n v="5400"/>
    <x v="10"/>
    <n v="0"/>
    <n v="1620"/>
    <x v="3"/>
    <s v="Standard"/>
    <s v="Delivered"/>
    <n v="3"/>
    <s v="June"/>
    <x v="706"/>
    <n v="494"/>
    <n v="31504.777327935222"/>
    <n v="55"/>
  </r>
  <r>
    <s v="ORD0708"/>
    <x v="707"/>
    <x v="7"/>
    <x v="6"/>
    <x v="7"/>
    <x v="1"/>
    <x v="7"/>
    <x v="5"/>
    <x v="2"/>
    <s v="Corporate"/>
    <x v="2"/>
    <s v="Paper"/>
    <x v="3"/>
    <n v="9200"/>
    <x v="2"/>
    <n v="0.02"/>
    <n v="2280"/>
    <x v="0"/>
    <s v="Standard"/>
    <s v="Delivered"/>
    <n v="5"/>
    <s v="June"/>
    <x v="707"/>
    <n v="493"/>
    <n v="31557.728194726165"/>
    <n v="55"/>
  </r>
  <r>
    <s v="ORD0709"/>
    <x v="708"/>
    <x v="8"/>
    <x v="1"/>
    <x v="8"/>
    <x v="0"/>
    <x v="8"/>
    <x v="6"/>
    <x v="3"/>
    <s v="Corporate"/>
    <x v="1"/>
    <s v="Storage"/>
    <x v="8"/>
    <n v="24200"/>
    <x v="0"/>
    <n v="0.1"/>
    <n v="4380"/>
    <x v="1"/>
    <s v="Express"/>
    <s v="Delivered"/>
    <n v="4"/>
    <s v="July"/>
    <x v="708"/>
    <n v="492"/>
    <n v="31603.170731707316"/>
    <n v="55"/>
  </r>
  <r>
    <s v="ORD0710"/>
    <x v="709"/>
    <x v="9"/>
    <x v="4"/>
    <x v="9"/>
    <x v="1"/>
    <x v="0"/>
    <x v="0"/>
    <x v="0"/>
    <s v="Consumer"/>
    <x v="0"/>
    <s v="Printers"/>
    <x v="9"/>
    <n v="26400"/>
    <x v="1"/>
    <n v="0.05"/>
    <n v="5140"/>
    <x v="0"/>
    <s v="Standard"/>
    <s v="Delivered"/>
    <n v="4"/>
    <s v="July"/>
    <x v="709"/>
    <n v="491"/>
    <n v="31618.248472505093"/>
    <n v="55"/>
  </r>
  <r>
    <s v="ORD0711"/>
    <x v="710"/>
    <x v="10"/>
    <x v="7"/>
    <x v="10"/>
    <x v="0"/>
    <x v="9"/>
    <x v="7"/>
    <x v="1"/>
    <s v="Consumer"/>
    <x v="2"/>
    <s v="Accessories"/>
    <x v="10"/>
    <n v="1560"/>
    <x v="11"/>
    <n v="0"/>
    <n v="490"/>
    <x v="2"/>
    <s v="Standard"/>
    <s v="Delivered"/>
    <n v="5"/>
    <s v="July"/>
    <x v="710"/>
    <n v="490"/>
    <n v="31628.897959183672"/>
    <n v="55"/>
  </r>
  <r>
    <s v="ORD0712"/>
    <x v="711"/>
    <x v="11"/>
    <x v="3"/>
    <x v="11"/>
    <x v="1"/>
    <x v="2"/>
    <x v="2"/>
    <x v="2"/>
    <s v="Corporate"/>
    <x v="1"/>
    <s v="Tables"/>
    <x v="11"/>
    <n v="39200"/>
    <x v="0"/>
    <n v="0.08"/>
    <n v="8300"/>
    <x v="1"/>
    <s v="Express"/>
    <s v="Delivered"/>
    <n v="4"/>
    <s v="July"/>
    <x v="711"/>
    <n v="489"/>
    <n v="31690.388548057261"/>
    <n v="55"/>
  </r>
  <r>
    <s v="ORD0713"/>
    <x v="712"/>
    <x v="12"/>
    <x v="0"/>
    <x v="12"/>
    <x v="0"/>
    <x v="3"/>
    <x v="0"/>
    <x v="0"/>
    <s v="Consumer"/>
    <x v="0"/>
    <s v="Computers"/>
    <x v="0"/>
    <n v="107000"/>
    <x v="0"/>
    <n v="0.1"/>
    <n v="12600"/>
    <x v="0"/>
    <s v="Express"/>
    <s v="Delivered"/>
    <n v="5"/>
    <s v="July"/>
    <x v="712"/>
    <n v="488"/>
    <n v="31675"/>
    <n v="55"/>
  </r>
  <r>
    <s v="ORD0714"/>
    <x v="713"/>
    <x v="13"/>
    <x v="1"/>
    <x v="13"/>
    <x v="1"/>
    <x v="4"/>
    <x v="3"/>
    <x v="0"/>
    <s v="Consumer"/>
    <x v="2"/>
    <s v="Storage"/>
    <x v="12"/>
    <n v="2040"/>
    <x v="5"/>
    <n v="0.05"/>
    <n v="660"/>
    <x v="3"/>
    <s v="Standard"/>
    <s v="Delivered"/>
    <n v="4"/>
    <s v="August"/>
    <x v="713"/>
    <n v="487"/>
    <n v="31520.328542094456"/>
    <n v="55"/>
  </r>
  <r>
    <s v="ORD0715"/>
    <x v="714"/>
    <x v="14"/>
    <x v="8"/>
    <x v="14"/>
    <x v="0"/>
    <x v="5"/>
    <x v="4"/>
    <x v="1"/>
    <s v="Corporate"/>
    <x v="1"/>
    <s v="Chairs"/>
    <x v="1"/>
    <n v="19600"/>
    <x v="9"/>
    <n v="7.0000000000000007E-2"/>
    <n v="4500"/>
    <x v="1"/>
    <s v="Standard"/>
    <s v="Delivered"/>
    <n v="4"/>
    <s v="August"/>
    <x v="714"/>
    <n v="486"/>
    <n v="31580.987654320987"/>
    <n v="55"/>
  </r>
  <r>
    <s v="ORD0716"/>
    <x v="715"/>
    <x v="15"/>
    <x v="6"/>
    <x v="15"/>
    <x v="1"/>
    <x v="1"/>
    <x v="1"/>
    <x v="1"/>
    <s v="Consumer"/>
    <x v="0"/>
    <s v="Accessories"/>
    <x v="2"/>
    <n v="39700"/>
    <x v="1"/>
    <n v="0.05"/>
    <n v="7700"/>
    <x v="0"/>
    <s v="Express"/>
    <s v="Delivered"/>
    <n v="5"/>
    <s v="August"/>
    <x v="715"/>
    <n v="485"/>
    <n v="31605.690721649484"/>
    <n v="55"/>
  </r>
  <r>
    <s v="ORD0717"/>
    <x v="716"/>
    <x v="16"/>
    <x v="5"/>
    <x v="16"/>
    <x v="0"/>
    <x v="7"/>
    <x v="5"/>
    <x v="2"/>
    <s v="Corporate"/>
    <x v="2"/>
    <s v="Paper"/>
    <x v="3"/>
    <n v="9300"/>
    <x v="2"/>
    <n v="0.03"/>
    <n v="2310"/>
    <x v="2"/>
    <s v="Standard"/>
    <s v="Delivered"/>
    <n v="4"/>
    <s v="August"/>
    <x v="716"/>
    <n v="484"/>
    <n v="31588.96694214876"/>
    <n v="55"/>
  </r>
  <r>
    <s v="ORD0718"/>
    <x v="717"/>
    <x v="17"/>
    <x v="0"/>
    <x v="17"/>
    <x v="1"/>
    <x v="0"/>
    <x v="0"/>
    <x v="0"/>
    <s v="Consumer"/>
    <x v="1"/>
    <s v="Tables"/>
    <x v="4"/>
    <n v="37000"/>
    <x v="1"/>
    <n v="0.1"/>
    <n v="6000"/>
    <x v="0"/>
    <s v="Express"/>
    <s v="Delivered"/>
    <n v="5"/>
    <s v="September"/>
    <x v="717"/>
    <n v="483"/>
    <n v="31635.113871635611"/>
    <n v="55"/>
  </r>
  <r>
    <s v="ORD0719"/>
    <x v="718"/>
    <x v="18"/>
    <x v="2"/>
    <x v="18"/>
    <x v="0"/>
    <x v="9"/>
    <x v="7"/>
    <x v="1"/>
    <s v="Corporate"/>
    <x v="0"/>
    <s v="Accessories"/>
    <x v="5"/>
    <n v="5950"/>
    <x v="9"/>
    <n v="0.05"/>
    <n v="1560"/>
    <x v="1"/>
    <s v="Standard"/>
    <s v="Delivered"/>
    <n v="3"/>
    <s v="September"/>
    <x v="718"/>
    <n v="482"/>
    <n v="31623.983402489626"/>
    <n v="55"/>
  </r>
  <r>
    <s v="ORD0720"/>
    <x v="719"/>
    <x v="19"/>
    <x v="7"/>
    <x v="19"/>
    <x v="1"/>
    <x v="6"/>
    <x v="0"/>
    <x v="0"/>
    <s v="Consumer"/>
    <x v="0"/>
    <s v="Accessories"/>
    <x v="6"/>
    <n v="5500"/>
    <x v="12"/>
    <n v="0"/>
    <n v="1650"/>
    <x v="0"/>
    <s v="Standard"/>
    <s v="Delivered"/>
    <n v="4"/>
    <s v="September"/>
    <x v="719"/>
    <n v="481"/>
    <n v="31677.359667359666"/>
    <n v="55"/>
  </r>
  <r>
    <s v="ORD0721"/>
    <x v="720"/>
    <x v="0"/>
    <x v="0"/>
    <x v="0"/>
    <x v="0"/>
    <x v="0"/>
    <x v="0"/>
    <x v="0"/>
    <s v="Consumer"/>
    <x v="0"/>
    <s v="Computers"/>
    <x v="0"/>
    <n v="103000"/>
    <x v="0"/>
    <n v="0.05"/>
    <n v="13700"/>
    <x v="0"/>
    <s v="Express"/>
    <s v="Delivered"/>
    <n v="5"/>
    <s v="September"/>
    <x v="720"/>
    <n v="480"/>
    <n v="31731.895833333332"/>
    <n v="55"/>
  </r>
  <r>
    <s v="ORD0722"/>
    <x v="721"/>
    <x v="1"/>
    <x v="1"/>
    <x v="1"/>
    <x v="1"/>
    <x v="1"/>
    <x v="1"/>
    <x v="1"/>
    <s v="Corporate"/>
    <x v="1"/>
    <s v="Chairs"/>
    <x v="1"/>
    <n v="16100"/>
    <x v="3"/>
    <n v="0.1"/>
    <n v="3800"/>
    <x v="1"/>
    <s v="Standard"/>
    <s v="Delivered"/>
    <n v="4"/>
    <s v="October"/>
    <x v="721"/>
    <n v="479"/>
    <n v="31583.110647181627"/>
    <n v="55"/>
  </r>
  <r>
    <s v="ORD0723"/>
    <x v="722"/>
    <x v="2"/>
    <x v="2"/>
    <x v="2"/>
    <x v="0"/>
    <x v="2"/>
    <x v="2"/>
    <x v="2"/>
    <s v="Consumer"/>
    <x v="0"/>
    <s v="Accessories"/>
    <x v="2"/>
    <n v="37600"/>
    <x v="1"/>
    <n v="0.05"/>
    <n v="7250"/>
    <x v="2"/>
    <s v="Standard"/>
    <s v="Delivered"/>
    <n v="4"/>
    <s v="October"/>
    <x v="722"/>
    <n v="478"/>
    <n v="31615.50209205021"/>
    <n v="55"/>
  </r>
  <r>
    <s v="ORD0724"/>
    <x v="723"/>
    <x v="3"/>
    <x v="3"/>
    <x v="3"/>
    <x v="1"/>
    <x v="3"/>
    <x v="0"/>
    <x v="0"/>
    <s v="Consumer"/>
    <x v="2"/>
    <s v="Paper"/>
    <x v="7"/>
    <n v="1090"/>
    <x v="6"/>
    <n v="0.02"/>
    <n v="320"/>
    <x v="0"/>
    <s v="Standard"/>
    <s v="Delivered"/>
    <n v="5"/>
    <s v="October"/>
    <x v="723"/>
    <n v="477"/>
    <n v="31602.955974842767"/>
    <n v="55"/>
  </r>
  <r>
    <s v="ORD0725"/>
    <x v="724"/>
    <x v="4"/>
    <x v="4"/>
    <x v="4"/>
    <x v="0"/>
    <x v="4"/>
    <x v="3"/>
    <x v="0"/>
    <s v="Corporate"/>
    <x v="1"/>
    <s v="Tables"/>
    <x v="4"/>
    <n v="39000"/>
    <x v="1"/>
    <n v="0.08"/>
    <n v="6720"/>
    <x v="1"/>
    <s v="Express"/>
    <s v="Delivered"/>
    <n v="4"/>
    <s v="October"/>
    <x v="724"/>
    <n v="476"/>
    <n v="31667.058823529413"/>
    <n v="55"/>
  </r>
  <r>
    <s v="ORD0726"/>
    <x v="725"/>
    <x v="5"/>
    <x v="5"/>
    <x v="5"/>
    <x v="1"/>
    <x v="5"/>
    <x v="4"/>
    <x v="1"/>
    <s v="Consumer"/>
    <x v="0"/>
    <s v="Accessories"/>
    <x v="5"/>
    <n v="5650"/>
    <x v="3"/>
    <n v="0.05"/>
    <n v="1500"/>
    <x v="0"/>
    <s v="Standard"/>
    <s v="Delivered"/>
    <n v="4"/>
    <s v="October"/>
    <x v="725"/>
    <n v="475"/>
    <n v="31651.621052631577"/>
    <n v="55"/>
  </r>
  <r>
    <s v="ORD0727"/>
    <x v="726"/>
    <x v="6"/>
    <x v="0"/>
    <x v="6"/>
    <x v="0"/>
    <x v="6"/>
    <x v="0"/>
    <x v="0"/>
    <s v="Consumer"/>
    <x v="0"/>
    <s v="Accessories"/>
    <x v="6"/>
    <n v="5600"/>
    <x v="10"/>
    <n v="0"/>
    <n v="1680"/>
    <x v="3"/>
    <s v="Standard"/>
    <s v="Delivered"/>
    <n v="3"/>
    <s v="November"/>
    <x v="726"/>
    <n v="474"/>
    <n v="31706.476793248945"/>
    <n v="55"/>
  </r>
  <r>
    <s v="ORD0728"/>
    <x v="727"/>
    <x v="7"/>
    <x v="6"/>
    <x v="7"/>
    <x v="1"/>
    <x v="7"/>
    <x v="5"/>
    <x v="2"/>
    <s v="Corporate"/>
    <x v="2"/>
    <s v="Paper"/>
    <x v="3"/>
    <n v="9400"/>
    <x v="2"/>
    <n v="0.02"/>
    <n v="2330"/>
    <x v="0"/>
    <s v="Standard"/>
    <s v="Delivered"/>
    <n v="5"/>
    <s v="November"/>
    <x v="727"/>
    <n v="473"/>
    <n v="31761.670190274843"/>
    <n v="55"/>
  </r>
  <r>
    <s v="ORD0729"/>
    <x v="728"/>
    <x v="8"/>
    <x v="1"/>
    <x v="8"/>
    <x v="0"/>
    <x v="8"/>
    <x v="6"/>
    <x v="3"/>
    <s v="Corporate"/>
    <x v="1"/>
    <s v="Storage"/>
    <x v="8"/>
    <n v="24600"/>
    <x v="0"/>
    <n v="0.1"/>
    <n v="4460"/>
    <x v="1"/>
    <s v="Express"/>
    <s v="Delivered"/>
    <n v="4"/>
    <s v="November"/>
    <x v="728"/>
    <n v="472"/>
    <n v="31809.046610169491"/>
    <n v="55"/>
  </r>
  <r>
    <s v="ORD0730"/>
    <x v="729"/>
    <x v="9"/>
    <x v="4"/>
    <x v="9"/>
    <x v="1"/>
    <x v="0"/>
    <x v="0"/>
    <x v="0"/>
    <s v="Consumer"/>
    <x v="0"/>
    <s v="Printers"/>
    <x v="9"/>
    <n v="26800"/>
    <x v="1"/>
    <n v="0.05"/>
    <n v="5220"/>
    <x v="0"/>
    <s v="Standard"/>
    <s v="Delivered"/>
    <n v="4"/>
    <s v="November"/>
    <x v="729"/>
    <n v="471"/>
    <n v="31824.352441613588"/>
    <n v="55"/>
  </r>
  <r>
    <s v="ORD0731"/>
    <x v="730"/>
    <x v="10"/>
    <x v="7"/>
    <x v="10"/>
    <x v="0"/>
    <x v="9"/>
    <x v="7"/>
    <x v="1"/>
    <s v="Consumer"/>
    <x v="2"/>
    <s v="Accessories"/>
    <x v="10"/>
    <n v="1590"/>
    <x v="11"/>
    <n v="0"/>
    <n v="500"/>
    <x v="2"/>
    <s v="Standard"/>
    <s v="Delivered"/>
    <n v="5"/>
    <s v="December"/>
    <x v="730"/>
    <n v="470"/>
    <n v="31835.042553191488"/>
    <n v="55"/>
  </r>
  <r>
    <s v="ORD0732"/>
    <x v="731"/>
    <x v="11"/>
    <x v="3"/>
    <x v="11"/>
    <x v="1"/>
    <x v="2"/>
    <x v="2"/>
    <x v="2"/>
    <s v="Corporate"/>
    <x v="1"/>
    <s v="Tables"/>
    <x v="11"/>
    <n v="39800"/>
    <x v="0"/>
    <n v="0.08"/>
    <n v="8450"/>
    <x v="1"/>
    <s v="Express"/>
    <s v="Delivered"/>
    <n v="4"/>
    <s v="December"/>
    <x v="731"/>
    <n v="469"/>
    <n v="31899.530916844349"/>
    <n v="55"/>
  </r>
  <r>
    <s v="ORD0733"/>
    <x v="732"/>
    <x v="12"/>
    <x v="0"/>
    <x v="12"/>
    <x v="0"/>
    <x v="3"/>
    <x v="0"/>
    <x v="0"/>
    <s v="Consumer"/>
    <x v="0"/>
    <s v="Computers"/>
    <x v="0"/>
    <n v="108500"/>
    <x v="0"/>
    <n v="0.1"/>
    <n v="12800"/>
    <x v="0"/>
    <s v="Express"/>
    <s v="Delivered"/>
    <n v="5"/>
    <s v="December"/>
    <x v="732"/>
    <n v="468"/>
    <n v="31882.649572649574"/>
    <n v="55"/>
  </r>
  <r>
    <s v="ORD0734"/>
    <x v="733"/>
    <x v="13"/>
    <x v="1"/>
    <x v="13"/>
    <x v="1"/>
    <x v="4"/>
    <x v="3"/>
    <x v="0"/>
    <s v="Consumer"/>
    <x v="2"/>
    <s v="Storage"/>
    <x v="12"/>
    <n v="2080"/>
    <x v="5"/>
    <n v="0.05"/>
    <n v="675"/>
    <x v="3"/>
    <s v="Standard"/>
    <s v="Delivered"/>
    <n v="4"/>
    <s v="December"/>
    <x v="733"/>
    <n v="467"/>
    <n v="31718.586723768738"/>
    <n v="55"/>
  </r>
  <r>
    <s v="ORD0735"/>
    <x v="734"/>
    <x v="14"/>
    <x v="8"/>
    <x v="14"/>
    <x v="0"/>
    <x v="5"/>
    <x v="4"/>
    <x v="1"/>
    <s v="Corporate"/>
    <x v="1"/>
    <s v="Chairs"/>
    <x v="1"/>
    <n v="20000"/>
    <x v="9"/>
    <n v="7.0000000000000007E-2"/>
    <n v="4600"/>
    <x v="1"/>
    <s v="Standard"/>
    <s v="Delivered"/>
    <n v="4"/>
    <s v="December"/>
    <x v="734"/>
    <n v="466"/>
    <n v="31782.188841201718"/>
    <n v="55"/>
  </r>
  <r>
    <s v="ORD0736"/>
    <x v="735"/>
    <x v="15"/>
    <x v="6"/>
    <x v="15"/>
    <x v="1"/>
    <x v="1"/>
    <x v="1"/>
    <x v="1"/>
    <s v="Consumer"/>
    <x v="0"/>
    <s v="Accessories"/>
    <x v="2"/>
    <n v="40400"/>
    <x v="1"/>
    <n v="0.05"/>
    <n v="7850"/>
    <x v="0"/>
    <s v="Express"/>
    <s v="Delivered"/>
    <n v="5"/>
    <s v="January"/>
    <x v="735"/>
    <n v="465"/>
    <n v="31807.526881720431"/>
    <n v="55"/>
  </r>
  <r>
    <s v="ORD0737"/>
    <x v="736"/>
    <x v="16"/>
    <x v="5"/>
    <x v="16"/>
    <x v="0"/>
    <x v="7"/>
    <x v="5"/>
    <x v="2"/>
    <s v="Corporate"/>
    <x v="2"/>
    <s v="Paper"/>
    <x v="3"/>
    <n v="9500"/>
    <x v="2"/>
    <n v="0.03"/>
    <n v="2360"/>
    <x v="2"/>
    <s v="Standard"/>
    <s v="Delivered"/>
    <n v="4"/>
    <s v="January"/>
    <x v="736"/>
    <n v="464"/>
    <n v="31789.008620689656"/>
    <n v="55"/>
  </r>
  <r>
    <s v="ORD0738"/>
    <x v="737"/>
    <x v="17"/>
    <x v="0"/>
    <x v="17"/>
    <x v="1"/>
    <x v="0"/>
    <x v="0"/>
    <x v="0"/>
    <s v="Consumer"/>
    <x v="1"/>
    <s v="Tables"/>
    <x v="4"/>
    <n v="37700"/>
    <x v="1"/>
    <n v="0.1"/>
    <n v="6120"/>
    <x v="0"/>
    <s v="Express"/>
    <s v="Delivered"/>
    <n v="5"/>
    <s v="January"/>
    <x v="737"/>
    <n v="463"/>
    <n v="31837.149028077754"/>
    <n v="55"/>
  </r>
  <r>
    <s v="ORD0739"/>
    <x v="738"/>
    <x v="18"/>
    <x v="2"/>
    <x v="18"/>
    <x v="0"/>
    <x v="9"/>
    <x v="7"/>
    <x v="1"/>
    <s v="Corporate"/>
    <x v="0"/>
    <s v="Accessories"/>
    <x v="5"/>
    <n v="6050"/>
    <x v="9"/>
    <n v="0.05"/>
    <n v="1590"/>
    <x v="1"/>
    <s v="Standard"/>
    <s v="Delivered"/>
    <n v="3"/>
    <s v="January"/>
    <x v="738"/>
    <n v="462"/>
    <n v="31824.458874458873"/>
    <n v="55"/>
  </r>
  <r>
    <s v="ORD0740"/>
    <x v="739"/>
    <x v="19"/>
    <x v="7"/>
    <x v="19"/>
    <x v="1"/>
    <x v="6"/>
    <x v="0"/>
    <x v="0"/>
    <s v="Consumer"/>
    <x v="0"/>
    <s v="Accessories"/>
    <x v="6"/>
    <n v="5700"/>
    <x v="12"/>
    <n v="0"/>
    <n v="1710"/>
    <x v="0"/>
    <s v="Standard"/>
    <s v="Delivered"/>
    <n v="4"/>
    <s v="February"/>
    <x v="739"/>
    <n v="461"/>
    <n v="31880.368763557482"/>
    <n v="55"/>
  </r>
  <r>
    <s v="ORD0741"/>
    <x v="740"/>
    <x v="0"/>
    <x v="0"/>
    <x v="0"/>
    <x v="0"/>
    <x v="0"/>
    <x v="0"/>
    <x v="0"/>
    <s v="Consumer"/>
    <x v="0"/>
    <s v="Computers"/>
    <x v="0"/>
    <n v="104500"/>
    <x v="0"/>
    <n v="0.05"/>
    <n v="13900"/>
    <x v="0"/>
    <s v="Express"/>
    <s v="Delivered"/>
    <n v="5"/>
    <s v="February"/>
    <x v="740"/>
    <n v="460"/>
    <n v="31937.282608695652"/>
    <n v="55"/>
  </r>
  <r>
    <s v="ORD0742"/>
    <x v="741"/>
    <x v="1"/>
    <x v="1"/>
    <x v="1"/>
    <x v="1"/>
    <x v="1"/>
    <x v="1"/>
    <x v="1"/>
    <s v="Corporate"/>
    <x v="1"/>
    <s v="Chairs"/>
    <x v="1"/>
    <n v="16400"/>
    <x v="3"/>
    <n v="0.1"/>
    <n v="3880"/>
    <x v="1"/>
    <s v="Standard"/>
    <s v="Delivered"/>
    <n v="4"/>
    <s v="February"/>
    <x v="741"/>
    <n v="459"/>
    <n v="31779.193899782134"/>
    <n v="55"/>
  </r>
  <r>
    <s v="ORD0743"/>
    <x v="742"/>
    <x v="2"/>
    <x v="2"/>
    <x v="2"/>
    <x v="0"/>
    <x v="2"/>
    <x v="2"/>
    <x v="2"/>
    <s v="Consumer"/>
    <x v="0"/>
    <s v="Accessories"/>
    <x v="2"/>
    <n v="38300"/>
    <x v="1"/>
    <n v="0.05"/>
    <n v="7400"/>
    <x v="2"/>
    <s v="Standard"/>
    <s v="Delivered"/>
    <n v="4"/>
    <s v="February"/>
    <x v="742"/>
    <n v="458"/>
    <n v="31812.772925764191"/>
    <n v="55"/>
  </r>
  <r>
    <s v="ORD0744"/>
    <x v="743"/>
    <x v="3"/>
    <x v="3"/>
    <x v="3"/>
    <x v="1"/>
    <x v="3"/>
    <x v="0"/>
    <x v="0"/>
    <s v="Consumer"/>
    <x v="2"/>
    <s v="Paper"/>
    <x v="7"/>
    <n v="1110"/>
    <x v="6"/>
    <n v="0.02"/>
    <n v="325"/>
    <x v="0"/>
    <s v="Standard"/>
    <s v="Delivered"/>
    <n v="5"/>
    <s v="March"/>
    <x v="743"/>
    <n v="457"/>
    <n v="31798.577680525163"/>
    <n v="55"/>
  </r>
  <r>
    <s v="ORD0745"/>
    <x v="744"/>
    <x v="4"/>
    <x v="4"/>
    <x v="4"/>
    <x v="0"/>
    <x v="4"/>
    <x v="3"/>
    <x v="0"/>
    <s v="Corporate"/>
    <x v="1"/>
    <s v="Tables"/>
    <x v="4"/>
    <n v="39800"/>
    <x v="1"/>
    <n v="0.08"/>
    <n v="6860"/>
    <x v="1"/>
    <s v="Express"/>
    <s v="Delivered"/>
    <n v="4"/>
    <s v="March"/>
    <x v="744"/>
    <n v="456"/>
    <n v="31865.877192982458"/>
    <n v="55"/>
  </r>
  <r>
    <s v="ORD0746"/>
    <x v="745"/>
    <x v="5"/>
    <x v="5"/>
    <x v="5"/>
    <x v="1"/>
    <x v="5"/>
    <x v="4"/>
    <x v="1"/>
    <s v="Consumer"/>
    <x v="0"/>
    <s v="Accessories"/>
    <x v="5"/>
    <n v="5750"/>
    <x v="3"/>
    <n v="0.05"/>
    <n v="1530"/>
    <x v="0"/>
    <s v="Standard"/>
    <s v="Delivered"/>
    <n v="4"/>
    <s v="March"/>
    <x v="745"/>
    <n v="455"/>
    <n v="31848.439560439561"/>
    <n v="55"/>
  </r>
  <r>
    <s v="ORD0747"/>
    <x v="746"/>
    <x v="6"/>
    <x v="0"/>
    <x v="6"/>
    <x v="0"/>
    <x v="6"/>
    <x v="0"/>
    <x v="0"/>
    <s v="Consumer"/>
    <x v="0"/>
    <s v="Accessories"/>
    <x v="6"/>
    <n v="5800"/>
    <x v="10"/>
    <n v="0"/>
    <n v="1740"/>
    <x v="3"/>
    <s v="Standard"/>
    <s v="Delivered"/>
    <n v="3"/>
    <s v="March"/>
    <x v="746"/>
    <n v="454"/>
    <n v="31905.925110132157"/>
    <n v="55"/>
  </r>
  <r>
    <s v="ORD0748"/>
    <x v="747"/>
    <x v="7"/>
    <x v="6"/>
    <x v="7"/>
    <x v="1"/>
    <x v="7"/>
    <x v="5"/>
    <x v="2"/>
    <s v="Corporate"/>
    <x v="2"/>
    <s v="Paper"/>
    <x v="3"/>
    <n v="9600"/>
    <x v="2"/>
    <n v="0.02"/>
    <n v="2380"/>
    <x v="0"/>
    <s v="Standard"/>
    <s v="Delivered"/>
    <n v="5"/>
    <s v="April"/>
    <x v="747"/>
    <n v="453"/>
    <n v="31963.55408388521"/>
    <n v="55"/>
  </r>
  <r>
    <s v="ORD0749"/>
    <x v="748"/>
    <x v="8"/>
    <x v="1"/>
    <x v="8"/>
    <x v="0"/>
    <x v="8"/>
    <x v="6"/>
    <x v="3"/>
    <s v="Corporate"/>
    <x v="1"/>
    <s v="Storage"/>
    <x v="8"/>
    <n v="25000"/>
    <x v="0"/>
    <n v="0.1"/>
    <n v="4540"/>
    <x v="1"/>
    <s v="Express"/>
    <s v="Delivered"/>
    <n v="4"/>
    <s v="April"/>
    <x v="748"/>
    <n v="452"/>
    <n v="32013.030973451328"/>
    <n v="55"/>
  </r>
  <r>
    <s v="ORD0750"/>
    <x v="749"/>
    <x v="9"/>
    <x v="4"/>
    <x v="9"/>
    <x v="1"/>
    <x v="0"/>
    <x v="0"/>
    <x v="0"/>
    <s v="Consumer"/>
    <x v="0"/>
    <s v="Printers"/>
    <x v="9"/>
    <n v="27200"/>
    <x v="1"/>
    <n v="0.05"/>
    <n v="5300"/>
    <x v="0"/>
    <s v="Standard"/>
    <s v="Delivered"/>
    <n v="4"/>
    <s v="April"/>
    <x v="749"/>
    <n v="451"/>
    <n v="32028.580931263859"/>
    <n v="55"/>
  </r>
  <r>
    <s v="ORD0751"/>
    <x v="750"/>
    <x v="10"/>
    <x v="7"/>
    <x v="10"/>
    <x v="0"/>
    <x v="9"/>
    <x v="7"/>
    <x v="1"/>
    <s v="Consumer"/>
    <x v="2"/>
    <s v="Accessories"/>
    <x v="10"/>
    <n v="1620"/>
    <x v="11"/>
    <n v="0"/>
    <n v="510"/>
    <x v="2"/>
    <s v="Standard"/>
    <s v="Delivered"/>
    <n v="5"/>
    <s v="April"/>
    <x v="750"/>
    <n v="450"/>
    <n v="32039.31111111111"/>
    <n v="55"/>
  </r>
  <r>
    <s v="ORD0752"/>
    <x v="751"/>
    <x v="11"/>
    <x v="3"/>
    <x v="11"/>
    <x v="1"/>
    <x v="2"/>
    <x v="2"/>
    <x v="2"/>
    <s v="Corporate"/>
    <x v="1"/>
    <s v="Tables"/>
    <x v="11"/>
    <n v="40400"/>
    <x v="0"/>
    <n v="0.08"/>
    <n v="8600"/>
    <x v="1"/>
    <s v="Express"/>
    <s v="Delivered"/>
    <n v="4"/>
    <s v="April"/>
    <x v="751"/>
    <n v="449"/>
    <n v="32107.06013363029"/>
    <n v="55"/>
  </r>
  <r>
    <s v="ORD0753"/>
    <x v="752"/>
    <x v="12"/>
    <x v="0"/>
    <x v="12"/>
    <x v="0"/>
    <x v="3"/>
    <x v="0"/>
    <x v="0"/>
    <s v="Consumer"/>
    <x v="0"/>
    <s v="Computers"/>
    <x v="0"/>
    <n v="110000"/>
    <x v="0"/>
    <n v="0.1"/>
    <n v="13000"/>
    <x v="0"/>
    <s v="Express"/>
    <s v="Delivered"/>
    <n v="5"/>
    <s v="May"/>
    <x v="752"/>
    <n v="448"/>
    <n v="32088.549107142859"/>
    <n v="55"/>
  </r>
  <r>
    <s v="ORD0754"/>
    <x v="753"/>
    <x v="13"/>
    <x v="1"/>
    <x v="13"/>
    <x v="1"/>
    <x v="4"/>
    <x v="3"/>
    <x v="0"/>
    <s v="Consumer"/>
    <x v="2"/>
    <s v="Storage"/>
    <x v="12"/>
    <n v="2120"/>
    <x v="5"/>
    <n v="0.05"/>
    <n v="690"/>
    <x v="3"/>
    <s v="Standard"/>
    <s v="Delivered"/>
    <n v="4"/>
    <s v="May"/>
    <x v="753"/>
    <n v="447"/>
    <n v="31914.250559284115"/>
    <n v="55"/>
  </r>
  <r>
    <s v="ORD0755"/>
    <x v="754"/>
    <x v="14"/>
    <x v="8"/>
    <x v="14"/>
    <x v="0"/>
    <x v="5"/>
    <x v="4"/>
    <x v="1"/>
    <s v="Corporate"/>
    <x v="1"/>
    <s v="Chairs"/>
    <x v="1"/>
    <n v="20400"/>
    <x v="9"/>
    <n v="7.0000000000000007E-2"/>
    <n v="4700"/>
    <x v="1"/>
    <s v="Standard"/>
    <s v="Delivered"/>
    <n v="4"/>
    <s v="May"/>
    <x v="754"/>
    <n v="446"/>
    <n v="31981.053811659192"/>
    <n v="55"/>
  </r>
  <r>
    <s v="ORD0756"/>
    <x v="755"/>
    <x v="15"/>
    <x v="6"/>
    <x v="15"/>
    <x v="1"/>
    <x v="1"/>
    <x v="1"/>
    <x v="1"/>
    <s v="Consumer"/>
    <x v="0"/>
    <s v="Accessories"/>
    <x v="2"/>
    <n v="41100"/>
    <x v="1"/>
    <n v="0.05"/>
    <n v="8000"/>
    <x v="0"/>
    <s v="Express"/>
    <s v="Delivered"/>
    <n v="5"/>
    <s v="May"/>
    <x v="755"/>
    <n v="445"/>
    <n v="32007.078651685395"/>
    <n v="55"/>
  </r>
  <r>
    <s v="ORD0757"/>
    <x v="756"/>
    <x v="16"/>
    <x v="5"/>
    <x v="16"/>
    <x v="0"/>
    <x v="7"/>
    <x v="5"/>
    <x v="2"/>
    <s v="Corporate"/>
    <x v="2"/>
    <s v="Paper"/>
    <x v="3"/>
    <n v="9700"/>
    <x v="2"/>
    <n v="0.03"/>
    <n v="2410"/>
    <x v="2"/>
    <s v="Standard"/>
    <s v="Delivered"/>
    <n v="4"/>
    <s v="June"/>
    <x v="756"/>
    <n v="444"/>
    <n v="31986.599099099098"/>
    <n v="55"/>
  </r>
  <r>
    <s v="ORD0758"/>
    <x v="757"/>
    <x v="17"/>
    <x v="0"/>
    <x v="17"/>
    <x v="1"/>
    <x v="0"/>
    <x v="0"/>
    <x v="0"/>
    <s v="Consumer"/>
    <x v="1"/>
    <s v="Tables"/>
    <x v="4"/>
    <n v="38400"/>
    <x v="1"/>
    <n v="0.1"/>
    <n v="6240"/>
    <x v="0"/>
    <s v="Express"/>
    <s v="Delivered"/>
    <n v="5"/>
    <s v="June"/>
    <x v="757"/>
    <n v="443"/>
    <n v="32036.907449209932"/>
    <n v="55"/>
  </r>
  <r>
    <s v="ORD0759"/>
    <x v="758"/>
    <x v="18"/>
    <x v="2"/>
    <x v="18"/>
    <x v="0"/>
    <x v="9"/>
    <x v="7"/>
    <x v="1"/>
    <s v="Corporate"/>
    <x v="0"/>
    <s v="Accessories"/>
    <x v="5"/>
    <n v="6150"/>
    <x v="9"/>
    <n v="0.05"/>
    <n v="1620"/>
    <x v="1"/>
    <s v="Standard"/>
    <s v="Delivered"/>
    <n v="3"/>
    <s v="June"/>
    <x v="758"/>
    <n v="442"/>
    <n v="32022.511312217193"/>
    <n v="55"/>
  </r>
  <r>
    <s v="ORD0760"/>
    <x v="759"/>
    <x v="19"/>
    <x v="7"/>
    <x v="19"/>
    <x v="1"/>
    <x v="6"/>
    <x v="0"/>
    <x v="0"/>
    <s v="Consumer"/>
    <x v="0"/>
    <s v="Accessories"/>
    <x v="6"/>
    <n v="5900"/>
    <x v="12"/>
    <n v="0"/>
    <n v="1770"/>
    <x v="0"/>
    <s v="Standard"/>
    <s v="Delivered"/>
    <n v="4"/>
    <s v="June"/>
    <x v="759"/>
    <n v="441"/>
    <n v="32081.179138321997"/>
    <n v="55"/>
  </r>
  <r>
    <s v="ORD0761"/>
    <x v="760"/>
    <x v="0"/>
    <x v="0"/>
    <x v="0"/>
    <x v="0"/>
    <x v="0"/>
    <x v="0"/>
    <x v="0"/>
    <s v="Consumer"/>
    <x v="0"/>
    <s v="Computers"/>
    <x v="0"/>
    <n v="106000"/>
    <x v="0"/>
    <n v="0.05"/>
    <n v="14100"/>
    <x v="0"/>
    <s v="Express"/>
    <s v="Delivered"/>
    <n v="5"/>
    <s v="July"/>
    <x v="760"/>
    <n v="440"/>
    <n v="32140.68181818182"/>
    <n v="55"/>
  </r>
  <r>
    <s v="ORD0762"/>
    <x v="761"/>
    <x v="1"/>
    <x v="1"/>
    <x v="1"/>
    <x v="1"/>
    <x v="1"/>
    <x v="1"/>
    <x v="1"/>
    <s v="Corporate"/>
    <x v="1"/>
    <s v="Chairs"/>
    <x v="1"/>
    <n v="16700"/>
    <x v="3"/>
    <n v="0.1"/>
    <n v="3960"/>
    <x v="1"/>
    <s v="Standard"/>
    <s v="Delivered"/>
    <n v="4"/>
    <s v="July"/>
    <x v="761"/>
    <n v="439"/>
    <n v="31972.437357630981"/>
    <n v="55"/>
  </r>
  <r>
    <s v="ORD0763"/>
    <x v="762"/>
    <x v="2"/>
    <x v="2"/>
    <x v="2"/>
    <x v="0"/>
    <x v="2"/>
    <x v="2"/>
    <x v="2"/>
    <s v="Consumer"/>
    <x v="0"/>
    <s v="Accessories"/>
    <x v="2"/>
    <n v="39000"/>
    <x v="1"/>
    <n v="0.05"/>
    <n v="7550"/>
    <x v="2"/>
    <s v="Standard"/>
    <s v="Delivered"/>
    <n v="4"/>
    <s v="July"/>
    <x v="762"/>
    <n v="438"/>
    <n v="32007.305936073059"/>
    <n v="55"/>
  </r>
  <r>
    <s v="ORD0764"/>
    <x v="763"/>
    <x v="3"/>
    <x v="3"/>
    <x v="3"/>
    <x v="1"/>
    <x v="3"/>
    <x v="0"/>
    <x v="0"/>
    <s v="Consumer"/>
    <x v="2"/>
    <s v="Paper"/>
    <x v="7"/>
    <n v="1130"/>
    <x v="6"/>
    <n v="0.02"/>
    <n v="330"/>
    <x v="0"/>
    <s v="Standard"/>
    <s v="Delivered"/>
    <n v="5"/>
    <s v="July"/>
    <x v="763"/>
    <n v="437"/>
    <n v="31991.304347826088"/>
    <n v="55"/>
  </r>
  <r>
    <s v="ORD0765"/>
    <x v="764"/>
    <x v="4"/>
    <x v="4"/>
    <x v="4"/>
    <x v="0"/>
    <x v="4"/>
    <x v="3"/>
    <x v="0"/>
    <s v="Corporate"/>
    <x v="1"/>
    <s v="Tables"/>
    <x v="4"/>
    <n v="40600"/>
    <x v="1"/>
    <n v="0.08"/>
    <n v="7000"/>
    <x v="1"/>
    <s v="Express"/>
    <s v="Delivered"/>
    <n v="4"/>
    <s v="July"/>
    <x v="764"/>
    <n v="436"/>
    <n v="32062.087155963301"/>
    <n v="55"/>
  </r>
  <r>
    <s v="ORD0766"/>
    <x v="765"/>
    <x v="5"/>
    <x v="5"/>
    <x v="5"/>
    <x v="1"/>
    <x v="5"/>
    <x v="4"/>
    <x v="1"/>
    <s v="Consumer"/>
    <x v="0"/>
    <s v="Accessories"/>
    <x v="5"/>
    <n v="5850"/>
    <x v="3"/>
    <n v="0.05"/>
    <n v="1560"/>
    <x v="0"/>
    <s v="Standard"/>
    <s v="Delivered"/>
    <n v="4"/>
    <s v="August"/>
    <x v="765"/>
    <n v="435"/>
    <n v="32042.459770114943"/>
    <n v="55"/>
  </r>
  <r>
    <s v="ORD0767"/>
    <x v="766"/>
    <x v="6"/>
    <x v="0"/>
    <x v="6"/>
    <x v="0"/>
    <x v="6"/>
    <x v="0"/>
    <x v="0"/>
    <s v="Consumer"/>
    <x v="0"/>
    <s v="Accessories"/>
    <x v="6"/>
    <n v="6000"/>
    <x v="10"/>
    <n v="0"/>
    <n v="1800"/>
    <x v="3"/>
    <s v="Standard"/>
    <s v="Delivered"/>
    <n v="3"/>
    <s v="August"/>
    <x v="766"/>
    <n v="434"/>
    <n v="32102.811059907835"/>
    <n v="55"/>
  </r>
  <r>
    <s v="ORD0768"/>
    <x v="767"/>
    <x v="7"/>
    <x v="6"/>
    <x v="7"/>
    <x v="1"/>
    <x v="7"/>
    <x v="5"/>
    <x v="2"/>
    <s v="Corporate"/>
    <x v="2"/>
    <s v="Paper"/>
    <x v="3"/>
    <n v="9800"/>
    <x v="2"/>
    <n v="0.02"/>
    <n v="2430"/>
    <x v="0"/>
    <s v="Standard"/>
    <s v="Delivered"/>
    <n v="5"/>
    <s v="August"/>
    <x v="767"/>
    <n v="433"/>
    <n v="32163.09468822171"/>
    <n v="55"/>
  </r>
  <r>
    <s v="ORD0769"/>
    <x v="768"/>
    <x v="8"/>
    <x v="1"/>
    <x v="8"/>
    <x v="0"/>
    <x v="8"/>
    <x v="6"/>
    <x v="3"/>
    <s v="Corporate"/>
    <x v="1"/>
    <s v="Storage"/>
    <x v="8"/>
    <n v="25400"/>
    <x v="0"/>
    <n v="0.1"/>
    <n v="4620"/>
    <x v="1"/>
    <s v="Express"/>
    <s v="Delivered"/>
    <n v="4"/>
    <s v="August"/>
    <x v="768"/>
    <n v="432"/>
    <n v="32214.861111111109"/>
    <n v="55"/>
  </r>
  <r>
    <s v="ORD0770"/>
    <x v="769"/>
    <x v="9"/>
    <x v="4"/>
    <x v="9"/>
    <x v="1"/>
    <x v="0"/>
    <x v="0"/>
    <x v="0"/>
    <s v="Consumer"/>
    <x v="0"/>
    <s v="Printers"/>
    <x v="9"/>
    <n v="27600"/>
    <x v="1"/>
    <n v="0.05"/>
    <n v="5380"/>
    <x v="0"/>
    <s v="Standard"/>
    <s v="Delivered"/>
    <n v="4"/>
    <s v="September"/>
    <x v="769"/>
    <n v="431"/>
    <n v="32230.672853828306"/>
    <n v="55"/>
  </r>
  <r>
    <s v="ORD0771"/>
    <x v="770"/>
    <x v="10"/>
    <x v="7"/>
    <x v="10"/>
    <x v="0"/>
    <x v="9"/>
    <x v="7"/>
    <x v="1"/>
    <s v="Consumer"/>
    <x v="2"/>
    <s v="Accessories"/>
    <x v="10"/>
    <n v="1650"/>
    <x v="11"/>
    <n v="0"/>
    <n v="520"/>
    <x v="2"/>
    <s v="Standard"/>
    <s v="Delivered"/>
    <n v="5"/>
    <s v="September"/>
    <x v="770"/>
    <n v="430"/>
    <n v="32241.441860465115"/>
    <n v="55"/>
  </r>
  <r>
    <s v="ORD0772"/>
    <x v="771"/>
    <x v="11"/>
    <x v="3"/>
    <x v="11"/>
    <x v="1"/>
    <x v="2"/>
    <x v="2"/>
    <x v="2"/>
    <s v="Corporate"/>
    <x v="1"/>
    <s v="Tables"/>
    <x v="11"/>
    <n v="41000"/>
    <x v="0"/>
    <n v="0.08"/>
    <n v="8750"/>
    <x v="1"/>
    <s v="Express"/>
    <s v="Delivered"/>
    <n v="4"/>
    <s v="September"/>
    <x v="771"/>
    <n v="429"/>
    <n v="32312.750582750581"/>
    <n v="55"/>
  </r>
  <r>
    <s v="ORD0773"/>
    <x v="772"/>
    <x v="12"/>
    <x v="0"/>
    <x v="12"/>
    <x v="0"/>
    <x v="3"/>
    <x v="0"/>
    <x v="0"/>
    <s v="Consumer"/>
    <x v="0"/>
    <s v="Computers"/>
    <x v="0"/>
    <n v="111500"/>
    <x v="0"/>
    <n v="0.1"/>
    <n v="13200"/>
    <x v="0"/>
    <s v="Express"/>
    <s v="Delivered"/>
    <n v="5"/>
    <s v="September"/>
    <x v="772"/>
    <n v="428"/>
    <n v="32292.453271028036"/>
    <n v="55"/>
  </r>
  <r>
    <s v="ORD0774"/>
    <x v="773"/>
    <x v="13"/>
    <x v="1"/>
    <x v="13"/>
    <x v="1"/>
    <x v="4"/>
    <x v="3"/>
    <x v="0"/>
    <s v="Consumer"/>
    <x v="2"/>
    <s v="Storage"/>
    <x v="12"/>
    <n v="2160"/>
    <x v="5"/>
    <n v="0.05"/>
    <n v="705"/>
    <x v="3"/>
    <s v="Standard"/>
    <s v="Delivered"/>
    <n v="4"/>
    <s v="September"/>
    <x v="773"/>
    <n v="427"/>
    <n v="32106.95550351288"/>
    <n v="55"/>
  </r>
  <r>
    <s v="ORD0775"/>
    <x v="774"/>
    <x v="14"/>
    <x v="8"/>
    <x v="14"/>
    <x v="0"/>
    <x v="5"/>
    <x v="4"/>
    <x v="1"/>
    <s v="Corporate"/>
    <x v="1"/>
    <s v="Chairs"/>
    <x v="1"/>
    <n v="20800"/>
    <x v="9"/>
    <n v="7.0000000000000007E-2"/>
    <n v="4800"/>
    <x v="1"/>
    <s v="Standard"/>
    <s v="Delivered"/>
    <n v="4"/>
    <s v="October"/>
    <x v="774"/>
    <n v="426"/>
    <n v="32177.25352112676"/>
    <n v="55"/>
  </r>
  <r>
    <s v="ORD0776"/>
    <x v="775"/>
    <x v="15"/>
    <x v="6"/>
    <x v="15"/>
    <x v="1"/>
    <x v="1"/>
    <x v="1"/>
    <x v="1"/>
    <s v="Consumer"/>
    <x v="0"/>
    <s v="Accessories"/>
    <x v="2"/>
    <n v="41800"/>
    <x v="1"/>
    <n v="0.05"/>
    <n v="8150"/>
    <x v="0"/>
    <s v="Express"/>
    <s v="Delivered"/>
    <n v="5"/>
    <s v="October"/>
    <x v="775"/>
    <n v="425"/>
    <n v="32204.023529411767"/>
    <n v="55"/>
  </r>
  <r>
    <s v="ORD0777"/>
    <x v="776"/>
    <x v="16"/>
    <x v="5"/>
    <x v="16"/>
    <x v="0"/>
    <x v="7"/>
    <x v="5"/>
    <x v="2"/>
    <s v="Corporate"/>
    <x v="2"/>
    <s v="Paper"/>
    <x v="3"/>
    <n v="9900"/>
    <x v="2"/>
    <n v="0.03"/>
    <n v="2460"/>
    <x v="2"/>
    <s v="Standard"/>
    <s v="Delivered"/>
    <n v="4"/>
    <s v="October"/>
    <x v="776"/>
    <n v="424"/>
    <n v="32181.391509433961"/>
    <n v="55"/>
  </r>
  <r>
    <s v="ORD0778"/>
    <x v="777"/>
    <x v="17"/>
    <x v="0"/>
    <x v="17"/>
    <x v="1"/>
    <x v="0"/>
    <x v="0"/>
    <x v="0"/>
    <s v="Consumer"/>
    <x v="1"/>
    <s v="Tables"/>
    <x v="4"/>
    <n v="39100"/>
    <x v="1"/>
    <n v="0.1"/>
    <n v="6360"/>
    <x v="0"/>
    <s v="Express"/>
    <s v="Delivered"/>
    <n v="5"/>
    <s v="October"/>
    <x v="777"/>
    <n v="423"/>
    <n v="32234.066193853429"/>
    <n v="55"/>
  </r>
  <r>
    <s v="ORD0779"/>
    <x v="778"/>
    <x v="18"/>
    <x v="2"/>
    <x v="18"/>
    <x v="0"/>
    <x v="9"/>
    <x v="7"/>
    <x v="1"/>
    <s v="Corporate"/>
    <x v="0"/>
    <s v="Accessories"/>
    <x v="5"/>
    <n v="6250"/>
    <x v="9"/>
    <n v="0.05"/>
    <n v="1650"/>
    <x v="1"/>
    <s v="Standard"/>
    <s v="Delivered"/>
    <n v="3"/>
    <s v="November"/>
    <x v="778"/>
    <n v="422"/>
    <n v="32217.796208530806"/>
    <n v="55"/>
  </r>
  <r>
    <s v="ORD0780"/>
    <x v="779"/>
    <x v="19"/>
    <x v="7"/>
    <x v="19"/>
    <x v="1"/>
    <x v="6"/>
    <x v="0"/>
    <x v="0"/>
    <s v="Consumer"/>
    <x v="0"/>
    <s v="Accessories"/>
    <x v="6"/>
    <n v="6100"/>
    <x v="12"/>
    <n v="0"/>
    <n v="1830"/>
    <x v="0"/>
    <s v="Standard"/>
    <s v="Delivered"/>
    <n v="4"/>
    <s v="November"/>
    <x v="779"/>
    <n v="421"/>
    <n v="32279.477434679335"/>
    <n v="55"/>
  </r>
  <r>
    <s v="ORD0781"/>
    <x v="780"/>
    <x v="0"/>
    <x v="0"/>
    <x v="0"/>
    <x v="0"/>
    <x v="0"/>
    <x v="0"/>
    <x v="0"/>
    <s v="Consumer"/>
    <x v="0"/>
    <s v="Computers"/>
    <x v="0"/>
    <n v="107500"/>
    <x v="0"/>
    <n v="0.05"/>
    <n v="14300"/>
    <x v="0"/>
    <s v="Express"/>
    <s v="Delivered"/>
    <n v="5"/>
    <s v="November"/>
    <x v="780"/>
    <n v="420"/>
    <n v="32341.809523809523"/>
    <n v="55"/>
  </r>
  <r>
    <s v="ORD0782"/>
    <x v="781"/>
    <x v="1"/>
    <x v="1"/>
    <x v="1"/>
    <x v="1"/>
    <x v="1"/>
    <x v="1"/>
    <x v="1"/>
    <s v="Corporate"/>
    <x v="1"/>
    <s v="Chairs"/>
    <x v="1"/>
    <n v="17000"/>
    <x v="3"/>
    <n v="0.1"/>
    <n v="4040"/>
    <x v="1"/>
    <s v="Standard"/>
    <s v="Delivered"/>
    <n v="4"/>
    <s v="November"/>
    <x v="781"/>
    <n v="419"/>
    <n v="32162.434367541766"/>
    <n v="55"/>
  </r>
  <r>
    <s v="ORD0783"/>
    <x v="782"/>
    <x v="2"/>
    <x v="2"/>
    <x v="2"/>
    <x v="0"/>
    <x v="2"/>
    <x v="2"/>
    <x v="2"/>
    <s v="Consumer"/>
    <x v="0"/>
    <s v="Accessories"/>
    <x v="2"/>
    <n v="39700"/>
    <x v="1"/>
    <n v="0.05"/>
    <n v="7700"/>
    <x v="2"/>
    <s v="Standard"/>
    <s v="Delivered"/>
    <n v="4"/>
    <s v="December"/>
    <x v="782"/>
    <n v="418"/>
    <n v="32198.708133971293"/>
    <n v="55"/>
  </r>
  <r>
    <s v="ORD0784"/>
    <x v="783"/>
    <x v="3"/>
    <x v="3"/>
    <x v="3"/>
    <x v="1"/>
    <x v="3"/>
    <x v="0"/>
    <x v="0"/>
    <s v="Consumer"/>
    <x v="2"/>
    <s v="Paper"/>
    <x v="7"/>
    <n v="1150"/>
    <x v="6"/>
    <n v="0.02"/>
    <n v="335"/>
    <x v="0"/>
    <s v="Standard"/>
    <s v="Delivered"/>
    <n v="5"/>
    <s v="December"/>
    <x v="783"/>
    <n v="417"/>
    <n v="32180.719424460432"/>
    <n v="55"/>
  </r>
  <r>
    <s v="ORD0785"/>
    <x v="784"/>
    <x v="4"/>
    <x v="4"/>
    <x v="4"/>
    <x v="0"/>
    <x v="4"/>
    <x v="3"/>
    <x v="0"/>
    <s v="Corporate"/>
    <x v="1"/>
    <s v="Tables"/>
    <x v="4"/>
    <n v="41400"/>
    <x v="1"/>
    <n v="0.08"/>
    <n v="7140"/>
    <x v="1"/>
    <s v="Express"/>
    <s v="Delivered"/>
    <n v="4"/>
    <s v="December"/>
    <x v="784"/>
    <n v="416"/>
    <n v="32255.3125"/>
    <n v="55"/>
  </r>
  <r>
    <s v="ORD0786"/>
    <x v="785"/>
    <x v="5"/>
    <x v="5"/>
    <x v="5"/>
    <x v="1"/>
    <x v="5"/>
    <x v="4"/>
    <x v="1"/>
    <s v="Consumer"/>
    <x v="0"/>
    <s v="Accessories"/>
    <x v="5"/>
    <n v="5950"/>
    <x v="3"/>
    <n v="0.05"/>
    <n v="1590"/>
    <x v="0"/>
    <s v="Standard"/>
    <s v="Delivered"/>
    <n v="4"/>
    <s v="December"/>
    <x v="785"/>
    <n v="415"/>
    <n v="32233.277108433736"/>
    <n v="55"/>
  </r>
  <r>
    <s v="ORD0787"/>
    <x v="786"/>
    <x v="6"/>
    <x v="0"/>
    <x v="6"/>
    <x v="0"/>
    <x v="6"/>
    <x v="0"/>
    <x v="0"/>
    <s v="Consumer"/>
    <x v="0"/>
    <s v="Accessories"/>
    <x v="6"/>
    <n v="6200"/>
    <x v="10"/>
    <n v="0"/>
    <n v="1860"/>
    <x v="3"/>
    <s v="Standard"/>
    <s v="Delivered"/>
    <n v="3"/>
    <s v="December"/>
    <x v="786"/>
    <n v="414"/>
    <n v="32296.763285024153"/>
    <n v="55"/>
  </r>
  <r>
    <s v="ORD0788"/>
    <x v="787"/>
    <x v="7"/>
    <x v="6"/>
    <x v="7"/>
    <x v="1"/>
    <x v="7"/>
    <x v="5"/>
    <x v="2"/>
    <s v="Corporate"/>
    <x v="2"/>
    <s v="Paper"/>
    <x v="3"/>
    <n v="10000"/>
    <x v="2"/>
    <n v="0.02"/>
    <n v="2480"/>
    <x v="0"/>
    <s v="Standard"/>
    <s v="Delivered"/>
    <n v="5"/>
    <s v="January"/>
    <x v="787"/>
    <n v="413"/>
    <n v="32359.951573849878"/>
    <n v="55"/>
  </r>
  <r>
    <s v="ORD0789"/>
    <x v="788"/>
    <x v="8"/>
    <x v="1"/>
    <x v="8"/>
    <x v="0"/>
    <x v="8"/>
    <x v="6"/>
    <x v="3"/>
    <s v="Corporate"/>
    <x v="1"/>
    <s v="Storage"/>
    <x v="8"/>
    <n v="25800"/>
    <x v="0"/>
    <n v="0.1"/>
    <n v="4700"/>
    <x v="1"/>
    <s v="Express"/>
    <s v="Delivered"/>
    <n v="4"/>
    <s v="January"/>
    <x v="788"/>
    <n v="412"/>
    <n v="32414.223300970873"/>
    <n v="55"/>
  </r>
  <r>
    <s v="ORD0790"/>
    <x v="789"/>
    <x v="9"/>
    <x v="4"/>
    <x v="9"/>
    <x v="1"/>
    <x v="0"/>
    <x v="0"/>
    <x v="0"/>
    <s v="Consumer"/>
    <x v="0"/>
    <s v="Printers"/>
    <x v="9"/>
    <n v="28000"/>
    <x v="1"/>
    <n v="0.05"/>
    <n v="5460"/>
    <x v="0"/>
    <s v="Standard"/>
    <s v="Delivered"/>
    <n v="4"/>
    <s v="January"/>
    <x v="789"/>
    <n v="411"/>
    <n v="32430.316301703162"/>
    <n v="55"/>
  </r>
  <r>
    <s v="ORD0791"/>
    <x v="790"/>
    <x v="10"/>
    <x v="7"/>
    <x v="10"/>
    <x v="0"/>
    <x v="9"/>
    <x v="7"/>
    <x v="1"/>
    <s v="Consumer"/>
    <x v="2"/>
    <s v="Accessories"/>
    <x v="10"/>
    <n v="1680"/>
    <x v="11"/>
    <n v="0"/>
    <n v="530"/>
    <x v="2"/>
    <s v="Standard"/>
    <s v="Delivered"/>
    <n v="5"/>
    <s v="January"/>
    <x v="790"/>
    <n v="410"/>
    <n v="32441.121951219513"/>
    <n v="55"/>
  </r>
  <r>
    <s v="ORD0792"/>
    <x v="791"/>
    <x v="11"/>
    <x v="3"/>
    <x v="11"/>
    <x v="1"/>
    <x v="2"/>
    <x v="2"/>
    <x v="2"/>
    <s v="Corporate"/>
    <x v="1"/>
    <s v="Tables"/>
    <x v="11"/>
    <n v="41600"/>
    <x v="0"/>
    <n v="0.08"/>
    <n v="8900"/>
    <x v="1"/>
    <s v="Express"/>
    <s v="Delivered"/>
    <n v="4"/>
    <s v="February"/>
    <x v="791"/>
    <n v="409"/>
    <n v="32516.332518337407"/>
    <n v="55"/>
  </r>
  <r>
    <s v="ORD0793"/>
    <x v="792"/>
    <x v="12"/>
    <x v="0"/>
    <x v="12"/>
    <x v="0"/>
    <x v="3"/>
    <x v="0"/>
    <x v="0"/>
    <s v="Consumer"/>
    <x v="0"/>
    <s v="Computers"/>
    <x v="0"/>
    <n v="113000"/>
    <x v="0"/>
    <n v="0.1"/>
    <n v="13400"/>
    <x v="0"/>
    <s v="Express"/>
    <s v="Delivered"/>
    <n v="5"/>
    <s v="February"/>
    <x v="792"/>
    <n v="408"/>
    <n v="32494.068627450979"/>
    <n v="55"/>
  </r>
  <r>
    <s v="ORD0794"/>
    <x v="793"/>
    <x v="13"/>
    <x v="1"/>
    <x v="13"/>
    <x v="1"/>
    <x v="4"/>
    <x v="3"/>
    <x v="0"/>
    <s v="Consumer"/>
    <x v="2"/>
    <s v="Storage"/>
    <x v="12"/>
    <n v="2200"/>
    <x v="5"/>
    <n v="0.05"/>
    <n v="720"/>
    <x v="3"/>
    <s v="Standard"/>
    <s v="Delivered"/>
    <n v="4"/>
    <s v="February"/>
    <x v="793"/>
    <n v="407"/>
    <n v="32296.265356265358"/>
    <n v="55"/>
  </r>
  <r>
    <s v="ORD0795"/>
    <x v="794"/>
    <x v="14"/>
    <x v="8"/>
    <x v="14"/>
    <x v="0"/>
    <x v="5"/>
    <x v="4"/>
    <x v="1"/>
    <s v="Corporate"/>
    <x v="1"/>
    <s v="Chairs"/>
    <x v="1"/>
    <n v="21200"/>
    <x v="9"/>
    <n v="7.0000000000000007E-2"/>
    <n v="4900"/>
    <x v="1"/>
    <s v="Standard"/>
    <s v="Delivered"/>
    <n v="4"/>
    <s v="February"/>
    <x v="794"/>
    <n v="406"/>
    <n v="32370.394088669949"/>
    <n v="55"/>
  </r>
  <r>
    <s v="ORD0796"/>
    <x v="795"/>
    <x v="15"/>
    <x v="6"/>
    <x v="15"/>
    <x v="1"/>
    <x v="1"/>
    <x v="1"/>
    <x v="1"/>
    <s v="Consumer"/>
    <x v="0"/>
    <s v="Accessories"/>
    <x v="2"/>
    <n v="42500"/>
    <x v="1"/>
    <n v="0.05"/>
    <n v="8300"/>
    <x v="0"/>
    <s v="Express"/>
    <s v="Delivered"/>
    <n v="5"/>
    <s v="March"/>
    <x v="795"/>
    <n v="405"/>
    <n v="32397.975308641977"/>
    <n v="55"/>
  </r>
  <r>
    <s v="ORD0797"/>
    <x v="796"/>
    <x v="16"/>
    <x v="5"/>
    <x v="16"/>
    <x v="0"/>
    <x v="7"/>
    <x v="5"/>
    <x v="2"/>
    <s v="Corporate"/>
    <x v="2"/>
    <s v="Paper"/>
    <x v="3"/>
    <n v="10100"/>
    <x v="2"/>
    <n v="0.03"/>
    <n v="2510"/>
    <x v="2"/>
    <s v="Standard"/>
    <s v="Delivered"/>
    <n v="4"/>
    <s v="March"/>
    <x v="796"/>
    <n v="404"/>
    <n v="32372.970297029704"/>
    <n v="55"/>
  </r>
  <r>
    <s v="ORD0798"/>
    <x v="797"/>
    <x v="17"/>
    <x v="0"/>
    <x v="17"/>
    <x v="1"/>
    <x v="0"/>
    <x v="0"/>
    <x v="0"/>
    <s v="Consumer"/>
    <x v="1"/>
    <s v="Tables"/>
    <x v="4"/>
    <n v="39800"/>
    <x v="1"/>
    <n v="0.1"/>
    <n v="6480"/>
    <x v="0"/>
    <s v="Express"/>
    <s v="Delivered"/>
    <n v="5"/>
    <s v="March"/>
    <x v="797"/>
    <n v="403"/>
    <n v="32428.238213399505"/>
    <n v="55"/>
  </r>
  <r>
    <s v="ORD0799"/>
    <x v="798"/>
    <x v="18"/>
    <x v="2"/>
    <x v="18"/>
    <x v="0"/>
    <x v="9"/>
    <x v="7"/>
    <x v="1"/>
    <s v="Corporate"/>
    <x v="0"/>
    <s v="Accessories"/>
    <x v="5"/>
    <n v="6350"/>
    <x v="9"/>
    <n v="0.05"/>
    <n v="1680"/>
    <x v="1"/>
    <s v="Standard"/>
    <s v="Delivered"/>
    <n v="3"/>
    <s v="March"/>
    <x v="798"/>
    <n v="402"/>
    <n v="32409.900497512437"/>
    <n v="55"/>
  </r>
  <r>
    <s v="ORD0800"/>
    <x v="799"/>
    <x v="19"/>
    <x v="7"/>
    <x v="19"/>
    <x v="1"/>
    <x v="6"/>
    <x v="0"/>
    <x v="0"/>
    <s v="Consumer"/>
    <x v="0"/>
    <s v="Accessories"/>
    <x v="6"/>
    <n v="6300"/>
    <x v="12"/>
    <n v="0"/>
    <n v="1890"/>
    <x v="0"/>
    <s v="Standard"/>
    <s v="Delivered"/>
    <n v="4"/>
    <s v="March"/>
    <x v="799"/>
    <n v="401"/>
    <n v="32474.88778054863"/>
    <n v="55"/>
  </r>
  <r>
    <s v="ORD0801"/>
    <x v="800"/>
    <x v="20"/>
    <x v="9"/>
    <x v="6"/>
    <x v="0"/>
    <x v="0"/>
    <x v="0"/>
    <x v="0"/>
    <s v="Consumer"/>
    <x v="0"/>
    <s v="Computers"/>
    <x v="0"/>
    <n v="108500"/>
    <x v="0"/>
    <n v="0.05"/>
    <n v="14500"/>
    <x v="0"/>
    <s v="Express"/>
    <s v="Delivered"/>
    <n v="5"/>
    <s v="April"/>
    <x v="800"/>
    <n v="400"/>
    <n v="32540.325000000001"/>
    <n v="55"/>
  </r>
  <r>
    <s v="ORD0802"/>
    <x v="801"/>
    <x v="21"/>
    <x v="10"/>
    <x v="15"/>
    <x v="1"/>
    <x v="3"/>
    <x v="0"/>
    <x v="0"/>
    <s v="Consumer"/>
    <x v="1"/>
    <s v="Chairs"/>
    <x v="1"/>
    <n v="17200"/>
    <x v="1"/>
    <n v="0.08"/>
    <n v="3850"/>
    <x v="1"/>
    <s v="Standard"/>
    <s v="Delivered"/>
    <n v="4"/>
    <s v="April"/>
    <x v="801"/>
    <n v="399"/>
    <n v="32349.949874686718"/>
    <n v="55"/>
  </r>
  <r>
    <s v="ORD0803"/>
    <x v="802"/>
    <x v="22"/>
    <x v="11"/>
    <x v="16"/>
    <x v="0"/>
    <x v="10"/>
    <x v="0"/>
    <x v="0"/>
    <s v="Corporate"/>
    <x v="0"/>
    <s v="Accessories"/>
    <x v="2"/>
    <n v="40200"/>
    <x v="1"/>
    <n v="0.05"/>
    <n v="7800"/>
    <x v="2"/>
    <s v="Standard"/>
    <s v="Delivered"/>
    <n v="4"/>
    <s v="April"/>
    <x v="802"/>
    <n v="398"/>
    <n v="32388.015075376883"/>
    <n v="55"/>
  </r>
  <r>
    <s v="ORD0804"/>
    <x v="803"/>
    <x v="23"/>
    <x v="12"/>
    <x v="3"/>
    <x v="1"/>
    <x v="1"/>
    <x v="1"/>
    <x v="1"/>
    <s v="Consumer"/>
    <x v="2"/>
    <s v="Paper"/>
    <x v="7"/>
    <n v="1180"/>
    <x v="5"/>
    <n v="0.02"/>
    <n v="340"/>
    <x v="0"/>
    <s v="Standard"/>
    <s v="Delivered"/>
    <n v="5"/>
    <s v="April"/>
    <x v="803"/>
    <n v="397"/>
    <n v="32368.337531486148"/>
    <n v="55"/>
  </r>
  <r>
    <s v="ORD0805"/>
    <x v="804"/>
    <x v="24"/>
    <x v="13"/>
    <x v="5"/>
    <x v="0"/>
    <x v="6"/>
    <x v="0"/>
    <x v="0"/>
    <s v="Corporate"/>
    <x v="1"/>
    <s v="Tables"/>
    <x v="4"/>
    <n v="42100"/>
    <x v="1"/>
    <n v="0.1"/>
    <n v="7200"/>
    <x v="1"/>
    <s v="Express"/>
    <s v="Delivered"/>
    <n v="4"/>
    <s v="May"/>
    <x v="804"/>
    <n v="396"/>
    <n v="32447.095959595961"/>
    <n v="55"/>
  </r>
  <r>
    <s v="ORD0806"/>
    <x v="805"/>
    <x v="25"/>
    <x v="14"/>
    <x v="17"/>
    <x v="1"/>
    <x v="11"/>
    <x v="0"/>
    <x v="0"/>
    <s v="Consumer"/>
    <x v="0"/>
    <s v="Accessories"/>
    <x v="5"/>
    <n v="6100"/>
    <x v="3"/>
    <n v="0.05"/>
    <n v="1620"/>
    <x v="0"/>
    <s v="Standard"/>
    <s v="Delivered"/>
    <n v="4"/>
    <s v="May"/>
    <x v="805"/>
    <n v="395"/>
    <n v="32422.6582278481"/>
    <n v="55"/>
  </r>
  <r>
    <s v="ORD0807"/>
    <x v="806"/>
    <x v="26"/>
    <x v="15"/>
    <x v="20"/>
    <x v="0"/>
    <x v="12"/>
    <x v="0"/>
    <x v="0"/>
    <s v="Consumer"/>
    <x v="0"/>
    <s v="Accessories"/>
    <x v="6"/>
    <n v="6400"/>
    <x v="4"/>
    <n v="0"/>
    <n v="1880"/>
    <x v="3"/>
    <s v="Standard"/>
    <s v="Delivered"/>
    <n v="3"/>
    <s v="May"/>
    <x v="806"/>
    <n v="394"/>
    <n v="32489.467005076142"/>
    <n v="55"/>
  </r>
  <r>
    <s v="ORD0808"/>
    <x v="807"/>
    <x v="27"/>
    <x v="16"/>
    <x v="12"/>
    <x v="1"/>
    <x v="13"/>
    <x v="0"/>
    <x v="0"/>
    <s v="Corporate"/>
    <x v="2"/>
    <s v="Paper"/>
    <x v="3"/>
    <n v="10200"/>
    <x v="2"/>
    <n v="0.03"/>
    <n v="2520"/>
    <x v="0"/>
    <s v="Standard"/>
    <s v="Delivered"/>
    <n v="5"/>
    <s v="May"/>
    <x v="807"/>
    <n v="393"/>
    <n v="32555.852417302798"/>
    <n v="55"/>
  </r>
  <r>
    <s v="ORD0809"/>
    <x v="808"/>
    <x v="28"/>
    <x v="17"/>
    <x v="11"/>
    <x v="0"/>
    <x v="4"/>
    <x v="3"/>
    <x v="0"/>
    <s v="Corporate"/>
    <x v="1"/>
    <s v="Storage"/>
    <x v="8"/>
    <n v="26200"/>
    <x v="0"/>
    <n v="0.1"/>
    <n v="4750"/>
    <x v="1"/>
    <s v="Express"/>
    <s v="Delivered"/>
    <n v="4"/>
    <s v="June"/>
    <x v="808"/>
    <n v="392"/>
    <n v="32612.882653061224"/>
    <n v="55"/>
  </r>
  <r>
    <s v="ORD0810"/>
    <x v="809"/>
    <x v="29"/>
    <x v="18"/>
    <x v="10"/>
    <x v="1"/>
    <x v="2"/>
    <x v="2"/>
    <x v="2"/>
    <s v="Consumer"/>
    <x v="0"/>
    <s v="Printers"/>
    <x v="9"/>
    <n v="28500"/>
    <x v="1"/>
    <n v="0.05"/>
    <n v="5520"/>
    <x v="0"/>
    <s v="Standard"/>
    <s v="Delivered"/>
    <n v="4"/>
    <s v="June"/>
    <x v="809"/>
    <n v="391"/>
    <n v="32629.283887468031"/>
    <n v="55"/>
  </r>
  <r>
    <s v="ORD0811"/>
    <x v="810"/>
    <x v="30"/>
    <x v="19"/>
    <x v="14"/>
    <x v="0"/>
    <x v="7"/>
    <x v="5"/>
    <x v="2"/>
    <s v="Corporate"/>
    <x v="2"/>
    <s v="Accessories"/>
    <x v="10"/>
    <n v="1720"/>
    <x v="6"/>
    <n v="0"/>
    <n v="540"/>
    <x v="2"/>
    <s v="Standard"/>
    <s v="Delivered"/>
    <n v="5"/>
    <s v="June"/>
    <x v="810"/>
    <n v="390"/>
    <n v="32639.871794871793"/>
    <n v="55"/>
  </r>
  <r>
    <s v="ORD0812"/>
    <x v="811"/>
    <x v="31"/>
    <x v="20"/>
    <x v="0"/>
    <x v="1"/>
    <x v="9"/>
    <x v="7"/>
    <x v="1"/>
    <s v="Consumer"/>
    <x v="1"/>
    <s v="Tables"/>
    <x v="11"/>
    <n v="42300"/>
    <x v="0"/>
    <n v="0.08"/>
    <n v="9050"/>
    <x v="1"/>
    <s v="Express"/>
    <s v="Delivered"/>
    <n v="4"/>
    <s v="June"/>
    <x v="811"/>
    <n v="389"/>
    <n v="32719.357326478148"/>
    <n v="55"/>
  </r>
  <r>
    <s v="ORD0813"/>
    <x v="812"/>
    <x v="32"/>
    <x v="3"/>
    <x v="19"/>
    <x v="0"/>
    <x v="3"/>
    <x v="0"/>
    <x v="0"/>
    <s v="Consumer"/>
    <x v="0"/>
    <s v="Computers"/>
    <x v="0"/>
    <n v="114500"/>
    <x v="0"/>
    <n v="0.1"/>
    <n v="13600"/>
    <x v="0"/>
    <s v="Express"/>
    <s v="Delivered"/>
    <n v="5"/>
    <s v="June"/>
    <x v="812"/>
    <n v="388"/>
    <n v="32694.664948453606"/>
    <n v="55"/>
  </r>
  <r>
    <s v="ORD0814"/>
    <x v="813"/>
    <x v="33"/>
    <x v="21"/>
    <x v="9"/>
    <x v="1"/>
    <x v="0"/>
    <x v="0"/>
    <x v="0"/>
    <s v="Consumer"/>
    <x v="2"/>
    <s v="Storage"/>
    <x v="12"/>
    <n v="2260"/>
    <x v="5"/>
    <n v="0.05"/>
    <n v="735"/>
    <x v="3"/>
    <s v="Standard"/>
    <s v="Delivered"/>
    <n v="4"/>
    <s v="July"/>
    <x v="813"/>
    <n v="387"/>
    <n v="32483.28165374677"/>
    <n v="55"/>
  </r>
  <r>
    <s v="ORD0815"/>
    <x v="814"/>
    <x v="34"/>
    <x v="22"/>
    <x v="7"/>
    <x v="0"/>
    <x v="14"/>
    <x v="8"/>
    <x v="0"/>
    <s v="Corporate"/>
    <x v="1"/>
    <s v="Chairs"/>
    <x v="1"/>
    <n v="21600"/>
    <x v="9"/>
    <n v="7.0000000000000007E-2"/>
    <n v="4950"/>
    <x v="1"/>
    <s v="Standard"/>
    <s v="Delivered"/>
    <n v="4"/>
    <s v="July"/>
    <x v="814"/>
    <n v="386"/>
    <n v="32561.580310880829"/>
    <n v="55"/>
  </r>
  <r>
    <s v="ORD0816"/>
    <x v="815"/>
    <x v="35"/>
    <x v="23"/>
    <x v="6"/>
    <x v="1"/>
    <x v="15"/>
    <x v="9"/>
    <x v="2"/>
    <s v="Consumer"/>
    <x v="0"/>
    <s v="Accessories"/>
    <x v="2"/>
    <n v="43200"/>
    <x v="1"/>
    <n v="0.05"/>
    <n v="8450"/>
    <x v="0"/>
    <s v="Express"/>
    <s v="Delivered"/>
    <n v="5"/>
    <s v="July"/>
    <x v="815"/>
    <n v="385"/>
    <n v="32590.051948051947"/>
    <n v="55"/>
  </r>
  <r>
    <s v="ORD0817"/>
    <x v="816"/>
    <x v="36"/>
    <x v="4"/>
    <x v="1"/>
    <x v="0"/>
    <x v="16"/>
    <x v="3"/>
    <x v="0"/>
    <s v="Corporate"/>
    <x v="2"/>
    <s v="Paper"/>
    <x v="3"/>
    <n v="10300"/>
    <x v="2"/>
    <n v="0.03"/>
    <n v="2560"/>
    <x v="2"/>
    <s v="Standard"/>
    <s v="Delivered"/>
    <n v="4"/>
    <s v="July"/>
    <x v="816"/>
    <n v="384"/>
    <n v="32562.421875"/>
    <n v="55"/>
  </r>
  <r>
    <s v="ORD0818"/>
    <x v="817"/>
    <x v="37"/>
    <x v="24"/>
    <x v="21"/>
    <x v="1"/>
    <x v="17"/>
    <x v="10"/>
    <x v="4"/>
    <s v="Consumer"/>
    <x v="1"/>
    <s v="Tables"/>
    <x v="4"/>
    <n v="40500"/>
    <x v="1"/>
    <n v="0.1"/>
    <n v="6600"/>
    <x v="0"/>
    <s v="Express"/>
    <s v="Delivered"/>
    <n v="5"/>
    <s v="August"/>
    <x v="817"/>
    <n v="383"/>
    <n v="32620.548302872063"/>
    <n v="55"/>
  </r>
  <r>
    <s v="ORD0819"/>
    <x v="818"/>
    <x v="38"/>
    <x v="25"/>
    <x v="13"/>
    <x v="0"/>
    <x v="18"/>
    <x v="11"/>
    <x v="2"/>
    <s v="Corporate"/>
    <x v="0"/>
    <s v="Accessories"/>
    <x v="5"/>
    <n v="6450"/>
    <x v="9"/>
    <n v="0.05"/>
    <n v="1700"/>
    <x v="1"/>
    <s v="Standard"/>
    <s v="Delivered"/>
    <n v="3"/>
    <s v="August"/>
    <x v="818"/>
    <n v="382"/>
    <n v="32599.921465968586"/>
    <n v="55"/>
  </r>
  <r>
    <s v="ORD0820"/>
    <x v="819"/>
    <x v="39"/>
    <x v="26"/>
    <x v="15"/>
    <x v="1"/>
    <x v="0"/>
    <x v="0"/>
    <x v="0"/>
    <s v="Consumer"/>
    <x v="0"/>
    <s v="Accessories"/>
    <x v="6"/>
    <n v="6500"/>
    <x v="10"/>
    <n v="0"/>
    <n v="1950"/>
    <x v="0"/>
    <s v="Standard"/>
    <s v="Delivered"/>
    <n v="4"/>
    <s v="August"/>
    <x v="819"/>
    <n v="381"/>
    <n v="32668.556430446195"/>
    <n v="55"/>
  </r>
  <r>
    <s v="ORD0821"/>
    <x v="820"/>
    <x v="40"/>
    <x v="27"/>
    <x v="18"/>
    <x v="0"/>
    <x v="10"/>
    <x v="0"/>
    <x v="0"/>
    <s v="Consumer"/>
    <x v="0"/>
    <s v="Computers"/>
    <x v="0"/>
    <n v="110500"/>
    <x v="0"/>
    <n v="0.05"/>
    <n v="14700"/>
    <x v="0"/>
    <s v="Express"/>
    <s v="Delivered"/>
    <n v="5"/>
    <s v="August"/>
    <x v="820"/>
    <n v="380"/>
    <n v="32737.42105263158"/>
    <n v="55"/>
  </r>
  <r>
    <s v="ORD0822"/>
    <x v="821"/>
    <x v="41"/>
    <x v="28"/>
    <x v="5"/>
    <x v="1"/>
    <x v="19"/>
    <x v="12"/>
    <x v="2"/>
    <s v="Corporate"/>
    <x v="1"/>
    <s v="Chairs"/>
    <x v="1"/>
    <n v="17400"/>
    <x v="3"/>
    <n v="0.1"/>
    <n v="4120"/>
    <x v="1"/>
    <s v="Standard"/>
    <s v="Delivered"/>
    <n v="4"/>
    <s v="August"/>
    <x v="821"/>
    <n v="379"/>
    <n v="32532.242744063326"/>
    <n v="55"/>
  </r>
  <r>
    <s v="ORD0823"/>
    <x v="822"/>
    <x v="42"/>
    <x v="29"/>
    <x v="4"/>
    <x v="0"/>
    <x v="2"/>
    <x v="2"/>
    <x v="2"/>
    <s v="Consumer"/>
    <x v="0"/>
    <s v="Accessories"/>
    <x v="2"/>
    <n v="40900"/>
    <x v="1"/>
    <n v="0.05"/>
    <n v="7950"/>
    <x v="2"/>
    <s v="Standard"/>
    <s v="Delivered"/>
    <n v="4"/>
    <s v="September"/>
    <x v="822"/>
    <n v="378"/>
    <n v="32572.275132275132"/>
    <n v="55"/>
  </r>
  <r>
    <s v="ORD0824"/>
    <x v="823"/>
    <x v="43"/>
    <x v="30"/>
    <x v="0"/>
    <x v="1"/>
    <x v="3"/>
    <x v="0"/>
    <x v="0"/>
    <s v="Consumer"/>
    <x v="2"/>
    <s v="Paper"/>
    <x v="7"/>
    <n v="1210"/>
    <x v="6"/>
    <n v="0.02"/>
    <n v="350"/>
    <x v="0"/>
    <s v="Standard"/>
    <s v="Delivered"/>
    <n v="5"/>
    <s v="September"/>
    <x v="823"/>
    <n v="377"/>
    <n v="32550.185676392572"/>
    <n v="55"/>
  </r>
  <r>
    <s v="ORD0825"/>
    <x v="824"/>
    <x v="44"/>
    <x v="31"/>
    <x v="2"/>
    <x v="0"/>
    <x v="20"/>
    <x v="3"/>
    <x v="0"/>
    <s v="Corporate"/>
    <x v="1"/>
    <s v="Tables"/>
    <x v="4"/>
    <n v="43000"/>
    <x v="1"/>
    <n v="0.08"/>
    <n v="7400"/>
    <x v="1"/>
    <s v="Express"/>
    <s v="Delivered"/>
    <n v="4"/>
    <s v="September"/>
    <x v="824"/>
    <n v="376"/>
    <n v="32633.537234042553"/>
    <n v="55"/>
  </r>
  <r>
    <s v="ORD0826"/>
    <x v="825"/>
    <x v="45"/>
    <x v="32"/>
    <x v="3"/>
    <x v="1"/>
    <x v="8"/>
    <x v="6"/>
    <x v="3"/>
    <s v="Consumer"/>
    <x v="0"/>
    <s v="Accessories"/>
    <x v="5"/>
    <n v="6250"/>
    <x v="3"/>
    <n v="0.05"/>
    <n v="1650"/>
    <x v="0"/>
    <s v="Standard"/>
    <s v="Delivered"/>
    <n v="4"/>
    <s v="September"/>
    <x v="825"/>
    <n v="375"/>
    <n v="32605.893333333333"/>
    <n v="55"/>
  </r>
  <r>
    <s v="ORD0827"/>
    <x v="826"/>
    <x v="46"/>
    <x v="33"/>
    <x v="10"/>
    <x v="0"/>
    <x v="21"/>
    <x v="12"/>
    <x v="2"/>
    <s v="Consumer"/>
    <x v="0"/>
    <s v="Accessories"/>
    <x v="6"/>
    <n v="6700"/>
    <x v="10"/>
    <n v="0"/>
    <n v="2010"/>
    <x v="3"/>
    <s v="Standard"/>
    <s v="Delivered"/>
    <n v="3"/>
    <s v="October"/>
    <x v="826"/>
    <n v="374"/>
    <n v="32676.363636363636"/>
    <n v="55"/>
  </r>
  <r>
    <s v="ORD0828"/>
    <x v="827"/>
    <x v="47"/>
    <x v="34"/>
    <x v="6"/>
    <x v="1"/>
    <x v="8"/>
    <x v="6"/>
    <x v="3"/>
    <s v="Corporate"/>
    <x v="2"/>
    <s v="Paper"/>
    <x v="3"/>
    <n v="10500"/>
    <x v="2"/>
    <n v="0.02"/>
    <n v="2600"/>
    <x v="0"/>
    <s v="Standard"/>
    <s v="Delivered"/>
    <n v="5"/>
    <s v="October"/>
    <x v="827"/>
    <n v="373"/>
    <n v="32746.005361930296"/>
    <n v="55"/>
  </r>
  <r>
    <s v="ORD0829"/>
    <x v="828"/>
    <x v="48"/>
    <x v="35"/>
    <x v="22"/>
    <x v="0"/>
    <x v="7"/>
    <x v="5"/>
    <x v="2"/>
    <s v="Corporate"/>
    <x v="1"/>
    <s v="Storage"/>
    <x v="8"/>
    <n v="26700"/>
    <x v="0"/>
    <n v="0.1"/>
    <n v="4840"/>
    <x v="1"/>
    <s v="Express"/>
    <s v="Delivered"/>
    <n v="4"/>
    <s v="October"/>
    <x v="828"/>
    <n v="372"/>
    <n v="32805.806451612902"/>
    <n v="55"/>
  </r>
  <r>
    <s v="ORD0830"/>
    <x v="829"/>
    <x v="49"/>
    <x v="36"/>
    <x v="9"/>
    <x v="1"/>
    <x v="22"/>
    <x v="13"/>
    <x v="1"/>
    <s v="Consumer"/>
    <x v="0"/>
    <s v="Printers"/>
    <x v="9"/>
    <n v="29000"/>
    <x v="1"/>
    <n v="0.05"/>
    <n v="5600"/>
    <x v="0"/>
    <s v="Standard"/>
    <s v="Delivered"/>
    <n v="4"/>
    <s v="October"/>
    <x v="829"/>
    <n v="371"/>
    <n v="32822.264150943396"/>
    <n v="55"/>
  </r>
  <r>
    <s v="ORD0831"/>
    <x v="830"/>
    <x v="50"/>
    <x v="37"/>
    <x v="20"/>
    <x v="0"/>
    <x v="22"/>
    <x v="13"/>
    <x v="1"/>
    <s v="Consumer"/>
    <x v="2"/>
    <s v="Accessories"/>
    <x v="10"/>
    <n v="1750"/>
    <x v="11"/>
    <n v="0"/>
    <n v="550"/>
    <x v="2"/>
    <s v="Standard"/>
    <s v="Delivered"/>
    <n v="5"/>
    <s v="November"/>
    <x v="830"/>
    <n v="370"/>
    <n v="32832.594594594593"/>
    <n v="55"/>
  </r>
  <r>
    <s v="ORD0832"/>
    <x v="831"/>
    <x v="51"/>
    <x v="36"/>
    <x v="16"/>
    <x v="1"/>
    <x v="23"/>
    <x v="7"/>
    <x v="1"/>
    <s v="Corporate"/>
    <x v="1"/>
    <s v="Tables"/>
    <x v="11"/>
    <n v="43000"/>
    <x v="0"/>
    <n v="0.08"/>
    <n v="9200"/>
    <x v="1"/>
    <s v="Express"/>
    <s v="Delivered"/>
    <n v="4"/>
    <s v="November"/>
    <x v="831"/>
    <n v="369"/>
    <n v="32916.829268292684"/>
    <n v="55"/>
  </r>
  <r>
    <s v="ORD0833"/>
    <x v="832"/>
    <x v="52"/>
    <x v="38"/>
    <x v="12"/>
    <x v="0"/>
    <x v="24"/>
    <x v="10"/>
    <x v="4"/>
    <s v="Consumer"/>
    <x v="0"/>
    <s v="Computers"/>
    <x v="0"/>
    <n v="116000"/>
    <x v="0"/>
    <n v="0.1"/>
    <n v="13800"/>
    <x v="0"/>
    <s v="Express"/>
    <s v="Delivered"/>
    <n v="5"/>
    <s v="November"/>
    <x v="832"/>
    <n v="368"/>
    <n v="32889.429347826088"/>
    <n v="55"/>
  </r>
  <r>
    <s v="ORD0834"/>
    <x v="833"/>
    <x v="53"/>
    <x v="39"/>
    <x v="15"/>
    <x v="1"/>
    <x v="25"/>
    <x v="12"/>
    <x v="2"/>
    <s v="Consumer"/>
    <x v="2"/>
    <s v="Storage"/>
    <x v="12"/>
    <n v="2300"/>
    <x v="5"/>
    <n v="0.05"/>
    <n v="750"/>
    <x v="3"/>
    <s v="Standard"/>
    <s v="Delivered"/>
    <n v="4"/>
    <s v="November"/>
    <x v="833"/>
    <n v="367"/>
    <n v="32662.970027247957"/>
    <n v="55"/>
  </r>
  <r>
    <s v="ORD0835"/>
    <x v="834"/>
    <x v="54"/>
    <x v="40"/>
    <x v="14"/>
    <x v="0"/>
    <x v="26"/>
    <x v="8"/>
    <x v="0"/>
    <s v="Corporate"/>
    <x v="1"/>
    <s v="Chairs"/>
    <x v="1"/>
    <n v="22000"/>
    <x v="9"/>
    <n v="7.0000000000000007E-2"/>
    <n v="5050"/>
    <x v="1"/>
    <s v="Standard"/>
    <s v="Delivered"/>
    <n v="4"/>
    <s v="November"/>
    <x v="834"/>
    <n v="366"/>
    <n v="32745.928961748636"/>
    <n v="55"/>
  </r>
  <r>
    <s v="ORD0836"/>
    <x v="835"/>
    <x v="55"/>
    <x v="1"/>
    <x v="17"/>
    <x v="1"/>
    <x v="0"/>
    <x v="0"/>
    <x v="0"/>
    <s v="Consumer"/>
    <x v="0"/>
    <s v="Accessories"/>
    <x v="2"/>
    <n v="43900"/>
    <x v="1"/>
    <n v="0.05"/>
    <n v="8600"/>
    <x v="0"/>
    <s v="Express"/>
    <s v="Delivered"/>
    <n v="5"/>
    <s v="December"/>
    <x v="835"/>
    <n v="365"/>
    <n v="32775.369863013701"/>
    <n v="55"/>
  </r>
  <r>
    <s v="ORD0837"/>
    <x v="836"/>
    <x v="56"/>
    <x v="41"/>
    <x v="13"/>
    <x v="0"/>
    <x v="27"/>
    <x v="3"/>
    <x v="0"/>
    <s v="Corporate"/>
    <x v="2"/>
    <s v="Paper"/>
    <x v="3"/>
    <n v="10700"/>
    <x v="2"/>
    <n v="0.03"/>
    <n v="2660"/>
    <x v="2"/>
    <s v="Standard"/>
    <s v="Delivered"/>
    <n v="4"/>
    <s v="December"/>
    <x v="836"/>
    <n v="364"/>
    <n v="32744.807692307691"/>
    <n v="55"/>
  </r>
  <r>
    <s v="ORD0838"/>
    <x v="837"/>
    <x v="57"/>
    <x v="42"/>
    <x v="0"/>
    <x v="1"/>
    <x v="5"/>
    <x v="4"/>
    <x v="1"/>
    <s v="Consumer"/>
    <x v="1"/>
    <s v="Tables"/>
    <x v="4"/>
    <n v="41200"/>
    <x v="1"/>
    <n v="0.1"/>
    <n v="6720"/>
    <x v="0"/>
    <s v="Express"/>
    <s v="Delivered"/>
    <n v="5"/>
    <s v="December"/>
    <x v="837"/>
    <n v="363"/>
    <n v="32805.537190082643"/>
    <n v="55"/>
  </r>
  <r>
    <s v="ORD0839"/>
    <x v="838"/>
    <x v="58"/>
    <x v="43"/>
    <x v="11"/>
    <x v="0"/>
    <x v="2"/>
    <x v="2"/>
    <x v="2"/>
    <s v="Corporate"/>
    <x v="0"/>
    <s v="Accessories"/>
    <x v="5"/>
    <n v="6550"/>
    <x v="9"/>
    <n v="0.05"/>
    <n v="1730"/>
    <x v="1"/>
    <s v="Standard"/>
    <s v="Delivered"/>
    <n v="3"/>
    <s v="December"/>
    <x v="838"/>
    <n v="362"/>
    <n v="32782.348066298342"/>
    <n v="55"/>
  </r>
  <r>
    <s v="ORD0840"/>
    <x v="839"/>
    <x v="59"/>
    <x v="44"/>
    <x v="3"/>
    <x v="1"/>
    <x v="28"/>
    <x v="14"/>
    <x v="2"/>
    <s v="Consumer"/>
    <x v="0"/>
    <s v="Accessories"/>
    <x v="6"/>
    <n v="6800"/>
    <x v="12"/>
    <n v="0"/>
    <n v="2040"/>
    <x v="0"/>
    <s v="Standard"/>
    <s v="Delivered"/>
    <n v="4"/>
    <s v="January"/>
    <x v="839"/>
    <n v="361"/>
    <n v="32855.013850415511"/>
    <n v="55"/>
  </r>
  <r>
    <s v="ORD0841"/>
    <x v="840"/>
    <x v="60"/>
    <x v="10"/>
    <x v="1"/>
    <x v="0"/>
    <x v="3"/>
    <x v="0"/>
    <x v="0"/>
    <s v="Consumer"/>
    <x v="0"/>
    <s v="Computers"/>
    <x v="0"/>
    <n v="112000"/>
    <x v="0"/>
    <n v="0.05"/>
    <n v="14900"/>
    <x v="0"/>
    <s v="Express"/>
    <s v="Delivered"/>
    <n v="5"/>
    <s v="January"/>
    <x v="840"/>
    <n v="360"/>
    <n v="32927.388888888891"/>
    <n v="55"/>
  </r>
  <r>
    <s v="ORD0842"/>
    <x v="841"/>
    <x v="61"/>
    <x v="0"/>
    <x v="6"/>
    <x v="1"/>
    <x v="29"/>
    <x v="0"/>
    <x v="0"/>
    <s v="Corporate"/>
    <x v="1"/>
    <s v="Chairs"/>
    <x v="1"/>
    <n v="17800"/>
    <x v="3"/>
    <n v="0.1"/>
    <n v="4200"/>
    <x v="1"/>
    <s v="Standard"/>
    <s v="Delivered"/>
    <n v="4"/>
    <s v="January"/>
    <x v="841"/>
    <n v="359"/>
    <n v="32707.130919220057"/>
    <n v="55"/>
  </r>
  <r>
    <s v="ORD0843"/>
    <x v="842"/>
    <x v="62"/>
    <x v="45"/>
    <x v="7"/>
    <x v="0"/>
    <x v="30"/>
    <x v="1"/>
    <x v="1"/>
    <s v="Consumer"/>
    <x v="0"/>
    <s v="Accessories"/>
    <x v="2"/>
    <n v="41600"/>
    <x v="1"/>
    <n v="0.05"/>
    <n v="8100"/>
    <x v="2"/>
    <s v="Standard"/>
    <s v="Delivered"/>
    <n v="4"/>
    <s v="January"/>
    <x v="842"/>
    <n v="358"/>
    <n v="32748.770949720671"/>
    <n v="55"/>
  </r>
  <r>
    <s v="ORD0844"/>
    <x v="843"/>
    <x v="63"/>
    <x v="46"/>
    <x v="9"/>
    <x v="1"/>
    <x v="31"/>
    <x v="15"/>
    <x v="3"/>
    <s v="Consumer"/>
    <x v="2"/>
    <s v="Paper"/>
    <x v="7"/>
    <n v="1240"/>
    <x v="6"/>
    <n v="0.02"/>
    <n v="360"/>
    <x v="0"/>
    <s v="Standard"/>
    <s v="Delivered"/>
    <n v="5"/>
    <s v="February"/>
    <x v="843"/>
    <n v="357"/>
    <n v="32723.977591036415"/>
    <n v="55"/>
  </r>
  <r>
    <s v="ORD0845"/>
    <x v="844"/>
    <x v="64"/>
    <x v="47"/>
    <x v="18"/>
    <x v="0"/>
    <x v="13"/>
    <x v="0"/>
    <x v="0"/>
    <s v="Corporate"/>
    <x v="1"/>
    <s v="Tables"/>
    <x v="4"/>
    <n v="43800"/>
    <x v="1"/>
    <n v="0.08"/>
    <n v="7560"/>
    <x v="1"/>
    <s v="Express"/>
    <s v="Delivered"/>
    <n v="4"/>
    <s v="February"/>
    <x v="844"/>
    <n v="356"/>
    <n v="32812.415730337081"/>
    <n v="55"/>
  </r>
  <r>
    <s v="ORD0846"/>
    <x v="845"/>
    <x v="65"/>
    <x v="48"/>
    <x v="5"/>
    <x v="1"/>
    <x v="16"/>
    <x v="3"/>
    <x v="0"/>
    <s v="Consumer"/>
    <x v="0"/>
    <s v="Accessories"/>
    <x v="5"/>
    <n v="6350"/>
    <x v="3"/>
    <n v="0.05"/>
    <n v="1680"/>
    <x v="0"/>
    <s v="Standard"/>
    <s v="Delivered"/>
    <n v="4"/>
    <s v="February"/>
    <x v="845"/>
    <n v="355"/>
    <n v="32781.464788732395"/>
    <n v="55"/>
  </r>
  <r>
    <s v="ORD0847"/>
    <x v="846"/>
    <x v="66"/>
    <x v="49"/>
    <x v="0"/>
    <x v="0"/>
    <x v="32"/>
    <x v="0"/>
    <x v="0"/>
    <s v="Consumer"/>
    <x v="0"/>
    <s v="Accessories"/>
    <x v="6"/>
    <n v="6900"/>
    <x v="10"/>
    <n v="0"/>
    <n v="2070"/>
    <x v="3"/>
    <s v="Standard"/>
    <s v="Delivered"/>
    <n v="3"/>
    <s v="February"/>
    <x v="846"/>
    <n v="354"/>
    <n v="32856.129943502827"/>
    <n v="55"/>
  </r>
  <r>
    <s v="ORD0848"/>
    <x v="847"/>
    <x v="67"/>
    <x v="50"/>
    <x v="19"/>
    <x v="1"/>
    <x v="7"/>
    <x v="5"/>
    <x v="2"/>
    <s v="Corporate"/>
    <x v="2"/>
    <s v="Paper"/>
    <x v="3"/>
    <n v="10900"/>
    <x v="2"/>
    <n v="0.02"/>
    <n v="2700"/>
    <x v="0"/>
    <s v="Standard"/>
    <s v="Delivered"/>
    <n v="5"/>
    <s v="March"/>
    <x v="847"/>
    <n v="353"/>
    <n v="32929.660056657223"/>
    <n v="55"/>
  </r>
  <r>
    <s v="ORD0849"/>
    <x v="848"/>
    <x v="68"/>
    <x v="51"/>
    <x v="8"/>
    <x v="0"/>
    <x v="33"/>
    <x v="14"/>
    <x v="2"/>
    <s v="Corporate"/>
    <x v="1"/>
    <s v="Storage"/>
    <x v="8"/>
    <n v="27200"/>
    <x v="0"/>
    <n v="0.1"/>
    <n v="4930"/>
    <x v="1"/>
    <s v="Express"/>
    <s v="Delivered"/>
    <n v="4"/>
    <s v="March"/>
    <x v="848"/>
    <n v="352"/>
    <n v="32992.244318181816"/>
    <n v="55"/>
  </r>
  <r>
    <s v="ORD0850"/>
    <x v="849"/>
    <x v="69"/>
    <x v="18"/>
    <x v="12"/>
    <x v="1"/>
    <x v="15"/>
    <x v="9"/>
    <x v="2"/>
    <s v="Consumer"/>
    <x v="0"/>
    <s v="Printers"/>
    <x v="9"/>
    <n v="29500"/>
    <x v="1"/>
    <n v="0.05"/>
    <n v="5680"/>
    <x v="0"/>
    <s v="Standard"/>
    <s v="Delivered"/>
    <n v="4"/>
    <s v="March"/>
    <x v="849"/>
    <n v="351"/>
    <n v="33008.746438746435"/>
    <n v="55"/>
  </r>
  <r>
    <s v="ORD0851"/>
    <x v="850"/>
    <x v="70"/>
    <x v="7"/>
    <x v="15"/>
    <x v="0"/>
    <x v="34"/>
    <x v="12"/>
    <x v="2"/>
    <s v="Consumer"/>
    <x v="2"/>
    <s v="Accessories"/>
    <x v="10"/>
    <n v="1780"/>
    <x v="11"/>
    <n v="0"/>
    <n v="560"/>
    <x v="2"/>
    <s v="Standard"/>
    <s v="Delivered"/>
    <n v="5"/>
    <s v="March"/>
    <x v="850"/>
    <n v="350"/>
    <n v="33018.771428571432"/>
    <n v="55"/>
  </r>
  <r>
    <s v="ORD0852"/>
    <x v="851"/>
    <x v="71"/>
    <x v="52"/>
    <x v="4"/>
    <x v="1"/>
    <x v="35"/>
    <x v="5"/>
    <x v="2"/>
    <s v="Corporate"/>
    <x v="1"/>
    <s v="Tables"/>
    <x v="11"/>
    <n v="43700"/>
    <x v="0"/>
    <n v="0.08"/>
    <n v="9350"/>
    <x v="1"/>
    <s v="Express"/>
    <s v="Delivered"/>
    <n v="4"/>
    <s v="March"/>
    <x v="851"/>
    <n v="349"/>
    <n v="33108.280802292262"/>
    <n v="55"/>
  </r>
  <r>
    <s v="ORD0853"/>
    <x v="852"/>
    <x v="0"/>
    <x v="24"/>
    <x v="10"/>
    <x v="0"/>
    <x v="36"/>
    <x v="16"/>
    <x v="2"/>
    <s v="Consumer"/>
    <x v="0"/>
    <s v="Computers"/>
    <x v="0"/>
    <n v="117500"/>
    <x v="0"/>
    <n v="0.1"/>
    <n v="14000"/>
    <x v="0"/>
    <s v="Express"/>
    <s v="Delivered"/>
    <n v="5"/>
    <s v="April"/>
    <x v="852"/>
    <n v="348"/>
    <n v="33077.84482758621"/>
    <n v="55"/>
  </r>
  <r>
    <s v="ORD0854"/>
    <x v="853"/>
    <x v="72"/>
    <x v="7"/>
    <x v="2"/>
    <x v="1"/>
    <x v="37"/>
    <x v="12"/>
    <x v="2"/>
    <s v="Consumer"/>
    <x v="2"/>
    <s v="Storage"/>
    <x v="12"/>
    <n v="2340"/>
    <x v="5"/>
    <n v="0.05"/>
    <n v="765"/>
    <x v="3"/>
    <s v="Standard"/>
    <s v="Delivered"/>
    <n v="4"/>
    <s v="April"/>
    <x v="853"/>
    <n v="347"/>
    <n v="32834.55331412104"/>
    <n v="55"/>
  </r>
  <r>
    <s v="ORD0855"/>
    <x v="854"/>
    <x v="73"/>
    <x v="1"/>
    <x v="16"/>
    <x v="0"/>
    <x v="16"/>
    <x v="3"/>
    <x v="0"/>
    <s v="Corporate"/>
    <x v="1"/>
    <s v="Chairs"/>
    <x v="1"/>
    <n v="22400"/>
    <x v="9"/>
    <n v="7.0000000000000007E-2"/>
    <n v="5150"/>
    <x v="1"/>
    <s v="Standard"/>
    <s v="Delivered"/>
    <n v="4"/>
    <s v="April"/>
    <x v="854"/>
    <n v="346"/>
    <n v="32922.687861271676"/>
    <n v="55"/>
  </r>
  <r>
    <s v="ORD0856"/>
    <x v="855"/>
    <x v="74"/>
    <x v="8"/>
    <x v="6"/>
    <x v="1"/>
    <x v="0"/>
    <x v="0"/>
    <x v="0"/>
    <s v="Consumer"/>
    <x v="0"/>
    <s v="Accessories"/>
    <x v="2"/>
    <n v="44600"/>
    <x v="1"/>
    <n v="0.05"/>
    <n v="8750"/>
    <x v="0"/>
    <s v="Express"/>
    <s v="Delivered"/>
    <n v="5"/>
    <s v="April"/>
    <x v="855"/>
    <n v="345"/>
    <n v="32953.188405797104"/>
    <n v="55"/>
  </r>
  <r>
    <s v="ORD0857"/>
    <x v="856"/>
    <x v="75"/>
    <x v="53"/>
    <x v="23"/>
    <x v="0"/>
    <x v="4"/>
    <x v="3"/>
    <x v="0"/>
    <s v="Corporate"/>
    <x v="2"/>
    <s v="Paper"/>
    <x v="3"/>
    <n v="11100"/>
    <x v="2"/>
    <n v="0.03"/>
    <n v="2760"/>
    <x v="2"/>
    <s v="Standard"/>
    <s v="Delivered"/>
    <n v="4"/>
    <s v="May"/>
    <x v="856"/>
    <n v="344"/>
    <n v="32919.33139534884"/>
    <n v="55"/>
  </r>
  <r>
    <s v="ORD0858"/>
    <x v="857"/>
    <x v="76"/>
    <x v="29"/>
    <x v="17"/>
    <x v="1"/>
    <x v="17"/>
    <x v="10"/>
    <x v="4"/>
    <s v="Consumer"/>
    <x v="1"/>
    <s v="Tables"/>
    <x v="4"/>
    <n v="41900"/>
    <x v="1"/>
    <n v="0.1"/>
    <n v="6840"/>
    <x v="0"/>
    <s v="Express"/>
    <s v="Delivered"/>
    <n v="5"/>
    <s v="May"/>
    <x v="857"/>
    <n v="343"/>
    <n v="32982.944606413992"/>
    <n v="55"/>
  </r>
  <r>
    <s v="ORD0859"/>
    <x v="858"/>
    <x v="77"/>
    <x v="54"/>
    <x v="20"/>
    <x v="0"/>
    <x v="18"/>
    <x v="11"/>
    <x v="2"/>
    <s v="Corporate"/>
    <x v="0"/>
    <s v="Accessories"/>
    <x v="5"/>
    <n v="6650"/>
    <x v="9"/>
    <n v="0.05"/>
    <n v="1760"/>
    <x v="1"/>
    <s v="Standard"/>
    <s v="Delivered"/>
    <n v="3"/>
    <s v="May"/>
    <x v="858"/>
    <n v="342"/>
    <n v="32956.871345029242"/>
    <n v="55"/>
  </r>
  <r>
    <s v="ORD0860"/>
    <x v="859"/>
    <x v="78"/>
    <x v="55"/>
    <x v="3"/>
    <x v="1"/>
    <x v="8"/>
    <x v="6"/>
    <x v="3"/>
    <s v="Consumer"/>
    <x v="0"/>
    <s v="Accessories"/>
    <x v="6"/>
    <n v="7000"/>
    <x v="12"/>
    <n v="0"/>
    <n v="2100"/>
    <x v="0"/>
    <s v="Standard"/>
    <s v="Delivered"/>
    <n v="4"/>
    <s v="May"/>
    <x v="859"/>
    <n v="341"/>
    <n v="33034.017595307916"/>
    <n v="55"/>
  </r>
  <r>
    <s v="ORD0861"/>
    <x v="860"/>
    <x v="79"/>
    <x v="16"/>
    <x v="22"/>
    <x v="0"/>
    <x v="10"/>
    <x v="0"/>
    <x v="0"/>
    <s v="Consumer"/>
    <x v="0"/>
    <s v="Computers"/>
    <x v="0"/>
    <n v="113500"/>
    <x v="0"/>
    <n v="0.05"/>
    <n v="15100"/>
    <x v="0"/>
    <s v="Express"/>
    <s v="Delivered"/>
    <n v="5"/>
    <s v="May"/>
    <x v="860"/>
    <n v="340"/>
    <n v="33110.588235294119"/>
    <n v="55"/>
  </r>
  <r>
    <s v="ORD0862"/>
    <x v="861"/>
    <x v="80"/>
    <x v="56"/>
    <x v="19"/>
    <x v="1"/>
    <x v="5"/>
    <x v="4"/>
    <x v="1"/>
    <s v="Corporate"/>
    <x v="1"/>
    <s v="Chairs"/>
    <x v="1"/>
    <n v="18200"/>
    <x v="3"/>
    <n v="0.1"/>
    <n v="4280"/>
    <x v="1"/>
    <s v="Standard"/>
    <s v="Delivered"/>
    <n v="4"/>
    <s v="June"/>
    <x v="861"/>
    <n v="339"/>
    <n v="32873.451327433628"/>
    <n v="55"/>
  </r>
  <r>
    <s v="ORD0863"/>
    <x v="862"/>
    <x v="81"/>
    <x v="57"/>
    <x v="12"/>
    <x v="0"/>
    <x v="14"/>
    <x v="8"/>
    <x v="0"/>
    <s v="Consumer"/>
    <x v="0"/>
    <s v="Accessories"/>
    <x v="2"/>
    <n v="42300"/>
    <x v="1"/>
    <n v="0.05"/>
    <n v="8250"/>
    <x v="2"/>
    <s v="Standard"/>
    <s v="Delivered"/>
    <n v="4"/>
    <s v="June"/>
    <x v="862"/>
    <n v="338"/>
    <n v="32916.863905325445"/>
    <n v="55"/>
  </r>
  <r>
    <s v="ORD0864"/>
    <x v="863"/>
    <x v="82"/>
    <x v="58"/>
    <x v="0"/>
    <x v="1"/>
    <x v="3"/>
    <x v="0"/>
    <x v="0"/>
    <s v="Consumer"/>
    <x v="2"/>
    <s v="Paper"/>
    <x v="7"/>
    <n v="1270"/>
    <x v="6"/>
    <n v="0.02"/>
    <n v="370"/>
    <x v="0"/>
    <s v="Standard"/>
    <s v="Delivered"/>
    <n v="5"/>
    <s v="June"/>
    <x v="863"/>
    <n v="337"/>
    <n v="32889.020771513351"/>
    <n v="55"/>
  </r>
  <r>
    <s v="ORD0865"/>
    <x v="864"/>
    <x v="83"/>
    <x v="18"/>
    <x v="2"/>
    <x v="0"/>
    <x v="2"/>
    <x v="2"/>
    <x v="2"/>
    <s v="Corporate"/>
    <x v="1"/>
    <s v="Tables"/>
    <x v="4"/>
    <n v="44600"/>
    <x v="1"/>
    <n v="0.08"/>
    <n v="7720"/>
    <x v="1"/>
    <s v="Express"/>
    <s v="Delivered"/>
    <n v="4"/>
    <s v="June"/>
    <x v="864"/>
    <n v="336"/>
    <n v="32983.125"/>
    <n v="55"/>
  </r>
  <r>
    <s v="ORD0866"/>
    <x v="865"/>
    <x v="84"/>
    <x v="38"/>
    <x v="1"/>
    <x v="1"/>
    <x v="19"/>
    <x v="12"/>
    <x v="2"/>
    <s v="Consumer"/>
    <x v="0"/>
    <s v="Accessories"/>
    <x v="5"/>
    <n v="6450"/>
    <x v="3"/>
    <n v="0.05"/>
    <n v="1710"/>
    <x v="0"/>
    <s v="Standard"/>
    <s v="Delivered"/>
    <n v="4"/>
    <s v="July"/>
    <x v="865"/>
    <n v="335"/>
    <n v="32948.447761194031"/>
    <n v="55"/>
  </r>
  <r>
    <s v="ORD0867"/>
    <x v="866"/>
    <x v="85"/>
    <x v="59"/>
    <x v="6"/>
    <x v="0"/>
    <x v="38"/>
    <x v="0"/>
    <x v="0"/>
    <s v="Consumer"/>
    <x v="0"/>
    <s v="Accessories"/>
    <x v="6"/>
    <n v="7100"/>
    <x v="10"/>
    <n v="0"/>
    <n v="2130"/>
    <x v="3"/>
    <s v="Standard"/>
    <s v="Delivered"/>
    <n v="3"/>
    <s v="July"/>
    <x v="866"/>
    <n v="334"/>
    <n v="33027.784431137727"/>
    <n v="55"/>
  </r>
  <r>
    <s v="ORD0868"/>
    <x v="867"/>
    <x v="86"/>
    <x v="60"/>
    <x v="13"/>
    <x v="1"/>
    <x v="39"/>
    <x v="17"/>
    <x v="3"/>
    <s v="Corporate"/>
    <x v="2"/>
    <s v="Paper"/>
    <x v="3"/>
    <n v="11300"/>
    <x v="2"/>
    <n v="0.02"/>
    <n v="2800"/>
    <x v="0"/>
    <s v="Standard"/>
    <s v="Delivered"/>
    <n v="5"/>
    <s v="July"/>
    <x v="867"/>
    <n v="333"/>
    <n v="33105.645645645644"/>
    <n v="55"/>
  </r>
  <r>
    <s v="ORD0869"/>
    <x v="868"/>
    <x v="87"/>
    <x v="61"/>
    <x v="18"/>
    <x v="1"/>
    <x v="22"/>
    <x v="13"/>
    <x v="1"/>
    <s v="Corporate"/>
    <x v="1"/>
    <s v="Storage"/>
    <x v="8"/>
    <n v="27700"/>
    <x v="0"/>
    <n v="0.1"/>
    <n v="5020"/>
    <x v="1"/>
    <s v="Express"/>
    <s v="Delivered"/>
    <n v="4"/>
    <s v="July"/>
    <x v="868"/>
    <n v="332"/>
    <n v="33171.325301204823"/>
    <n v="55"/>
  </r>
  <r>
    <s v="ORD0870"/>
    <x v="869"/>
    <x v="88"/>
    <x v="36"/>
    <x v="24"/>
    <x v="0"/>
    <x v="40"/>
    <x v="13"/>
    <x v="1"/>
    <s v="Consumer"/>
    <x v="0"/>
    <s v="Printers"/>
    <x v="9"/>
    <n v="30000"/>
    <x v="1"/>
    <n v="0.05"/>
    <n v="5760"/>
    <x v="0"/>
    <s v="Standard"/>
    <s v="Delivered"/>
    <n v="4"/>
    <s v="August"/>
    <x v="869"/>
    <n v="331"/>
    <n v="33187.854984894257"/>
    <n v="55"/>
  </r>
  <r>
    <s v="ORD0871"/>
    <x v="870"/>
    <x v="89"/>
    <x v="6"/>
    <x v="5"/>
    <x v="0"/>
    <x v="41"/>
    <x v="18"/>
    <x v="1"/>
    <s v="Consumer"/>
    <x v="2"/>
    <s v="Accessories"/>
    <x v="10"/>
    <n v="1810"/>
    <x v="11"/>
    <n v="0"/>
    <n v="570"/>
    <x v="2"/>
    <s v="Standard"/>
    <s v="Delivered"/>
    <n v="5"/>
    <s v="August"/>
    <x v="870"/>
    <n v="330"/>
    <n v="33197.515151515152"/>
    <n v="55"/>
  </r>
  <r>
    <s v="ORD0872"/>
    <x v="871"/>
    <x v="90"/>
    <x v="3"/>
    <x v="15"/>
    <x v="1"/>
    <x v="6"/>
    <x v="0"/>
    <x v="0"/>
    <s v="Corporate"/>
    <x v="1"/>
    <s v="Tables"/>
    <x v="11"/>
    <n v="44400"/>
    <x v="0"/>
    <n v="0.08"/>
    <n v="9500"/>
    <x v="1"/>
    <s v="Express"/>
    <s v="Delivered"/>
    <n v="4"/>
    <s v="August"/>
    <x v="871"/>
    <n v="329"/>
    <n v="33292.917933130702"/>
    <n v="55"/>
  </r>
  <r>
    <s v="ORD0873"/>
    <x v="872"/>
    <x v="91"/>
    <x v="62"/>
    <x v="14"/>
    <x v="0"/>
    <x v="7"/>
    <x v="5"/>
    <x v="2"/>
    <s v="Consumer"/>
    <x v="0"/>
    <s v="Computers"/>
    <x v="0"/>
    <n v="119000"/>
    <x v="0"/>
    <n v="0.1"/>
    <n v="14200"/>
    <x v="0"/>
    <s v="Express"/>
    <s v="Delivered"/>
    <n v="5"/>
    <s v="August"/>
    <x v="872"/>
    <n v="328"/>
    <n v="33259.054878048781"/>
    <n v="55"/>
  </r>
  <r>
    <s v="ORD0874"/>
    <x v="873"/>
    <x v="92"/>
    <x v="63"/>
    <x v="10"/>
    <x v="1"/>
    <x v="2"/>
    <x v="2"/>
    <x v="2"/>
    <s v="Consumer"/>
    <x v="2"/>
    <s v="Storage"/>
    <x v="12"/>
    <n v="2380"/>
    <x v="5"/>
    <n v="0.05"/>
    <n v="780"/>
    <x v="3"/>
    <s v="Standard"/>
    <s v="Delivered"/>
    <n v="4"/>
    <s v="August"/>
    <x v="873"/>
    <n v="327"/>
    <n v="32996.850152905201"/>
    <n v="55"/>
  </r>
  <r>
    <s v="ORD0875"/>
    <x v="874"/>
    <x v="93"/>
    <x v="10"/>
    <x v="13"/>
    <x v="0"/>
    <x v="3"/>
    <x v="0"/>
    <x v="0"/>
    <s v="Corporate"/>
    <x v="1"/>
    <s v="Chairs"/>
    <x v="1"/>
    <n v="22800"/>
    <x v="9"/>
    <n v="7.0000000000000007E-2"/>
    <n v="5250"/>
    <x v="1"/>
    <s v="Standard"/>
    <s v="Delivered"/>
    <n v="4"/>
    <s v="September"/>
    <x v="874"/>
    <n v="326"/>
    <n v="33090.766871165644"/>
    <n v="55"/>
  </r>
  <r>
    <s v="ORD0876"/>
    <x v="875"/>
    <x v="94"/>
    <x v="64"/>
    <x v="9"/>
    <x v="1"/>
    <x v="0"/>
    <x v="0"/>
    <x v="0"/>
    <s v="Consumer"/>
    <x v="0"/>
    <s v="Accessories"/>
    <x v="2"/>
    <n v="45300"/>
    <x v="1"/>
    <n v="0.05"/>
    <n v="8900"/>
    <x v="0"/>
    <s v="Express"/>
    <s v="Delivered"/>
    <n v="5"/>
    <s v="September"/>
    <x v="875"/>
    <n v="325"/>
    <n v="33122.43076923077"/>
    <n v="55"/>
  </r>
  <r>
    <s v="ORD0877"/>
    <x v="876"/>
    <x v="95"/>
    <x v="3"/>
    <x v="8"/>
    <x v="0"/>
    <x v="10"/>
    <x v="0"/>
    <x v="0"/>
    <s v="Corporate"/>
    <x v="2"/>
    <s v="Paper"/>
    <x v="3"/>
    <n v="11500"/>
    <x v="2"/>
    <n v="0.03"/>
    <n v="2860"/>
    <x v="2"/>
    <s v="Standard"/>
    <s v="Delivered"/>
    <n v="4"/>
    <s v="September"/>
    <x v="876"/>
    <n v="324"/>
    <n v="33084.845679012345"/>
    <n v="55"/>
  </r>
  <r>
    <s v="ORD0878"/>
    <x v="877"/>
    <x v="96"/>
    <x v="65"/>
    <x v="12"/>
    <x v="1"/>
    <x v="12"/>
    <x v="0"/>
    <x v="0"/>
    <s v="Consumer"/>
    <x v="1"/>
    <s v="Tables"/>
    <x v="4"/>
    <n v="42600"/>
    <x v="1"/>
    <n v="0.1"/>
    <n v="6960"/>
    <x v="0"/>
    <s v="Express"/>
    <s v="Delivered"/>
    <n v="5"/>
    <s v="September"/>
    <x v="877"/>
    <n v="323"/>
    <n v="33151.671826625388"/>
    <n v="55"/>
  </r>
  <r>
    <s v="ORD0879"/>
    <x v="878"/>
    <x v="97"/>
    <x v="66"/>
    <x v="4"/>
    <x v="0"/>
    <x v="6"/>
    <x v="0"/>
    <x v="0"/>
    <s v="Corporate"/>
    <x v="0"/>
    <s v="Accessories"/>
    <x v="5"/>
    <n v="6750"/>
    <x v="9"/>
    <n v="0.05"/>
    <n v="1790"/>
    <x v="1"/>
    <s v="Standard"/>
    <s v="Delivered"/>
    <n v="3"/>
    <s v="October"/>
    <x v="878"/>
    <n v="322"/>
    <n v="33122.329192546582"/>
    <n v="55"/>
  </r>
  <r>
    <s v="ORD0880"/>
    <x v="879"/>
    <x v="98"/>
    <x v="67"/>
    <x v="3"/>
    <x v="1"/>
    <x v="26"/>
    <x v="8"/>
    <x v="0"/>
    <s v="Consumer"/>
    <x v="0"/>
    <s v="Accessories"/>
    <x v="6"/>
    <n v="7200"/>
    <x v="12"/>
    <n v="0"/>
    <n v="2160"/>
    <x v="0"/>
    <s v="Standard"/>
    <s v="Delivered"/>
    <n v="4"/>
    <s v="October"/>
    <x v="879"/>
    <n v="321"/>
    <n v="33204.485981308411"/>
    <n v="55"/>
  </r>
  <r>
    <s v="ORD0881"/>
    <x v="880"/>
    <x v="99"/>
    <x v="68"/>
    <x v="11"/>
    <x v="0"/>
    <x v="42"/>
    <x v="0"/>
    <x v="0"/>
    <s v="Consumer"/>
    <x v="0"/>
    <s v="Computers"/>
    <x v="0"/>
    <n v="115000"/>
    <x v="0"/>
    <n v="0.05"/>
    <n v="15300"/>
    <x v="0"/>
    <s v="Express"/>
    <s v="Delivered"/>
    <n v="5"/>
    <s v="October"/>
    <x v="880"/>
    <n v="320"/>
    <n v="33285.75"/>
    <n v="55"/>
  </r>
  <r>
    <s v="ORD0882"/>
    <x v="881"/>
    <x v="100"/>
    <x v="69"/>
    <x v="6"/>
    <x v="1"/>
    <x v="20"/>
    <x v="3"/>
    <x v="0"/>
    <s v="Corporate"/>
    <x v="1"/>
    <s v="Chairs"/>
    <x v="1"/>
    <n v="18600"/>
    <x v="3"/>
    <n v="0.1"/>
    <n v="4360"/>
    <x v="1"/>
    <s v="Standard"/>
    <s v="Delivered"/>
    <n v="4"/>
    <s v="October"/>
    <x v="881"/>
    <n v="319"/>
    <n v="33029.59247648903"/>
    <n v="55"/>
  </r>
  <r>
    <s v="ORD0883"/>
    <x v="882"/>
    <x v="101"/>
    <x v="0"/>
    <x v="1"/>
    <x v="0"/>
    <x v="43"/>
    <x v="0"/>
    <x v="0"/>
    <s v="Consumer"/>
    <x v="0"/>
    <s v="Accessories"/>
    <x v="2"/>
    <n v="43000"/>
    <x v="1"/>
    <n v="0.05"/>
    <n v="8400"/>
    <x v="2"/>
    <s v="Standard"/>
    <s v="Delivered"/>
    <n v="4"/>
    <s v="November"/>
    <x v="882"/>
    <n v="318"/>
    <n v="33074.968553459119"/>
    <n v="55"/>
  </r>
  <r>
    <s v="ORD0884"/>
    <x v="883"/>
    <x v="102"/>
    <x v="70"/>
    <x v="7"/>
    <x v="1"/>
    <x v="22"/>
    <x v="13"/>
    <x v="1"/>
    <s v="Consumer"/>
    <x v="2"/>
    <s v="Paper"/>
    <x v="7"/>
    <n v="1300"/>
    <x v="6"/>
    <n v="0.02"/>
    <n v="380"/>
    <x v="0"/>
    <s v="Standard"/>
    <s v="Delivered"/>
    <n v="5"/>
    <s v="November"/>
    <x v="883"/>
    <n v="317"/>
    <n v="33043.659305993693"/>
    <n v="55"/>
  </r>
  <r>
    <s v="ORD0885"/>
    <x v="884"/>
    <x v="103"/>
    <x v="71"/>
    <x v="25"/>
    <x v="0"/>
    <x v="2"/>
    <x v="2"/>
    <x v="2"/>
    <s v="Corporate"/>
    <x v="1"/>
    <s v="Tables"/>
    <x v="4"/>
    <n v="45400"/>
    <x v="1"/>
    <n v="0.08"/>
    <n v="7880"/>
    <x v="1"/>
    <s v="Express"/>
    <s v="Delivered"/>
    <n v="4"/>
    <s v="November"/>
    <x v="884"/>
    <n v="316"/>
    <n v="33144.113924050631"/>
    <n v="55"/>
  </r>
  <r>
    <s v="ORD0886"/>
    <x v="885"/>
    <x v="104"/>
    <x v="0"/>
    <x v="5"/>
    <x v="1"/>
    <x v="29"/>
    <x v="0"/>
    <x v="0"/>
    <s v="Consumer"/>
    <x v="0"/>
    <s v="Accessories"/>
    <x v="5"/>
    <n v="6550"/>
    <x v="3"/>
    <n v="0.05"/>
    <n v="1740"/>
    <x v="0"/>
    <s v="Standard"/>
    <s v="Delivered"/>
    <n v="4"/>
    <s v="November"/>
    <x v="885"/>
    <n v="315"/>
    <n v="33105.206349206346"/>
    <n v="55"/>
  </r>
  <r>
    <s v="ORD0887"/>
    <x v="886"/>
    <x v="105"/>
    <x v="72"/>
    <x v="0"/>
    <x v="0"/>
    <x v="3"/>
    <x v="0"/>
    <x v="0"/>
    <s v="Consumer"/>
    <x v="0"/>
    <s v="Accessories"/>
    <x v="6"/>
    <n v="7300"/>
    <x v="10"/>
    <n v="0"/>
    <n v="2190"/>
    <x v="3"/>
    <s v="Standard"/>
    <s v="Delivered"/>
    <n v="3"/>
    <s v="November"/>
    <x v="886"/>
    <n v="314"/>
    <n v="33189.777070063697"/>
    <n v="55"/>
  </r>
  <r>
    <s v="ORD0888"/>
    <x v="887"/>
    <x v="106"/>
    <x v="19"/>
    <x v="16"/>
    <x v="1"/>
    <x v="36"/>
    <x v="16"/>
    <x v="2"/>
    <s v="Corporate"/>
    <x v="2"/>
    <s v="Paper"/>
    <x v="3"/>
    <n v="11700"/>
    <x v="2"/>
    <n v="0.02"/>
    <n v="2900"/>
    <x v="0"/>
    <s v="Standard"/>
    <s v="Delivered"/>
    <n v="5"/>
    <s v="December"/>
    <x v="887"/>
    <n v="313"/>
    <n v="33272.492012779556"/>
    <n v="55"/>
  </r>
  <r>
    <s v="ORD0889"/>
    <x v="888"/>
    <x v="107"/>
    <x v="73"/>
    <x v="22"/>
    <x v="0"/>
    <x v="28"/>
    <x v="14"/>
    <x v="2"/>
    <s v="Corporate"/>
    <x v="1"/>
    <s v="Storage"/>
    <x v="8"/>
    <n v="28200"/>
    <x v="0"/>
    <n v="0.1"/>
    <n v="5110"/>
    <x v="1"/>
    <s v="Express"/>
    <s v="Delivered"/>
    <n v="4"/>
    <s v="December"/>
    <x v="888"/>
    <n v="312"/>
    <n v="33341.634615384617"/>
    <n v="55"/>
  </r>
  <r>
    <s v="ORD0890"/>
    <x v="889"/>
    <x v="108"/>
    <x v="28"/>
    <x v="15"/>
    <x v="1"/>
    <x v="19"/>
    <x v="12"/>
    <x v="2"/>
    <s v="Consumer"/>
    <x v="0"/>
    <s v="Printers"/>
    <x v="9"/>
    <n v="30500"/>
    <x v="1"/>
    <n v="0.05"/>
    <n v="5840"/>
    <x v="0"/>
    <s v="Standard"/>
    <s v="Delivered"/>
    <n v="4"/>
    <s v="December"/>
    <x v="889"/>
    <n v="311"/>
    <n v="33358.167202572346"/>
    <n v="55"/>
  </r>
  <r>
    <s v="ORD0891"/>
    <x v="890"/>
    <x v="109"/>
    <x v="74"/>
    <x v="19"/>
    <x v="0"/>
    <x v="44"/>
    <x v="12"/>
    <x v="2"/>
    <s v="Consumer"/>
    <x v="2"/>
    <s v="Accessories"/>
    <x v="10"/>
    <n v="1840"/>
    <x v="11"/>
    <n v="0"/>
    <n v="580"/>
    <x v="2"/>
    <s v="Standard"/>
    <s v="Delivered"/>
    <n v="5"/>
    <s v="December"/>
    <x v="890"/>
    <n v="310"/>
    <n v="33367.387096774197"/>
    <n v="55"/>
  </r>
  <r>
    <s v="ORD0892"/>
    <x v="891"/>
    <x v="5"/>
    <x v="52"/>
    <x v="4"/>
    <x v="1"/>
    <x v="35"/>
    <x v="5"/>
    <x v="2"/>
    <s v="Corporate"/>
    <x v="1"/>
    <s v="Tables"/>
    <x v="11"/>
    <n v="45100"/>
    <x v="0"/>
    <n v="0.08"/>
    <n v="9650"/>
    <x v="1"/>
    <s v="Express"/>
    <s v="Delivered"/>
    <n v="4"/>
    <s v="January"/>
    <x v="891"/>
    <n v="309"/>
    <n v="33469.417475728158"/>
    <n v="55"/>
  </r>
  <r>
    <s v="ORD0893"/>
    <x v="892"/>
    <x v="34"/>
    <x v="38"/>
    <x v="2"/>
    <x v="0"/>
    <x v="24"/>
    <x v="10"/>
    <x v="4"/>
    <s v="Consumer"/>
    <x v="0"/>
    <s v="Computers"/>
    <x v="0"/>
    <n v="120500"/>
    <x v="0"/>
    <n v="0.1"/>
    <n v="14400"/>
    <x v="0"/>
    <s v="Express"/>
    <s v="Delivered"/>
    <n v="5"/>
    <s v="January"/>
    <x v="892"/>
    <n v="308"/>
    <n v="33431.655844155845"/>
    <n v="55"/>
  </r>
  <r>
    <s v="ORD0894"/>
    <x v="893"/>
    <x v="110"/>
    <x v="39"/>
    <x v="12"/>
    <x v="1"/>
    <x v="25"/>
    <x v="12"/>
    <x v="2"/>
    <s v="Consumer"/>
    <x v="2"/>
    <s v="Storage"/>
    <x v="12"/>
    <n v="2420"/>
    <x v="5"/>
    <n v="0.05"/>
    <n v="795"/>
    <x v="3"/>
    <s v="Standard"/>
    <s v="Delivered"/>
    <n v="4"/>
    <s v="January"/>
    <x v="893"/>
    <n v="307"/>
    <n v="33148.04560260586"/>
    <n v="55"/>
  </r>
  <r>
    <s v="ORD0895"/>
    <x v="894"/>
    <x v="46"/>
    <x v="27"/>
    <x v="13"/>
    <x v="0"/>
    <x v="11"/>
    <x v="0"/>
    <x v="0"/>
    <s v="Corporate"/>
    <x v="1"/>
    <s v="Chairs"/>
    <x v="1"/>
    <n v="23200"/>
    <x v="9"/>
    <n v="7.0000000000000007E-2"/>
    <n v="5350"/>
    <x v="1"/>
    <s v="Standard"/>
    <s v="Delivered"/>
    <n v="4"/>
    <s v="January"/>
    <x v="894"/>
    <n v="306"/>
    <n v="33248.464052287585"/>
    <n v="55"/>
  </r>
  <r>
    <s v="ORD0896"/>
    <x v="895"/>
    <x v="57"/>
    <x v="75"/>
    <x v="0"/>
    <x v="1"/>
    <x v="13"/>
    <x v="0"/>
    <x v="0"/>
    <s v="Consumer"/>
    <x v="0"/>
    <s v="Accessories"/>
    <x v="2"/>
    <n v="46000"/>
    <x v="1"/>
    <n v="0.05"/>
    <n v="9050"/>
    <x v="0"/>
    <s v="Express"/>
    <s v="Delivered"/>
    <n v="5"/>
    <s v="January"/>
    <x v="895"/>
    <n v="305"/>
    <n v="33281.409836065577"/>
    <n v="55"/>
  </r>
  <r>
    <s v="ORD0897"/>
    <x v="896"/>
    <x v="111"/>
    <x v="76"/>
    <x v="23"/>
    <x v="0"/>
    <x v="45"/>
    <x v="18"/>
    <x v="1"/>
    <s v="Corporate"/>
    <x v="2"/>
    <s v="Paper"/>
    <x v="3"/>
    <n v="11900"/>
    <x v="2"/>
    <n v="0.03"/>
    <n v="2960"/>
    <x v="2"/>
    <s v="Standard"/>
    <s v="Delivered"/>
    <n v="4"/>
    <s v="February"/>
    <x v="896"/>
    <n v="304"/>
    <n v="33239.572368421053"/>
    <n v="55"/>
  </r>
  <r>
    <s v="ORD0898"/>
    <x v="897"/>
    <x v="112"/>
    <x v="77"/>
    <x v="3"/>
    <x v="1"/>
    <x v="10"/>
    <x v="0"/>
    <x v="0"/>
    <s v="Consumer"/>
    <x v="1"/>
    <s v="Tables"/>
    <x v="4"/>
    <n v="43300"/>
    <x v="1"/>
    <n v="0.1"/>
    <n v="7080"/>
    <x v="0"/>
    <s v="Express"/>
    <s v="Delivered"/>
    <n v="5"/>
    <s v="February"/>
    <x v="897"/>
    <n v="303"/>
    <n v="33310"/>
    <n v="55"/>
  </r>
  <r>
    <s v="ORD0899"/>
    <x v="898"/>
    <x v="113"/>
    <x v="27"/>
    <x v="18"/>
    <x v="0"/>
    <x v="42"/>
    <x v="0"/>
    <x v="0"/>
    <s v="Corporate"/>
    <x v="0"/>
    <s v="Accessories"/>
    <x v="5"/>
    <n v="6850"/>
    <x v="9"/>
    <n v="0.05"/>
    <n v="1820"/>
    <x v="1"/>
    <s v="Standard"/>
    <s v="Delivered"/>
    <n v="3"/>
    <s v="February"/>
    <x v="898"/>
    <n v="302"/>
    <n v="33276.920529801326"/>
    <n v="55"/>
  </r>
  <r>
    <s v="ORD0900"/>
    <x v="899"/>
    <x v="114"/>
    <x v="15"/>
    <x v="6"/>
    <x v="1"/>
    <x v="11"/>
    <x v="0"/>
    <x v="0"/>
    <s v="Consumer"/>
    <x v="0"/>
    <s v="Accessories"/>
    <x v="6"/>
    <n v="7400"/>
    <x v="12"/>
    <n v="0"/>
    <n v="2220"/>
    <x v="0"/>
    <s v="Standard"/>
    <s v="Delivered"/>
    <n v="4"/>
    <s v="February"/>
    <x v="899"/>
    <n v="301"/>
    <n v="33364.71760797342"/>
    <n v="55"/>
  </r>
  <r>
    <s v="ORD0901"/>
    <x v="900"/>
    <x v="115"/>
    <x v="13"/>
    <x v="7"/>
    <x v="0"/>
    <x v="3"/>
    <x v="0"/>
    <x v="0"/>
    <s v="Consumer"/>
    <x v="0"/>
    <s v="Computers"/>
    <x v="0"/>
    <n v="117000"/>
    <x v="0"/>
    <n v="0.05"/>
    <n v="15500"/>
    <x v="0"/>
    <s v="Express"/>
    <s v="Delivered"/>
    <n v="5"/>
    <s v="March"/>
    <x v="900"/>
    <n v="300"/>
    <n v="33451.26666666667"/>
    <n v="55"/>
  </r>
  <r>
    <s v="ORD0902"/>
    <x v="901"/>
    <x v="116"/>
    <x v="78"/>
    <x v="9"/>
    <x v="1"/>
    <x v="6"/>
    <x v="0"/>
    <x v="0"/>
    <s v="Corporate"/>
    <x v="1"/>
    <s v="Chairs"/>
    <x v="1"/>
    <n v="19000"/>
    <x v="3"/>
    <n v="0.1"/>
    <n v="4440"/>
    <x v="1"/>
    <s v="Standard"/>
    <s v="Delivered"/>
    <n v="4"/>
    <s v="March"/>
    <x v="901"/>
    <n v="299"/>
    <n v="33171.839464882942"/>
    <n v="55"/>
  </r>
  <r>
    <s v="ORD0903"/>
    <x v="902"/>
    <x v="117"/>
    <x v="79"/>
    <x v="10"/>
    <x v="0"/>
    <x v="12"/>
    <x v="0"/>
    <x v="0"/>
    <s v="Consumer"/>
    <x v="0"/>
    <s v="Accessories"/>
    <x v="2"/>
    <n v="43700"/>
    <x v="1"/>
    <n v="0.05"/>
    <n v="8550"/>
    <x v="2"/>
    <s v="Standard"/>
    <s v="Delivered"/>
    <n v="4"/>
    <s v="March"/>
    <x v="902"/>
    <n v="298"/>
    <n v="33219.395973154365"/>
    <n v="55"/>
  </r>
  <r>
    <s v="ORD0904"/>
    <x v="903"/>
    <x v="118"/>
    <x v="80"/>
    <x v="5"/>
    <x v="1"/>
    <x v="29"/>
    <x v="0"/>
    <x v="0"/>
    <s v="Consumer"/>
    <x v="2"/>
    <s v="Paper"/>
    <x v="7"/>
    <n v="1330"/>
    <x v="6"/>
    <n v="0.02"/>
    <n v="390"/>
    <x v="0"/>
    <s v="Standard"/>
    <s v="Delivered"/>
    <n v="5"/>
    <s v="March"/>
    <x v="903"/>
    <n v="297"/>
    <n v="33184.107744107743"/>
    <n v="55"/>
  </r>
  <r>
    <s v="ORD0905"/>
    <x v="904"/>
    <x v="119"/>
    <x v="81"/>
    <x v="8"/>
    <x v="0"/>
    <x v="3"/>
    <x v="0"/>
    <x v="0"/>
    <s v="Corporate"/>
    <x v="1"/>
    <s v="Tables"/>
    <x v="4"/>
    <n v="46200"/>
    <x v="1"/>
    <n v="0.08"/>
    <n v="8000"/>
    <x v="1"/>
    <s v="Express"/>
    <s v="Delivered"/>
    <n v="4"/>
    <s v="April"/>
    <x v="904"/>
    <n v="296"/>
    <n v="33291.722972972973"/>
    <n v="55"/>
  </r>
  <r>
    <s v="ORD0906"/>
    <x v="905"/>
    <x v="120"/>
    <x v="49"/>
    <x v="15"/>
    <x v="1"/>
    <x v="10"/>
    <x v="0"/>
    <x v="0"/>
    <s v="Consumer"/>
    <x v="0"/>
    <s v="Accessories"/>
    <x v="5"/>
    <n v="6650"/>
    <x v="3"/>
    <n v="0.05"/>
    <n v="1770"/>
    <x v="0"/>
    <s v="Standard"/>
    <s v="Delivered"/>
    <n v="4"/>
    <s v="April"/>
    <x v="905"/>
    <n v="295"/>
    <n v="33247.966101694918"/>
    <n v="55"/>
  </r>
  <r>
    <s v="ORD0907"/>
    <x v="906"/>
    <x v="121"/>
    <x v="82"/>
    <x v="12"/>
    <x v="0"/>
    <x v="32"/>
    <x v="0"/>
    <x v="0"/>
    <s v="Consumer"/>
    <x v="0"/>
    <s v="Accessories"/>
    <x v="6"/>
    <n v="7500"/>
    <x v="10"/>
    <n v="0"/>
    <n v="2250"/>
    <x v="3"/>
    <s v="Standard"/>
    <s v="Delivered"/>
    <n v="3"/>
    <s v="April"/>
    <x v="906"/>
    <n v="294"/>
    <n v="33338.43537414966"/>
    <n v="55"/>
  </r>
  <r>
    <s v="ORD0908"/>
    <x v="907"/>
    <x v="122"/>
    <x v="83"/>
    <x v="1"/>
    <x v="1"/>
    <x v="13"/>
    <x v="0"/>
    <x v="0"/>
    <s v="Corporate"/>
    <x v="2"/>
    <s v="Paper"/>
    <x v="3"/>
    <n v="12100"/>
    <x v="2"/>
    <n v="0.02"/>
    <n v="3000"/>
    <x v="0"/>
    <s v="Standard"/>
    <s v="Delivered"/>
    <n v="5"/>
    <s v="April"/>
    <x v="907"/>
    <n v="293"/>
    <n v="33426.621160409559"/>
    <n v="55"/>
  </r>
  <r>
    <s v="ORD0909"/>
    <x v="908"/>
    <x v="123"/>
    <x v="47"/>
    <x v="25"/>
    <x v="0"/>
    <x v="6"/>
    <x v="0"/>
    <x v="0"/>
    <s v="Corporate"/>
    <x v="1"/>
    <s v="Storage"/>
    <x v="8"/>
    <n v="28700"/>
    <x v="0"/>
    <n v="0.1"/>
    <n v="5200"/>
    <x v="1"/>
    <s v="Express"/>
    <s v="Delivered"/>
    <n v="4"/>
    <s v="May"/>
    <x v="908"/>
    <n v="292"/>
    <n v="33499.657534246573"/>
    <n v="55"/>
  </r>
  <r>
    <s v="ORD0910"/>
    <x v="909"/>
    <x v="124"/>
    <x v="84"/>
    <x v="3"/>
    <x v="1"/>
    <x v="38"/>
    <x v="0"/>
    <x v="0"/>
    <s v="Consumer"/>
    <x v="0"/>
    <s v="Printers"/>
    <x v="9"/>
    <n v="31000"/>
    <x v="1"/>
    <n v="0.05"/>
    <n v="5920"/>
    <x v="0"/>
    <s v="Standard"/>
    <s v="Delivered"/>
    <n v="4"/>
    <s v="May"/>
    <x v="909"/>
    <n v="291"/>
    <n v="33516.151202749141"/>
    <n v="55"/>
  </r>
  <r>
    <s v="ORD0911"/>
    <x v="910"/>
    <x v="125"/>
    <x v="85"/>
    <x v="16"/>
    <x v="0"/>
    <x v="3"/>
    <x v="0"/>
    <x v="0"/>
    <s v="Consumer"/>
    <x v="2"/>
    <s v="Accessories"/>
    <x v="10"/>
    <n v="1870"/>
    <x v="11"/>
    <n v="0"/>
    <n v="590"/>
    <x v="2"/>
    <s v="Standard"/>
    <s v="Delivered"/>
    <n v="5"/>
    <s v="May"/>
    <x v="910"/>
    <n v="290"/>
    <n v="33524.827586206899"/>
    <n v="55"/>
  </r>
  <r>
    <s v="ORD0912"/>
    <x v="911"/>
    <x v="126"/>
    <x v="86"/>
    <x v="19"/>
    <x v="1"/>
    <x v="6"/>
    <x v="0"/>
    <x v="0"/>
    <s v="Corporate"/>
    <x v="1"/>
    <s v="Tables"/>
    <x v="11"/>
    <n v="45800"/>
    <x v="0"/>
    <n v="0.08"/>
    <n v="9800"/>
    <x v="1"/>
    <s v="Express"/>
    <s v="Delivered"/>
    <n v="4"/>
    <s v="May"/>
    <x v="911"/>
    <n v="289"/>
    <n v="33634.359861591693"/>
    <n v="55"/>
  </r>
  <r>
    <s v="ORD0913"/>
    <x v="912"/>
    <x v="127"/>
    <x v="87"/>
    <x v="14"/>
    <x v="0"/>
    <x v="0"/>
    <x v="0"/>
    <x v="0"/>
    <s v="Consumer"/>
    <x v="0"/>
    <s v="Computers"/>
    <x v="0"/>
    <n v="122000"/>
    <x v="0"/>
    <n v="0.1"/>
    <n v="14600"/>
    <x v="0"/>
    <s v="Express"/>
    <s v="Delivered"/>
    <n v="5"/>
    <s v="May"/>
    <x v="912"/>
    <n v="288"/>
    <n v="33592.118055555555"/>
    <n v="55"/>
  </r>
  <r>
    <s v="ORD0914"/>
    <x v="913"/>
    <x v="128"/>
    <x v="88"/>
    <x v="0"/>
    <x v="1"/>
    <x v="17"/>
    <x v="10"/>
    <x v="4"/>
    <s v="Consumer"/>
    <x v="2"/>
    <s v="Storage"/>
    <x v="12"/>
    <n v="2460"/>
    <x v="5"/>
    <n v="0.05"/>
    <n v="810"/>
    <x v="3"/>
    <s v="Standard"/>
    <s v="Delivered"/>
    <n v="4"/>
    <s v="June"/>
    <x v="913"/>
    <n v="287"/>
    <n v="33284.076655052268"/>
    <n v="55"/>
  </r>
  <r>
    <s v="ORD0915"/>
    <x v="914"/>
    <x v="129"/>
    <x v="56"/>
    <x v="13"/>
    <x v="1"/>
    <x v="5"/>
    <x v="4"/>
    <x v="1"/>
    <s v="Corporate"/>
    <x v="1"/>
    <s v="Chairs"/>
    <x v="1"/>
    <n v="23600"/>
    <x v="9"/>
    <n v="7.0000000000000007E-2"/>
    <n v="5450"/>
    <x v="1"/>
    <s v="Standard"/>
    <s v="Delivered"/>
    <n v="4"/>
    <s v="June"/>
    <x v="914"/>
    <n v="286"/>
    <n v="33391.853146853144"/>
    <n v="55"/>
  </r>
  <r>
    <s v="ORD0916"/>
    <x v="915"/>
    <x v="130"/>
    <x v="12"/>
    <x v="4"/>
    <x v="0"/>
    <x v="1"/>
    <x v="1"/>
    <x v="1"/>
    <s v="Consumer"/>
    <x v="0"/>
    <s v="Accessories"/>
    <x v="2"/>
    <n v="46700"/>
    <x v="1"/>
    <n v="0.05"/>
    <n v="9200"/>
    <x v="0"/>
    <s v="Express"/>
    <s v="Delivered"/>
    <n v="5"/>
    <s v="June"/>
    <x v="915"/>
    <n v="285"/>
    <n v="33426.210526315786"/>
    <n v="55"/>
  </r>
  <r>
    <s v="ORD0917"/>
    <x v="916"/>
    <x v="131"/>
    <x v="89"/>
    <x v="6"/>
    <x v="0"/>
    <x v="4"/>
    <x v="3"/>
    <x v="0"/>
    <s v="Corporate"/>
    <x v="2"/>
    <s v="Paper"/>
    <x v="3"/>
    <n v="12300"/>
    <x v="2"/>
    <n v="0.03"/>
    <n v="3060"/>
    <x v="2"/>
    <s v="Standard"/>
    <s v="Delivered"/>
    <n v="4"/>
    <s v="June"/>
    <x v="916"/>
    <n v="284"/>
    <n v="33379.471830985916"/>
    <n v="55"/>
  </r>
  <r>
    <s v="ORD0918"/>
    <x v="917"/>
    <x v="132"/>
    <x v="90"/>
    <x v="15"/>
    <x v="1"/>
    <x v="20"/>
    <x v="3"/>
    <x v="0"/>
    <s v="Consumer"/>
    <x v="1"/>
    <s v="Tables"/>
    <x v="4"/>
    <n v="44000"/>
    <x v="1"/>
    <n v="0.1"/>
    <n v="7200"/>
    <x v="0"/>
    <s v="Express"/>
    <s v="Delivered"/>
    <n v="5"/>
    <s v="July"/>
    <x v="917"/>
    <n v="283"/>
    <n v="33453.957597173146"/>
    <n v="55"/>
  </r>
  <r>
    <s v="ORD0919"/>
    <x v="918"/>
    <x v="14"/>
    <x v="91"/>
    <x v="11"/>
    <x v="0"/>
    <x v="24"/>
    <x v="10"/>
    <x v="4"/>
    <s v="Corporate"/>
    <x v="0"/>
    <s v="Accessories"/>
    <x v="5"/>
    <n v="6950"/>
    <x v="9"/>
    <n v="0.05"/>
    <n v="1850"/>
    <x v="1"/>
    <s v="Standard"/>
    <s v="Delivered"/>
    <n v="3"/>
    <s v="July"/>
    <x v="918"/>
    <n v="282"/>
    <n v="33416.560283687941"/>
    <n v="55"/>
  </r>
  <r>
    <s v="ORD0920"/>
    <x v="919"/>
    <x v="100"/>
    <x v="6"/>
    <x v="12"/>
    <x v="1"/>
    <x v="46"/>
    <x v="1"/>
    <x v="1"/>
    <s v="Consumer"/>
    <x v="0"/>
    <s v="Accessories"/>
    <x v="6"/>
    <n v="7600"/>
    <x v="12"/>
    <n v="0"/>
    <n v="2280"/>
    <x v="0"/>
    <s v="Standard"/>
    <s v="Delivered"/>
    <n v="4"/>
    <s v="July"/>
    <x v="919"/>
    <n v="281"/>
    <n v="33510.747330960854"/>
    <n v="55"/>
  </r>
  <r>
    <s v="ORD0921"/>
    <x v="920"/>
    <x v="133"/>
    <x v="12"/>
    <x v="9"/>
    <x v="1"/>
    <x v="22"/>
    <x v="13"/>
    <x v="1"/>
    <s v="Consumer"/>
    <x v="0"/>
    <s v="Computers"/>
    <x v="0"/>
    <n v="119500"/>
    <x v="0"/>
    <n v="0.05"/>
    <n v="15700"/>
    <x v="0"/>
    <s v="Express"/>
    <s v="Delivered"/>
    <n v="5"/>
    <s v="July"/>
    <x v="920"/>
    <n v="280"/>
    <n v="33603.285714285717"/>
    <n v="55"/>
  </r>
  <r>
    <s v="ORD0922"/>
    <x v="921"/>
    <x v="134"/>
    <x v="37"/>
    <x v="22"/>
    <x v="0"/>
    <x v="40"/>
    <x v="13"/>
    <x v="1"/>
    <s v="Corporate"/>
    <x v="1"/>
    <s v="Chairs"/>
    <x v="1"/>
    <n v="19400"/>
    <x v="3"/>
    <n v="0.1"/>
    <n v="4520"/>
    <x v="1"/>
    <s v="Standard"/>
    <s v="Delivered"/>
    <n v="4"/>
    <s v="August"/>
    <x v="921"/>
    <n v="279"/>
    <n v="33295.41218637993"/>
    <n v="55"/>
  </r>
  <r>
    <s v="ORD0923"/>
    <x v="922"/>
    <x v="135"/>
    <x v="92"/>
    <x v="24"/>
    <x v="0"/>
    <x v="9"/>
    <x v="7"/>
    <x v="1"/>
    <s v="Consumer"/>
    <x v="0"/>
    <s v="Accessories"/>
    <x v="2"/>
    <n v="44400"/>
    <x v="1"/>
    <n v="0.05"/>
    <n v="8700"/>
    <x v="2"/>
    <s v="Standard"/>
    <s v="Delivered"/>
    <n v="4"/>
    <s v="August"/>
    <x v="922"/>
    <n v="278"/>
    <n v="33345.395683453236"/>
    <n v="55"/>
  </r>
  <r>
    <s v="ORD0924"/>
    <x v="923"/>
    <x v="136"/>
    <x v="93"/>
    <x v="10"/>
    <x v="1"/>
    <x v="23"/>
    <x v="7"/>
    <x v="1"/>
    <s v="Consumer"/>
    <x v="2"/>
    <s v="Paper"/>
    <x v="7"/>
    <n v="1360"/>
    <x v="6"/>
    <n v="0.02"/>
    <n v="400"/>
    <x v="0"/>
    <s v="Standard"/>
    <s v="Delivered"/>
    <n v="5"/>
    <s v="August"/>
    <x v="923"/>
    <n v="277"/>
    <n v="33305.487364620938"/>
    <n v="55"/>
  </r>
  <r>
    <s v="ORD0925"/>
    <x v="924"/>
    <x v="137"/>
    <x v="94"/>
    <x v="2"/>
    <x v="0"/>
    <x v="9"/>
    <x v="7"/>
    <x v="1"/>
    <s v="Corporate"/>
    <x v="1"/>
    <s v="Tables"/>
    <x v="4"/>
    <n v="47000"/>
    <x v="1"/>
    <n v="0.08"/>
    <n v="8140"/>
    <x v="1"/>
    <s v="Express"/>
    <s v="Delivered"/>
    <n v="4"/>
    <s v="August"/>
    <x v="924"/>
    <n v="276"/>
    <n v="33421.231884057968"/>
    <n v="55"/>
  </r>
  <r>
    <s v="ORD0926"/>
    <x v="925"/>
    <x v="138"/>
    <x v="20"/>
    <x v="6"/>
    <x v="1"/>
    <x v="1"/>
    <x v="1"/>
    <x v="1"/>
    <s v="Consumer"/>
    <x v="0"/>
    <s v="Accessories"/>
    <x v="5"/>
    <n v="6750"/>
    <x v="3"/>
    <n v="0.05"/>
    <n v="1800"/>
    <x v="0"/>
    <s v="Standard"/>
    <s v="Delivered"/>
    <n v="4"/>
    <s v="August"/>
    <x v="925"/>
    <n v="275"/>
    <n v="33371.854545454546"/>
    <n v="55"/>
  </r>
  <r>
    <s v="ORD0927"/>
    <x v="926"/>
    <x v="139"/>
    <x v="22"/>
    <x v="20"/>
    <x v="0"/>
    <x v="30"/>
    <x v="1"/>
    <x v="1"/>
    <s v="Consumer"/>
    <x v="0"/>
    <s v="Accessories"/>
    <x v="6"/>
    <n v="7700"/>
    <x v="10"/>
    <n v="0"/>
    <n v="2310"/>
    <x v="3"/>
    <s v="Standard"/>
    <s v="Delivered"/>
    <n v="3"/>
    <s v="September"/>
    <x v="926"/>
    <n v="274"/>
    <n v="33469.014598540147"/>
    <n v="55"/>
  </r>
  <r>
    <s v="ORD0928"/>
    <x v="927"/>
    <x v="140"/>
    <x v="6"/>
    <x v="5"/>
    <x v="1"/>
    <x v="5"/>
    <x v="4"/>
    <x v="1"/>
    <s v="Corporate"/>
    <x v="2"/>
    <s v="Paper"/>
    <x v="3"/>
    <n v="12500"/>
    <x v="2"/>
    <n v="0.02"/>
    <n v="3100"/>
    <x v="0"/>
    <s v="Standard"/>
    <s v="Delivered"/>
    <n v="5"/>
    <s v="September"/>
    <x v="927"/>
    <n v="273"/>
    <n v="33563.406593406595"/>
    <n v="55"/>
  </r>
  <r>
    <s v="ORD0929"/>
    <x v="928"/>
    <x v="141"/>
    <x v="56"/>
    <x v="8"/>
    <x v="0"/>
    <x v="5"/>
    <x v="4"/>
    <x v="1"/>
    <s v="Corporate"/>
    <x v="1"/>
    <s v="Storage"/>
    <x v="8"/>
    <n v="29200"/>
    <x v="0"/>
    <n v="0.1"/>
    <n v="5290"/>
    <x v="1"/>
    <s v="Express"/>
    <s v="Delivered"/>
    <n v="4"/>
    <s v="September"/>
    <x v="928"/>
    <n v="272"/>
    <n v="33640.845588235294"/>
    <n v="55"/>
  </r>
  <r>
    <s v="ORD0930"/>
    <x v="929"/>
    <x v="142"/>
    <x v="6"/>
    <x v="15"/>
    <x v="1"/>
    <x v="41"/>
    <x v="18"/>
    <x v="1"/>
    <s v="Consumer"/>
    <x v="0"/>
    <s v="Printers"/>
    <x v="9"/>
    <n v="31500"/>
    <x v="1"/>
    <n v="0.05"/>
    <n v="6000"/>
    <x v="0"/>
    <s v="Standard"/>
    <s v="Delivered"/>
    <n v="4"/>
    <s v="September"/>
    <x v="929"/>
    <n v="271"/>
    <n v="33657.232472324722"/>
    <n v="55"/>
  </r>
  <r>
    <s v="ORD0931"/>
    <x v="930"/>
    <x v="87"/>
    <x v="56"/>
    <x v="1"/>
    <x v="1"/>
    <x v="45"/>
    <x v="18"/>
    <x v="1"/>
    <s v="Consumer"/>
    <x v="2"/>
    <s v="Accessories"/>
    <x v="10"/>
    <n v="1900"/>
    <x v="11"/>
    <n v="0"/>
    <n v="600"/>
    <x v="2"/>
    <s v="Standard"/>
    <s v="Delivered"/>
    <n v="5"/>
    <s v="October"/>
    <x v="930"/>
    <n v="270"/>
    <n v="33665.222222222219"/>
    <n v="55"/>
  </r>
  <r>
    <s v="ORD0932"/>
    <x v="931"/>
    <x v="143"/>
    <x v="2"/>
    <x v="14"/>
    <x v="0"/>
    <x v="5"/>
    <x v="4"/>
    <x v="1"/>
    <s v="Corporate"/>
    <x v="1"/>
    <s v="Tables"/>
    <x v="11"/>
    <n v="46500"/>
    <x v="0"/>
    <n v="0.08"/>
    <n v="9950"/>
    <x v="1"/>
    <s v="Express"/>
    <s v="Delivered"/>
    <n v="4"/>
    <s v="October"/>
    <x v="931"/>
    <n v="269"/>
    <n v="33783.308550185873"/>
    <n v="55"/>
  </r>
  <r>
    <s v="ORD0933"/>
    <x v="932"/>
    <x v="144"/>
    <x v="95"/>
    <x v="3"/>
    <x v="0"/>
    <x v="47"/>
    <x v="4"/>
    <x v="1"/>
    <s v="Consumer"/>
    <x v="0"/>
    <s v="Computers"/>
    <x v="0"/>
    <n v="123500"/>
    <x v="0"/>
    <n v="0.1"/>
    <n v="14800"/>
    <x v="0"/>
    <s v="Express"/>
    <s v="Delivered"/>
    <n v="5"/>
    <s v="October"/>
    <x v="932"/>
    <n v="268"/>
    <n v="33735.858208955222"/>
    <n v="55"/>
  </r>
  <r>
    <s v="ORD0934"/>
    <x v="933"/>
    <x v="145"/>
    <x v="56"/>
    <x v="0"/>
    <x v="1"/>
    <x v="5"/>
    <x v="4"/>
    <x v="1"/>
    <s v="Consumer"/>
    <x v="2"/>
    <s v="Storage"/>
    <x v="12"/>
    <n v="2500"/>
    <x v="5"/>
    <n v="0.05"/>
    <n v="825"/>
    <x v="3"/>
    <s v="Standard"/>
    <s v="Delivered"/>
    <n v="4"/>
    <s v="October"/>
    <x v="933"/>
    <n v="267"/>
    <n v="33399.662921348317"/>
    <n v="55"/>
  </r>
  <r>
    <s v="ORD0935"/>
    <x v="934"/>
    <x v="91"/>
    <x v="67"/>
    <x v="18"/>
    <x v="0"/>
    <x v="30"/>
    <x v="1"/>
    <x v="1"/>
    <s v="Corporate"/>
    <x v="1"/>
    <s v="Chairs"/>
    <x v="1"/>
    <n v="24000"/>
    <x v="9"/>
    <n v="7.0000000000000007E-2"/>
    <n v="5550"/>
    <x v="1"/>
    <s v="Standard"/>
    <s v="Delivered"/>
    <n v="4"/>
    <s v="October"/>
    <x v="934"/>
    <n v="266"/>
    <n v="33515.827067669175"/>
    <n v="55"/>
  </r>
  <r>
    <s v="ORD0936"/>
    <x v="935"/>
    <x v="146"/>
    <x v="22"/>
    <x v="16"/>
    <x v="1"/>
    <x v="48"/>
    <x v="1"/>
    <x v="1"/>
    <s v="Consumer"/>
    <x v="0"/>
    <s v="Accessories"/>
    <x v="2"/>
    <n v="47400"/>
    <x v="1"/>
    <n v="0.05"/>
    <n v="9350"/>
    <x v="0"/>
    <s v="Express"/>
    <s v="Delivered"/>
    <n v="5"/>
    <s v="November"/>
    <x v="935"/>
    <n v="265"/>
    <n v="33551.735849056604"/>
    <n v="55"/>
  </r>
  <r>
    <s v="ORD0937"/>
    <x v="936"/>
    <x v="147"/>
    <x v="96"/>
    <x v="4"/>
    <x v="0"/>
    <x v="46"/>
    <x v="1"/>
    <x v="1"/>
    <s v="Corporate"/>
    <x v="2"/>
    <s v="Paper"/>
    <x v="3"/>
    <n v="12700"/>
    <x v="2"/>
    <n v="0.03"/>
    <n v="3160"/>
    <x v="2"/>
    <s v="Standard"/>
    <s v="Delivered"/>
    <n v="4"/>
    <s v="November"/>
    <x v="936"/>
    <n v="264"/>
    <n v="33499.280303030304"/>
    <n v="55"/>
  </r>
  <r>
    <s v="ORD0938"/>
    <x v="937"/>
    <x v="148"/>
    <x v="97"/>
    <x v="12"/>
    <x v="1"/>
    <x v="30"/>
    <x v="1"/>
    <x v="1"/>
    <s v="Consumer"/>
    <x v="1"/>
    <s v="Tables"/>
    <x v="4"/>
    <n v="44700"/>
    <x v="1"/>
    <n v="0.1"/>
    <n v="7320"/>
    <x v="0"/>
    <s v="Express"/>
    <s v="Delivered"/>
    <n v="5"/>
    <s v="November"/>
    <x v="937"/>
    <n v="263"/>
    <n v="33578.365019011406"/>
    <n v="55"/>
  </r>
  <r>
    <s v="ORD0939"/>
    <x v="938"/>
    <x v="149"/>
    <x v="45"/>
    <x v="23"/>
    <x v="0"/>
    <x v="46"/>
    <x v="1"/>
    <x v="1"/>
    <s v="Corporate"/>
    <x v="0"/>
    <s v="Accessories"/>
    <x v="5"/>
    <n v="7050"/>
    <x v="9"/>
    <n v="0.05"/>
    <n v="1880"/>
    <x v="1"/>
    <s v="Standard"/>
    <s v="Delivered"/>
    <n v="3"/>
    <s v="November"/>
    <x v="938"/>
    <n v="262"/>
    <n v="33535.916030534354"/>
    <n v="55"/>
  </r>
  <r>
    <s v="ORD0940"/>
    <x v="939"/>
    <x v="17"/>
    <x v="98"/>
    <x v="9"/>
    <x v="1"/>
    <x v="48"/>
    <x v="1"/>
    <x v="1"/>
    <s v="Consumer"/>
    <x v="0"/>
    <s v="Accessories"/>
    <x v="6"/>
    <n v="7800"/>
    <x v="12"/>
    <n v="0"/>
    <n v="2340"/>
    <x v="0"/>
    <s v="Standard"/>
    <s v="Delivered"/>
    <n v="4"/>
    <s v="December"/>
    <x v="939"/>
    <n v="261"/>
    <n v="33637.394636015328"/>
    <n v="55"/>
  </r>
  <r>
    <s v="ORD0941"/>
    <x v="940"/>
    <x v="150"/>
    <x v="96"/>
    <x v="11"/>
    <x v="0"/>
    <x v="1"/>
    <x v="1"/>
    <x v="1"/>
    <s v="Consumer"/>
    <x v="0"/>
    <s v="Computers"/>
    <x v="0"/>
    <n v="121000"/>
    <x v="0"/>
    <n v="0.05"/>
    <n v="15900"/>
    <x v="0"/>
    <s v="Express"/>
    <s v="Delivered"/>
    <n v="5"/>
    <s v="December"/>
    <x v="940"/>
    <n v="260"/>
    <n v="33736.769230769234"/>
    <n v="55"/>
  </r>
  <r>
    <s v="ORD0942"/>
    <x v="941"/>
    <x v="151"/>
    <x v="6"/>
    <x v="19"/>
    <x v="1"/>
    <x v="1"/>
    <x v="1"/>
    <x v="1"/>
    <s v="Corporate"/>
    <x v="1"/>
    <s v="Chairs"/>
    <x v="1"/>
    <n v="19800"/>
    <x v="3"/>
    <n v="0.1"/>
    <n v="4600"/>
    <x v="1"/>
    <s v="Standard"/>
    <s v="Delivered"/>
    <n v="4"/>
    <s v="December"/>
    <x v="941"/>
    <n v="259"/>
    <n v="33399.845559845562"/>
    <n v="55"/>
  </r>
  <r>
    <s v="ORD0943"/>
    <x v="942"/>
    <x v="152"/>
    <x v="99"/>
    <x v="25"/>
    <x v="0"/>
    <x v="1"/>
    <x v="1"/>
    <x v="1"/>
    <s v="Consumer"/>
    <x v="0"/>
    <s v="Accessories"/>
    <x v="2"/>
    <n v="45100"/>
    <x v="1"/>
    <n v="0.05"/>
    <n v="8850"/>
    <x v="2"/>
    <s v="Standard"/>
    <s v="Delivered"/>
    <n v="4"/>
    <s v="December"/>
    <x v="942"/>
    <n v="258"/>
    <n v="33452.558139534885"/>
    <n v="55"/>
  </r>
  <r>
    <s v="ORD0944"/>
    <x v="943"/>
    <x v="153"/>
    <x v="12"/>
    <x v="6"/>
    <x v="1"/>
    <x v="22"/>
    <x v="13"/>
    <x v="1"/>
    <s v="Consumer"/>
    <x v="2"/>
    <s v="Paper"/>
    <x v="7"/>
    <n v="1390"/>
    <x v="6"/>
    <n v="0.02"/>
    <n v="410"/>
    <x v="0"/>
    <s v="Standard"/>
    <s v="Delivered"/>
    <n v="5"/>
    <s v="January"/>
    <x v="943"/>
    <n v="257"/>
    <n v="33407.237354085606"/>
    <n v="55"/>
  </r>
  <r>
    <s v="ORD0945"/>
    <x v="944"/>
    <x v="8"/>
    <x v="12"/>
    <x v="22"/>
    <x v="0"/>
    <x v="22"/>
    <x v="13"/>
    <x v="1"/>
    <s v="Corporate"/>
    <x v="1"/>
    <s v="Tables"/>
    <x v="4"/>
    <n v="47800"/>
    <x v="1"/>
    <n v="0.08"/>
    <n v="8280"/>
    <x v="1"/>
    <s v="Express"/>
    <s v="Delivered"/>
    <n v="4"/>
    <s v="January"/>
    <x v="944"/>
    <n v="256"/>
    <n v="33532.3046875"/>
    <n v="55"/>
  </r>
  <r>
    <s v="ORD0946"/>
    <x v="945"/>
    <x v="154"/>
    <x v="36"/>
    <x v="15"/>
    <x v="1"/>
    <x v="22"/>
    <x v="13"/>
    <x v="1"/>
    <s v="Consumer"/>
    <x v="0"/>
    <s v="Accessories"/>
    <x v="5"/>
    <n v="6850"/>
    <x v="3"/>
    <n v="0.05"/>
    <n v="1830"/>
    <x v="0"/>
    <s v="Standard"/>
    <s v="Delivered"/>
    <n v="4"/>
    <s v="January"/>
    <x v="945"/>
    <n v="255"/>
    <n v="33476.352941176468"/>
    <n v="55"/>
  </r>
  <r>
    <s v="ORD0947"/>
    <x v="946"/>
    <x v="155"/>
    <x v="100"/>
    <x v="26"/>
    <x v="0"/>
    <x v="22"/>
    <x v="13"/>
    <x v="1"/>
    <s v="Consumer"/>
    <x v="0"/>
    <s v="Accessories"/>
    <x v="6"/>
    <n v="7900"/>
    <x v="10"/>
    <n v="0"/>
    <n v="2370"/>
    <x v="3"/>
    <s v="Standard"/>
    <s v="Delivered"/>
    <n v="3"/>
    <s v="January"/>
    <x v="946"/>
    <n v="254"/>
    <n v="33581.181102362207"/>
    <n v="55"/>
  </r>
  <r>
    <s v="ORD0948"/>
    <x v="947"/>
    <x v="7"/>
    <x v="36"/>
    <x v="1"/>
    <x v="1"/>
    <x v="49"/>
    <x v="13"/>
    <x v="1"/>
    <s v="Corporate"/>
    <x v="2"/>
    <s v="Paper"/>
    <x v="3"/>
    <n v="12900"/>
    <x v="2"/>
    <n v="0.02"/>
    <n v="3200"/>
    <x v="0"/>
    <s v="Standard"/>
    <s v="Delivered"/>
    <n v="5"/>
    <s v="January"/>
    <x v="947"/>
    <n v="253"/>
    <n v="33682.687747035576"/>
    <n v="55"/>
  </r>
  <r>
    <s v="ORD0949"/>
    <x v="948"/>
    <x v="156"/>
    <x v="101"/>
    <x v="24"/>
    <x v="0"/>
    <x v="22"/>
    <x v="13"/>
    <x v="1"/>
    <s v="Corporate"/>
    <x v="1"/>
    <s v="Storage"/>
    <x v="8"/>
    <n v="29700"/>
    <x v="0"/>
    <n v="0.1"/>
    <n v="5380"/>
    <x v="1"/>
    <s v="Express"/>
    <s v="Delivered"/>
    <n v="4"/>
    <s v="February"/>
    <x v="948"/>
    <n v="252"/>
    <n v="33765.158730158728"/>
    <n v="55"/>
  </r>
  <r>
    <s v="ORD0950"/>
    <x v="949"/>
    <x v="157"/>
    <x v="70"/>
    <x v="12"/>
    <x v="1"/>
    <x v="50"/>
    <x v="13"/>
    <x v="1"/>
    <s v="Consumer"/>
    <x v="0"/>
    <s v="Printers"/>
    <x v="9"/>
    <n v="32000"/>
    <x v="1"/>
    <n v="0.05"/>
    <n v="6080"/>
    <x v="0"/>
    <s v="Standard"/>
    <s v="Delivered"/>
    <n v="4"/>
    <s v="February"/>
    <x v="949"/>
    <n v="251"/>
    <n v="33781.354581673309"/>
    <n v="55"/>
  </r>
  <r>
    <s v="ORD0951"/>
    <x v="950"/>
    <x v="137"/>
    <x v="102"/>
    <x v="13"/>
    <x v="0"/>
    <x v="22"/>
    <x v="13"/>
    <x v="1"/>
    <s v="Consumer"/>
    <x v="2"/>
    <s v="Accessories"/>
    <x v="10"/>
    <n v="1930"/>
    <x v="11"/>
    <n v="0"/>
    <n v="610"/>
    <x v="2"/>
    <s v="Standard"/>
    <s v="Delivered"/>
    <n v="5"/>
    <s v="February"/>
    <x v="950"/>
    <n v="250"/>
    <n v="33788.480000000003"/>
    <n v="55"/>
  </r>
  <r>
    <s v="ORD0952"/>
    <x v="951"/>
    <x v="158"/>
    <x v="100"/>
    <x v="14"/>
    <x v="1"/>
    <x v="22"/>
    <x v="13"/>
    <x v="1"/>
    <s v="Corporate"/>
    <x v="1"/>
    <s v="Tables"/>
    <x v="11"/>
    <n v="47200"/>
    <x v="0"/>
    <n v="0.08"/>
    <n v="10100"/>
    <x v="1"/>
    <s v="Express"/>
    <s v="Delivered"/>
    <n v="4"/>
    <s v="February"/>
    <x v="951"/>
    <n v="249"/>
    <n v="33916.425702811248"/>
    <n v="55"/>
  </r>
  <r>
    <s v="ORD0953"/>
    <x v="952"/>
    <x v="159"/>
    <x v="103"/>
    <x v="18"/>
    <x v="0"/>
    <x v="50"/>
    <x v="13"/>
    <x v="1"/>
    <s v="Consumer"/>
    <x v="0"/>
    <s v="Computers"/>
    <x v="0"/>
    <n v="125000"/>
    <x v="0"/>
    <n v="0.1"/>
    <n v="15000"/>
    <x v="0"/>
    <s v="Express"/>
    <s v="Delivered"/>
    <n v="5"/>
    <s v="March"/>
    <x v="952"/>
    <n v="248"/>
    <n v="33862.862903225803"/>
    <n v="55"/>
  </r>
  <r>
    <s v="ORD0954"/>
    <x v="953"/>
    <x v="104"/>
    <x v="70"/>
    <x v="0"/>
    <x v="1"/>
    <x v="22"/>
    <x v="13"/>
    <x v="1"/>
    <s v="Consumer"/>
    <x v="2"/>
    <s v="Storage"/>
    <x v="12"/>
    <n v="2540"/>
    <x v="5"/>
    <n v="0.05"/>
    <n v="840"/>
    <x v="3"/>
    <s v="Standard"/>
    <s v="Delivered"/>
    <n v="4"/>
    <s v="March"/>
    <x v="953"/>
    <n v="247"/>
    <n v="33493.886639676115"/>
    <n v="55"/>
  </r>
  <r>
    <s v="ORD0955"/>
    <x v="954"/>
    <x v="160"/>
    <x v="104"/>
    <x v="27"/>
    <x v="0"/>
    <x v="22"/>
    <x v="13"/>
    <x v="1"/>
    <s v="Corporate"/>
    <x v="1"/>
    <s v="Chairs"/>
    <x v="1"/>
    <n v="24400"/>
    <x v="9"/>
    <n v="7.0000000000000007E-2"/>
    <n v="5650"/>
    <x v="1"/>
    <s v="Standard"/>
    <s v="Delivered"/>
    <n v="4"/>
    <s v="March"/>
    <x v="954"/>
    <n v="246"/>
    <n v="33619.715447154471"/>
    <n v="55"/>
  </r>
  <r>
    <s v="ORD0956"/>
    <x v="955"/>
    <x v="161"/>
    <x v="102"/>
    <x v="5"/>
    <x v="1"/>
    <x v="22"/>
    <x v="13"/>
    <x v="1"/>
    <s v="Consumer"/>
    <x v="0"/>
    <s v="Accessories"/>
    <x v="2"/>
    <n v="48100"/>
    <x v="1"/>
    <n v="0.05"/>
    <n v="9500"/>
    <x v="0"/>
    <s v="Express"/>
    <s v="Delivered"/>
    <n v="5"/>
    <s v="March"/>
    <x v="955"/>
    <n v="245"/>
    <n v="33657.34693877551"/>
    <n v="55"/>
  </r>
  <r>
    <s v="ORD0957"/>
    <x v="956"/>
    <x v="162"/>
    <x v="105"/>
    <x v="8"/>
    <x v="0"/>
    <x v="51"/>
    <x v="13"/>
    <x v="1"/>
    <s v="Corporate"/>
    <x v="2"/>
    <s v="Paper"/>
    <x v="3"/>
    <n v="13100"/>
    <x v="2"/>
    <n v="0.03"/>
    <n v="3260"/>
    <x v="2"/>
    <s v="Standard"/>
    <s v="Delivered"/>
    <n v="4"/>
    <s v="April"/>
    <x v="956"/>
    <n v="244"/>
    <n v="33598.155737704918"/>
    <n v="55"/>
  </r>
  <r>
    <s v="ORD0958"/>
    <x v="957"/>
    <x v="163"/>
    <x v="101"/>
    <x v="3"/>
    <x v="1"/>
    <x v="52"/>
    <x v="13"/>
    <x v="1"/>
    <s v="Consumer"/>
    <x v="1"/>
    <s v="Tables"/>
    <x v="4"/>
    <n v="45400"/>
    <x v="1"/>
    <n v="0.1"/>
    <n v="7440"/>
    <x v="0"/>
    <s v="Express"/>
    <s v="Delivered"/>
    <n v="5"/>
    <s v="April"/>
    <x v="957"/>
    <n v="243"/>
    <n v="33682.510288065845"/>
    <n v="55"/>
  </r>
  <r>
    <s v="ORD0959"/>
    <x v="958"/>
    <x v="164"/>
    <x v="70"/>
    <x v="20"/>
    <x v="0"/>
    <x v="22"/>
    <x v="13"/>
    <x v="1"/>
    <s v="Corporate"/>
    <x v="0"/>
    <s v="Accessories"/>
    <x v="5"/>
    <n v="7150"/>
    <x v="9"/>
    <n v="0.05"/>
    <n v="1910"/>
    <x v="1"/>
    <s v="Standard"/>
    <s v="Delivered"/>
    <n v="3"/>
    <s v="April"/>
    <x v="958"/>
    <n v="242"/>
    <n v="33634.090909090912"/>
    <n v="55"/>
  </r>
  <r>
    <s v="ORD0960"/>
    <x v="959"/>
    <x v="165"/>
    <x v="100"/>
    <x v="6"/>
    <x v="1"/>
    <x v="50"/>
    <x v="13"/>
    <x v="1"/>
    <s v="Consumer"/>
    <x v="0"/>
    <s v="Accessories"/>
    <x v="6"/>
    <n v="8000"/>
    <x v="12"/>
    <n v="0"/>
    <n v="2400"/>
    <x v="0"/>
    <s v="Standard"/>
    <s v="Delivered"/>
    <n v="4"/>
    <s v="April"/>
    <x v="959"/>
    <n v="241"/>
    <n v="33743.983402489626"/>
    <n v="55"/>
  </r>
  <r>
    <s v="ORD0961"/>
    <x v="960"/>
    <x v="166"/>
    <x v="36"/>
    <x v="28"/>
    <x v="0"/>
    <x v="22"/>
    <x v="13"/>
    <x v="1"/>
    <s v="Consumer"/>
    <x v="0"/>
    <s v="Computers"/>
    <x v="0"/>
    <n v="127000"/>
    <x v="0"/>
    <n v="0.05"/>
    <n v="16100"/>
    <x v="0"/>
    <s v="Express"/>
    <s v="Delivered"/>
    <n v="5"/>
    <s v="May"/>
    <x v="960"/>
    <n v="240"/>
    <n v="33851.25"/>
    <n v="55"/>
  </r>
  <r>
    <s v="ORD0962"/>
    <x v="961"/>
    <x v="167"/>
    <x v="12"/>
    <x v="10"/>
    <x v="1"/>
    <x v="49"/>
    <x v="13"/>
    <x v="1"/>
    <s v="Corporate"/>
    <x v="1"/>
    <s v="Chairs"/>
    <x v="1"/>
    <n v="20200"/>
    <x v="3"/>
    <n v="0.1"/>
    <n v="4680"/>
    <x v="1"/>
    <s v="Standard"/>
    <s v="Delivered"/>
    <n v="4"/>
    <s v="May"/>
    <x v="961"/>
    <n v="239"/>
    <n v="33461.506276150627"/>
    <n v="55"/>
  </r>
  <r>
    <s v="ORD0963"/>
    <x v="962"/>
    <x v="168"/>
    <x v="36"/>
    <x v="2"/>
    <x v="0"/>
    <x v="22"/>
    <x v="13"/>
    <x v="1"/>
    <s v="Consumer"/>
    <x v="0"/>
    <s v="Accessories"/>
    <x v="2"/>
    <n v="45800"/>
    <x v="1"/>
    <n v="0.05"/>
    <n v="9000"/>
    <x v="2"/>
    <s v="Standard"/>
    <s v="Delivered"/>
    <n v="4"/>
    <s v="May"/>
    <x v="962"/>
    <n v="238"/>
    <n v="33517.226890756305"/>
    <n v="55"/>
  </r>
  <r>
    <s v="ORD0964"/>
    <x v="963"/>
    <x v="169"/>
    <x v="37"/>
    <x v="15"/>
    <x v="1"/>
    <x v="40"/>
    <x v="13"/>
    <x v="1"/>
    <s v="Consumer"/>
    <x v="2"/>
    <s v="Paper"/>
    <x v="7"/>
    <n v="1420"/>
    <x v="6"/>
    <n v="0.02"/>
    <n v="420"/>
    <x v="0"/>
    <s v="Standard"/>
    <s v="Delivered"/>
    <n v="5"/>
    <s v="May"/>
    <x v="963"/>
    <n v="237"/>
    <n v="33465.400843881856"/>
    <n v="55"/>
  </r>
  <r>
    <s v="ORD0965"/>
    <x v="964"/>
    <x v="170"/>
    <x v="106"/>
    <x v="23"/>
    <x v="0"/>
    <x v="22"/>
    <x v="13"/>
    <x v="1"/>
    <s v="Corporate"/>
    <x v="1"/>
    <s v="Tables"/>
    <x v="4"/>
    <n v="48600"/>
    <x v="1"/>
    <n v="0.08"/>
    <n v="8420"/>
    <x v="1"/>
    <s v="Express"/>
    <s v="Delivered"/>
    <n v="4"/>
    <s v="May"/>
    <x v="964"/>
    <n v="236"/>
    <n v="33601.186440677964"/>
    <n v="55"/>
  </r>
  <r>
    <s v="ORD0966"/>
    <x v="965"/>
    <x v="171"/>
    <x v="12"/>
    <x v="12"/>
    <x v="1"/>
    <x v="53"/>
    <x v="13"/>
    <x v="1"/>
    <s v="Consumer"/>
    <x v="0"/>
    <s v="Accessories"/>
    <x v="5"/>
    <n v="6950"/>
    <x v="3"/>
    <n v="0.05"/>
    <n v="1860"/>
    <x v="0"/>
    <s v="Standard"/>
    <s v="Delivered"/>
    <n v="4"/>
    <s v="June"/>
    <x v="965"/>
    <n v="235"/>
    <n v="33537.361702127659"/>
    <n v="55"/>
  </r>
  <r>
    <s v="ORD0967"/>
    <x v="966"/>
    <x v="172"/>
    <x v="102"/>
    <x v="4"/>
    <x v="0"/>
    <x v="22"/>
    <x v="13"/>
    <x v="1"/>
    <s v="Consumer"/>
    <x v="0"/>
    <s v="Accessories"/>
    <x v="6"/>
    <n v="8100"/>
    <x v="10"/>
    <n v="0"/>
    <n v="2430"/>
    <x v="3"/>
    <s v="Standard"/>
    <s v="Delivered"/>
    <n v="3"/>
    <s v="June"/>
    <x v="966"/>
    <n v="234"/>
    <n v="33650.982905982906"/>
    <n v="55"/>
  </r>
  <r>
    <s v="ORD0968"/>
    <x v="967"/>
    <x v="173"/>
    <x v="100"/>
    <x v="9"/>
    <x v="1"/>
    <x v="50"/>
    <x v="13"/>
    <x v="1"/>
    <s v="Corporate"/>
    <x v="2"/>
    <s v="Paper"/>
    <x v="3"/>
    <n v="13300"/>
    <x v="2"/>
    <n v="0.02"/>
    <n v="3300"/>
    <x v="0"/>
    <s v="Standard"/>
    <s v="Delivered"/>
    <n v="5"/>
    <s v="June"/>
    <x v="967"/>
    <n v="233"/>
    <n v="33760.643776824036"/>
    <n v="55"/>
  </r>
  <r>
    <s v="ORD0969"/>
    <x v="968"/>
    <x v="174"/>
    <x v="70"/>
    <x v="29"/>
    <x v="0"/>
    <x v="22"/>
    <x v="13"/>
    <x v="1"/>
    <s v="Corporate"/>
    <x v="1"/>
    <s v="Storage"/>
    <x v="8"/>
    <n v="30200"/>
    <x v="0"/>
    <n v="0.1"/>
    <n v="5470"/>
    <x v="1"/>
    <s v="Express"/>
    <s v="Delivered"/>
    <n v="4"/>
    <s v="June"/>
    <x v="968"/>
    <n v="232"/>
    <n v="33848.836206896551"/>
    <n v="55"/>
  </r>
  <r>
    <s v="ORD0970"/>
    <x v="969"/>
    <x v="175"/>
    <x v="107"/>
    <x v="0"/>
    <x v="1"/>
    <x v="51"/>
    <x v="13"/>
    <x v="1"/>
    <s v="Consumer"/>
    <x v="0"/>
    <s v="Printers"/>
    <x v="9"/>
    <n v="32500"/>
    <x v="1"/>
    <n v="0.05"/>
    <n v="6160"/>
    <x v="0"/>
    <s v="Standard"/>
    <s v="Delivered"/>
    <n v="4"/>
    <s v="July"/>
    <x v="969"/>
    <n v="231"/>
    <n v="33864.632034632035"/>
    <n v="55"/>
  </r>
  <r>
    <s v="ORD0971"/>
    <x v="970"/>
    <x v="176"/>
    <x v="105"/>
    <x v="7"/>
    <x v="1"/>
    <x v="22"/>
    <x v="13"/>
    <x v="1"/>
    <s v="Consumer"/>
    <x v="2"/>
    <s v="Accessories"/>
    <x v="10"/>
    <n v="1960"/>
    <x v="11"/>
    <n v="0"/>
    <n v="620"/>
    <x v="2"/>
    <s v="Standard"/>
    <s v="Delivered"/>
    <n v="5"/>
    <s v="July"/>
    <x v="970"/>
    <n v="230"/>
    <n v="33870.565217391304"/>
    <n v="55"/>
  </r>
  <r>
    <s v="ORD0972"/>
    <x v="971"/>
    <x v="177"/>
    <x v="2"/>
    <x v="22"/>
    <x v="0"/>
    <x v="22"/>
    <x v="13"/>
    <x v="1"/>
    <s v="Corporate"/>
    <x v="1"/>
    <s v="Tables"/>
    <x v="11"/>
    <n v="47900"/>
    <x v="0"/>
    <n v="0.08"/>
    <n v="10250"/>
    <x v="1"/>
    <s v="Express"/>
    <s v="Delivered"/>
    <n v="4"/>
    <s v="July"/>
    <x v="971"/>
    <n v="229"/>
    <n v="34009.912663755458"/>
    <n v="55"/>
  </r>
  <r>
    <s v="ORD0973"/>
    <x v="972"/>
    <x v="178"/>
    <x v="12"/>
    <x v="16"/>
    <x v="0"/>
    <x v="22"/>
    <x v="13"/>
    <x v="1"/>
    <s v="Consumer"/>
    <x v="0"/>
    <s v="Computers"/>
    <x v="0"/>
    <n v="128500"/>
    <x v="0"/>
    <n v="0.1"/>
    <n v="15200"/>
    <x v="0"/>
    <s v="Express"/>
    <s v="Delivered"/>
    <n v="5"/>
    <s v="July"/>
    <x v="972"/>
    <n v="228"/>
    <n v="33948.991228070176"/>
    <n v="55"/>
  </r>
  <r>
    <s v="ORD0974"/>
    <x v="973"/>
    <x v="179"/>
    <x v="93"/>
    <x v="5"/>
    <x v="1"/>
    <x v="53"/>
    <x v="13"/>
    <x v="1"/>
    <s v="Consumer"/>
    <x v="2"/>
    <s v="Storage"/>
    <x v="12"/>
    <n v="2580"/>
    <x v="5"/>
    <n v="0.05"/>
    <n v="855"/>
    <x v="3"/>
    <s v="Standard"/>
    <s v="Delivered"/>
    <n v="4"/>
    <s v="July"/>
    <x v="973"/>
    <n v="227"/>
    <n v="33532.466960352423"/>
    <n v="55"/>
  </r>
  <r>
    <s v="ORD0975"/>
    <x v="974"/>
    <x v="134"/>
    <x v="12"/>
    <x v="25"/>
    <x v="0"/>
    <x v="22"/>
    <x v="13"/>
    <x v="1"/>
    <s v="Corporate"/>
    <x v="1"/>
    <s v="Chairs"/>
    <x v="1"/>
    <n v="24800"/>
    <x v="9"/>
    <n v="7.0000000000000007E-2"/>
    <n v="5750"/>
    <x v="1"/>
    <s v="Standard"/>
    <s v="Delivered"/>
    <n v="4"/>
    <s v="August"/>
    <x v="974"/>
    <n v="226"/>
    <n v="33669.424778761058"/>
    <n v="55"/>
  </r>
  <r>
    <s v="ORD0976"/>
    <x v="975"/>
    <x v="180"/>
    <x v="36"/>
    <x v="1"/>
    <x v="1"/>
    <x v="49"/>
    <x v="13"/>
    <x v="1"/>
    <s v="Consumer"/>
    <x v="0"/>
    <s v="Accessories"/>
    <x v="2"/>
    <n v="48800"/>
    <x v="1"/>
    <n v="0.05"/>
    <n v="9650"/>
    <x v="0"/>
    <s v="Express"/>
    <s v="Delivered"/>
    <n v="5"/>
    <s v="August"/>
    <x v="975"/>
    <n v="225"/>
    <n v="33708.844444444447"/>
    <n v="55"/>
  </r>
  <r>
    <s v="ORD0977"/>
    <x v="976"/>
    <x v="181"/>
    <x v="108"/>
    <x v="18"/>
    <x v="0"/>
    <x v="22"/>
    <x v="13"/>
    <x v="1"/>
    <s v="Corporate"/>
    <x v="2"/>
    <s v="Paper"/>
    <x v="3"/>
    <n v="13500"/>
    <x v="2"/>
    <n v="0.03"/>
    <n v="3360"/>
    <x v="2"/>
    <s v="Standard"/>
    <s v="Delivered"/>
    <n v="4"/>
    <s v="August"/>
    <x v="976"/>
    <n v="224"/>
    <n v="33641.473214285717"/>
    <n v="55"/>
  </r>
  <r>
    <s v="ORD0978"/>
    <x v="977"/>
    <x v="182"/>
    <x v="37"/>
    <x v="6"/>
    <x v="1"/>
    <x v="52"/>
    <x v="13"/>
    <x v="1"/>
    <s v="Consumer"/>
    <x v="1"/>
    <s v="Tables"/>
    <x v="4"/>
    <n v="46100"/>
    <x v="1"/>
    <n v="0.1"/>
    <n v="7560"/>
    <x v="0"/>
    <s v="Express"/>
    <s v="Delivered"/>
    <n v="5"/>
    <s v="August"/>
    <x v="977"/>
    <n v="223"/>
    <n v="33731.793721973096"/>
    <n v="55"/>
  </r>
  <r>
    <s v="ORD0979"/>
    <x v="978"/>
    <x v="183"/>
    <x v="12"/>
    <x v="30"/>
    <x v="0"/>
    <x v="22"/>
    <x v="13"/>
    <x v="1"/>
    <s v="Corporate"/>
    <x v="0"/>
    <s v="Accessories"/>
    <x v="5"/>
    <n v="7250"/>
    <x v="9"/>
    <n v="0.05"/>
    <n v="1940"/>
    <x v="1"/>
    <s v="Standard"/>
    <s v="Delivered"/>
    <n v="3"/>
    <s v="September"/>
    <x v="978"/>
    <n v="222"/>
    <n v="33676.08108108108"/>
    <n v="55"/>
  </r>
  <r>
    <s v="ORD0980"/>
    <x v="979"/>
    <x v="184"/>
    <x v="36"/>
    <x v="20"/>
    <x v="1"/>
    <x v="22"/>
    <x v="13"/>
    <x v="1"/>
    <s v="Consumer"/>
    <x v="0"/>
    <s v="Accessories"/>
    <x v="6"/>
    <n v="8200"/>
    <x v="12"/>
    <n v="0"/>
    <n v="2460"/>
    <x v="0"/>
    <s v="Standard"/>
    <s v="Delivered"/>
    <n v="4"/>
    <s v="September"/>
    <x v="979"/>
    <n v="221"/>
    <n v="33795.656108597286"/>
    <n v="54"/>
  </r>
  <r>
    <s v="ORD0981"/>
    <x v="980"/>
    <x v="152"/>
    <x v="37"/>
    <x v="27"/>
    <x v="0"/>
    <x v="53"/>
    <x v="13"/>
    <x v="1"/>
    <s v="Consumer"/>
    <x v="0"/>
    <s v="Computers"/>
    <x v="0"/>
    <n v="130000"/>
    <x v="0"/>
    <n v="0.05"/>
    <n v="16300"/>
    <x v="0"/>
    <s v="Express"/>
    <s v="Delivered"/>
    <n v="5"/>
    <s v="September"/>
    <x v="980"/>
    <n v="220"/>
    <n v="33912"/>
    <n v="54"/>
  </r>
  <r>
    <s v="ORD0982"/>
    <x v="981"/>
    <x v="3"/>
    <x v="36"/>
    <x v="3"/>
    <x v="1"/>
    <x v="22"/>
    <x v="13"/>
    <x v="1"/>
    <s v="Corporate"/>
    <x v="1"/>
    <s v="Chairs"/>
    <x v="1"/>
    <n v="20600"/>
    <x v="3"/>
    <n v="0.1"/>
    <n v="4760"/>
    <x v="1"/>
    <s v="Standard"/>
    <s v="Delivered"/>
    <n v="4"/>
    <s v="September"/>
    <x v="981"/>
    <n v="219"/>
    <n v="33473.242009132417"/>
    <n v="54"/>
  </r>
  <r>
    <s v="ORD0983"/>
    <x v="982"/>
    <x v="185"/>
    <x v="12"/>
    <x v="11"/>
    <x v="0"/>
    <x v="40"/>
    <x v="13"/>
    <x v="1"/>
    <s v="Consumer"/>
    <x v="0"/>
    <s v="Accessories"/>
    <x v="2"/>
    <n v="46500"/>
    <x v="1"/>
    <n v="0.05"/>
    <n v="9150"/>
    <x v="2"/>
    <s v="Standard"/>
    <s v="Delivered"/>
    <n v="4"/>
    <s v="October"/>
    <x v="982"/>
    <n v="218"/>
    <n v="33532.293577981654"/>
    <n v="54"/>
  </r>
  <r>
    <s v="ORD0984"/>
    <x v="983"/>
    <x v="186"/>
    <x v="102"/>
    <x v="12"/>
    <x v="1"/>
    <x v="50"/>
    <x v="13"/>
    <x v="1"/>
    <s v="Consumer"/>
    <x v="2"/>
    <s v="Paper"/>
    <x v="7"/>
    <n v="1450"/>
    <x v="6"/>
    <n v="0.02"/>
    <n v="430"/>
    <x v="0"/>
    <s v="Standard"/>
    <s v="Delivered"/>
    <n v="5"/>
    <s v="October"/>
    <x v="983"/>
    <n v="217"/>
    <n v="33472.534562211978"/>
    <n v="54"/>
  </r>
  <r>
    <s v="ORD0985"/>
    <x v="984"/>
    <x v="156"/>
    <x v="100"/>
    <x v="26"/>
    <x v="0"/>
    <x v="22"/>
    <x v="13"/>
    <x v="1"/>
    <s v="Corporate"/>
    <x v="1"/>
    <s v="Tables"/>
    <x v="4"/>
    <n v="49400"/>
    <x v="1"/>
    <n v="0.08"/>
    <n v="8560"/>
    <x v="1"/>
    <s v="Express"/>
    <s v="Delivered"/>
    <n v="4"/>
    <s v="October"/>
    <x v="984"/>
    <n v="216"/>
    <n v="33620.787037037036"/>
    <n v="54"/>
  </r>
  <r>
    <s v="ORD0986"/>
    <x v="985"/>
    <x v="187"/>
    <x v="105"/>
    <x v="0"/>
    <x v="1"/>
    <x v="51"/>
    <x v="13"/>
    <x v="1"/>
    <s v="Consumer"/>
    <x v="0"/>
    <s v="Accessories"/>
    <x v="5"/>
    <n v="7050"/>
    <x v="3"/>
    <n v="0.05"/>
    <n v="1890"/>
    <x v="0"/>
    <s v="Standard"/>
    <s v="Delivered"/>
    <n v="4"/>
    <s v="October"/>
    <x v="985"/>
    <n v="215"/>
    <n v="33547.395348837206"/>
    <n v="54"/>
  </r>
  <r>
    <s v="ORD0987"/>
    <x v="986"/>
    <x v="188"/>
    <x v="101"/>
    <x v="13"/>
    <x v="0"/>
    <x v="22"/>
    <x v="13"/>
    <x v="1"/>
    <s v="Consumer"/>
    <x v="0"/>
    <s v="Accessories"/>
    <x v="6"/>
    <n v="8300"/>
    <x v="10"/>
    <n v="0"/>
    <n v="2490"/>
    <x v="3"/>
    <s v="Standard"/>
    <s v="Delivered"/>
    <n v="3"/>
    <s v="October"/>
    <x v="986"/>
    <n v="214"/>
    <n v="33671.214953271025"/>
    <n v="54"/>
  </r>
  <r>
    <s v="ORD0988"/>
    <x v="987"/>
    <x v="189"/>
    <x v="12"/>
    <x v="19"/>
    <x v="1"/>
    <x v="49"/>
    <x v="13"/>
    <x v="1"/>
    <s v="Corporate"/>
    <x v="2"/>
    <s v="Paper"/>
    <x v="3"/>
    <n v="13700"/>
    <x v="2"/>
    <n v="0.02"/>
    <n v="3400"/>
    <x v="0"/>
    <s v="Standard"/>
    <s v="Delivered"/>
    <n v="5"/>
    <s v="November"/>
    <x v="987"/>
    <n v="213"/>
    <n v="33790.328638497653"/>
    <n v="54"/>
  </r>
  <r>
    <s v="ORD0989"/>
    <x v="988"/>
    <x v="190"/>
    <x v="104"/>
    <x v="31"/>
    <x v="0"/>
    <x v="22"/>
    <x v="13"/>
    <x v="1"/>
    <s v="Corporate"/>
    <x v="1"/>
    <s v="Storage"/>
    <x v="8"/>
    <n v="30700"/>
    <x v="0"/>
    <n v="0.1"/>
    <n v="5560"/>
    <x v="1"/>
    <s v="Express"/>
    <s v="Delivered"/>
    <n v="4"/>
    <s v="November"/>
    <x v="988"/>
    <n v="212"/>
    <n v="33885.094339622643"/>
    <n v="54"/>
  </r>
  <r>
    <s v="ORD0990"/>
    <x v="989"/>
    <x v="191"/>
    <x v="70"/>
    <x v="15"/>
    <x v="1"/>
    <x v="22"/>
    <x v="13"/>
    <x v="1"/>
    <s v="Consumer"/>
    <x v="0"/>
    <s v="Printers"/>
    <x v="9"/>
    <n v="33000"/>
    <x v="1"/>
    <n v="0.05"/>
    <n v="6240"/>
    <x v="0"/>
    <s v="Standard"/>
    <s v="Delivered"/>
    <n v="4"/>
    <s v="November"/>
    <x v="989"/>
    <n v="211"/>
    <n v="33900.189573459713"/>
    <n v="53"/>
  </r>
  <r>
    <s v="ORD0991"/>
    <x v="990"/>
    <x v="192"/>
    <x v="100"/>
    <x v="14"/>
    <x v="0"/>
    <x v="50"/>
    <x v="13"/>
    <x v="1"/>
    <s v="Consumer"/>
    <x v="2"/>
    <s v="Accessories"/>
    <x v="10"/>
    <n v="1990"/>
    <x v="11"/>
    <n v="0"/>
    <n v="630"/>
    <x v="2"/>
    <s v="Standard"/>
    <s v="Delivered"/>
    <n v="5"/>
    <s v="November"/>
    <x v="990"/>
    <n v="210"/>
    <n v="33904.476190476191"/>
    <n v="53"/>
  </r>
  <r>
    <s v="ORD0992"/>
    <x v="991"/>
    <x v="193"/>
    <x v="101"/>
    <x v="16"/>
    <x v="1"/>
    <x v="22"/>
    <x v="13"/>
    <x v="1"/>
    <s v="Corporate"/>
    <x v="1"/>
    <s v="Tables"/>
    <x v="11"/>
    <n v="48600"/>
    <x v="0"/>
    <n v="0.08"/>
    <n v="10400"/>
    <x v="1"/>
    <s v="Express"/>
    <s v="Delivered"/>
    <n v="4"/>
    <s v="December"/>
    <x v="991"/>
    <n v="209"/>
    <n v="34057.177033492822"/>
    <n v="53"/>
  </r>
  <r>
    <s v="ORD0993"/>
    <x v="992"/>
    <x v="160"/>
    <x v="102"/>
    <x v="24"/>
    <x v="0"/>
    <x v="51"/>
    <x v="13"/>
    <x v="1"/>
    <s v="Consumer"/>
    <x v="0"/>
    <s v="Computers"/>
    <x v="0"/>
    <n v="132000"/>
    <x v="0"/>
    <n v="0.1"/>
    <n v="15400"/>
    <x v="0"/>
    <s v="Express"/>
    <s v="Delivered"/>
    <n v="5"/>
    <s v="December"/>
    <x v="992"/>
    <n v="208"/>
    <n v="33987.259615384617"/>
    <n v="53"/>
  </r>
  <r>
    <s v="ORD0994"/>
    <x v="993"/>
    <x v="194"/>
    <x v="12"/>
    <x v="6"/>
    <x v="1"/>
    <x v="53"/>
    <x v="13"/>
    <x v="1"/>
    <s v="Consumer"/>
    <x v="2"/>
    <s v="Storage"/>
    <x v="12"/>
    <n v="2620"/>
    <x v="5"/>
    <n v="0.05"/>
    <n v="870"/>
    <x v="3"/>
    <s v="Standard"/>
    <s v="Delivered"/>
    <n v="4"/>
    <s v="December"/>
    <x v="993"/>
    <n v="207"/>
    <n v="33513.768115942032"/>
    <n v="53"/>
  </r>
  <r>
    <s v="ORD0995"/>
    <x v="994"/>
    <x v="156"/>
    <x v="12"/>
    <x v="32"/>
    <x v="0"/>
    <x v="22"/>
    <x v="13"/>
    <x v="1"/>
    <s v="Corporate"/>
    <x v="1"/>
    <s v="Chairs"/>
    <x v="1"/>
    <n v="25200"/>
    <x v="9"/>
    <n v="7.0000000000000007E-2"/>
    <n v="5850"/>
    <x v="1"/>
    <s v="Standard"/>
    <s v="Delivered"/>
    <n v="4"/>
    <s v="December"/>
    <x v="994"/>
    <n v="206"/>
    <n v="33663.737864077673"/>
    <n v="53"/>
  </r>
  <r>
    <s v="ORD0996"/>
    <x v="995"/>
    <x v="7"/>
    <x v="102"/>
    <x v="10"/>
    <x v="1"/>
    <x v="22"/>
    <x v="13"/>
    <x v="1"/>
    <s v="Consumer"/>
    <x v="0"/>
    <s v="Accessories"/>
    <x v="2"/>
    <n v="49500"/>
    <x v="1"/>
    <n v="0.05"/>
    <n v="9800"/>
    <x v="0"/>
    <s v="Express"/>
    <s v="Delivered"/>
    <n v="5"/>
    <s v="January"/>
    <x v="995"/>
    <n v="205"/>
    <n v="33705.024390243903"/>
    <n v="52"/>
  </r>
  <r>
    <s v="ORD0997"/>
    <x v="996"/>
    <x v="159"/>
    <x v="12"/>
    <x v="8"/>
    <x v="0"/>
    <x v="49"/>
    <x v="13"/>
    <x v="1"/>
    <s v="Corporate"/>
    <x v="2"/>
    <s v="Paper"/>
    <x v="3"/>
    <n v="13900"/>
    <x v="2"/>
    <n v="0.03"/>
    <n v="3460"/>
    <x v="2"/>
    <s v="Standard"/>
    <s v="Delivered"/>
    <n v="4"/>
    <s v="January"/>
    <x v="996"/>
    <n v="204"/>
    <n v="33627.598039215685"/>
    <n v="52"/>
  </r>
  <r>
    <s v="ORD0998"/>
    <x v="997"/>
    <x v="195"/>
    <x v="70"/>
    <x v="5"/>
    <x v="1"/>
    <x v="22"/>
    <x v="13"/>
    <x v="1"/>
    <s v="Consumer"/>
    <x v="1"/>
    <s v="Tables"/>
    <x v="4"/>
    <n v="46800"/>
    <x v="1"/>
    <n v="0.1"/>
    <n v="7680"/>
    <x v="0"/>
    <s v="Express"/>
    <s v="Delivered"/>
    <n v="5"/>
    <s v="January"/>
    <x v="997"/>
    <n v="203"/>
    <n v="33724.778325123152"/>
    <n v="52"/>
  </r>
  <r>
    <s v="ORD0999"/>
    <x v="998"/>
    <x v="196"/>
    <x v="100"/>
    <x v="28"/>
    <x v="0"/>
    <x v="50"/>
    <x v="13"/>
    <x v="1"/>
    <s v="Corporate"/>
    <x v="0"/>
    <s v="Accessories"/>
    <x v="5"/>
    <n v="7350"/>
    <x v="9"/>
    <n v="0.05"/>
    <n v="1970"/>
    <x v="1"/>
    <s v="Standard"/>
    <s v="Delivered"/>
    <n v="3"/>
    <s v="January"/>
    <x v="998"/>
    <n v="202"/>
    <n v="33660.049504950497"/>
    <n v="52"/>
  </r>
  <r>
    <s v="ORD1000"/>
    <x v="999"/>
    <x v="197"/>
    <x v="102"/>
    <x v="0"/>
    <x v="1"/>
    <x v="22"/>
    <x v="13"/>
    <x v="1"/>
    <s v="Consumer"/>
    <x v="0"/>
    <s v="Accessories"/>
    <x v="6"/>
    <n v="8400"/>
    <x v="12"/>
    <n v="0"/>
    <n v="2520"/>
    <x v="0"/>
    <s v="Standard"/>
    <s v="Delivered"/>
    <n v="4"/>
    <s v="January"/>
    <x v="999"/>
    <n v="201"/>
    <n v="33790.945273631842"/>
    <n v="52"/>
  </r>
  <r>
    <s v="ORD1001"/>
    <x v="1000"/>
    <x v="198"/>
    <x v="109"/>
    <x v="6"/>
    <x v="0"/>
    <x v="0"/>
    <x v="0"/>
    <x v="0"/>
    <s v="Consumer"/>
    <x v="0"/>
    <s v="Computers"/>
    <x v="0"/>
    <n v="109800"/>
    <x v="0"/>
    <n v="0.05"/>
    <n v="14200"/>
    <x v="0"/>
    <s v="Express"/>
    <s v="Delivered"/>
    <n v="5"/>
    <s v="February"/>
    <x v="1000"/>
    <n v="200"/>
    <n v="33917.9"/>
    <n v="52"/>
  </r>
  <r>
    <s v="ORD1002"/>
    <x v="1001"/>
    <x v="199"/>
    <x v="110"/>
    <x v="3"/>
    <x v="1"/>
    <x v="3"/>
    <x v="0"/>
    <x v="0"/>
    <s v="Consumer"/>
    <x v="1"/>
    <s v="Chairs"/>
    <x v="1"/>
    <n v="18500"/>
    <x v="1"/>
    <n v="0.08"/>
    <n v="3900"/>
    <x v="1"/>
    <s v="Standard"/>
    <s v="Delivered"/>
    <n v="4"/>
    <s v="February"/>
    <x v="1001"/>
    <n v="199"/>
    <n v="33536.582914572864"/>
    <n v="52"/>
  </r>
  <r>
    <s v="ORD1003"/>
    <x v="1002"/>
    <x v="200"/>
    <x v="111"/>
    <x v="1"/>
    <x v="0"/>
    <x v="10"/>
    <x v="0"/>
    <x v="0"/>
    <s v="Corporate"/>
    <x v="0"/>
    <s v="Accessories"/>
    <x v="2"/>
    <n v="41500"/>
    <x v="1"/>
    <n v="0.05"/>
    <n v="8050"/>
    <x v="2"/>
    <s v="Standard"/>
    <s v="Delivered"/>
    <n v="4"/>
    <s v="February"/>
    <x v="1002"/>
    <n v="198"/>
    <n v="33612.525252525251"/>
    <n v="52"/>
  </r>
  <r>
    <s v="ORD1004"/>
    <x v="1003"/>
    <x v="201"/>
    <x v="81"/>
    <x v="9"/>
    <x v="1"/>
    <x v="11"/>
    <x v="0"/>
    <x v="0"/>
    <s v="Consumer"/>
    <x v="2"/>
    <s v="Paper"/>
    <x v="7"/>
    <n v="1260"/>
    <x v="5"/>
    <n v="0.02"/>
    <n v="360"/>
    <x v="0"/>
    <s v="Standard"/>
    <s v="Delivered"/>
    <n v="5"/>
    <s v="February"/>
    <x v="1003"/>
    <n v="197"/>
    <n v="33572.487309644668"/>
    <n v="52"/>
  </r>
  <r>
    <s v="ORD1005"/>
    <x v="1004"/>
    <x v="202"/>
    <x v="112"/>
    <x v="7"/>
    <x v="0"/>
    <x v="6"/>
    <x v="0"/>
    <x v="0"/>
    <s v="Corporate"/>
    <x v="1"/>
    <s v="Tables"/>
    <x v="4"/>
    <n v="43200"/>
    <x v="1"/>
    <n v="0.1"/>
    <n v="7350"/>
    <x v="1"/>
    <s v="Express"/>
    <s v="Delivered"/>
    <n v="4"/>
    <s v="March"/>
    <x v="1004"/>
    <n v="196"/>
    <n v="33737.34693877551"/>
    <n v="52"/>
  </r>
  <r>
    <s v="ORD1006"/>
    <x v="1005"/>
    <x v="203"/>
    <x v="113"/>
    <x v="0"/>
    <x v="1"/>
    <x v="12"/>
    <x v="0"/>
    <x v="0"/>
    <s v="Consumer"/>
    <x v="0"/>
    <s v="Accessories"/>
    <x v="5"/>
    <n v="6300"/>
    <x v="3"/>
    <n v="0.05"/>
    <n v="1670"/>
    <x v="0"/>
    <s v="Standard"/>
    <s v="Delivered"/>
    <n v="4"/>
    <s v="March"/>
    <x v="1005"/>
    <n v="195"/>
    <n v="33688.820512820515"/>
    <n v="52"/>
  </r>
  <r>
    <s v="ORD1007"/>
    <x v="1006"/>
    <x v="204"/>
    <x v="114"/>
    <x v="19"/>
    <x v="0"/>
    <x v="43"/>
    <x v="0"/>
    <x v="0"/>
    <s v="Consumer"/>
    <x v="0"/>
    <s v="Accessories"/>
    <x v="6"/>
    <n v="6800"/>
    <x v="4"/>
    <n v="0"/>
    <n v="2000"/>
    <x v="3"/>
    <s v="Standard"/>
    <s v="Delivered"/>
    <n v="3"/>
    <s v="March"/>
    <x v="1006"/>
    <n v="194"/>
    <n v="33830"/>
    <n v="52"/>
  </r>
  <r>
    <s v="ORD1008"/>
    <x v="1007"/>
    <x v="205"/>
    <x v="115"/>
    <x v="12"/>
    <x v="1"/>
    <x v="29"/>
    <x v="0"/>
    <x v="0"/>
    <s v="Corporate"/>
    <x v="2"/>
    <s v="Paper"/>
    <x v="3"/>
    <n v="10800"/>
    <x v="2"/>
    <n v="0.03"/>
    <n v="2680"/>
    <x v="0"/>
    <s v="Standard"/>
    <s v="Delivered"/>
    <n v="5"/>
    <s v="March"/>
    <x v="1007"/>
    <n v="193"/>
    <n v="33970.051813471502"/>
    <n v="52"/>
  </r>
  <r>
    <s v="ORD1009"/>
    <x v="1008"/>
    <x v="206"/>
    <x v="72"/>
    <x v="15"/>
    <x v="1"/>
    <x v="54"/>
    <x v="0"/>
    <x v="0"/>
    <s v="Corporate"/>
    <x v="1"/>
    <s v="Storage"/>
    <x v="8"/>
    <n v="27500"/>
    <x v="0"/>
    <n v="0.1"/>
    <n v="4980"/>
    <x v="1"/>
    <s v="Express"/>
    <s v="Delivered"/>
    <n v="4"/>
    <s v="April"/>
    <x v="1008"/>
    <n v="192"/>
    <n v="34090.729166666664"/>
    <n v="52"/>
  </r>
  <r>
    <s v="ORD1010"/>
    <x v="1009"/>
    <x v="207"/>
    <x v="116"/>
    <x v="4"/>
    <x v="0"/>
    <x v="42"/>
    <x v="0"/>
    <x v="0"/>
    <s v="Consumer"/>
    <x v="0"/>
    <s v="Printers"/>
    <x v="9"/>
    <n v="29800"/>
    <x v="1"/>
    <n v="0.05"/>
    <n v="5700"/>
    <x v="0"/>
    <s v="Standard"/>
    <s v="Delivered"/>
    <n v="4"/>
    <s v="April"/>
    <x v="1009"/>
    <n v="191"/>
    <n v="34125.235602094239"/>
    <n v="52"/>
  </r>
  <r>
    <s v="ORD1011"/>
    <x v="1010"/>
    <x v="208"/>
    <x v="30"/>
    <x v="17"/>
    <x v="1"/>
    <x v="0"/>
    <x v="0"/>
    <x v="0"/>
    <s v="Consumer"/>
    <x v="2"/>
    <s v="Accessories"/>
    <x v="10"/>
    <n v="1820"/>
    <x v="6"/>
    <n v="0"/>
    <n v="560"/>
    <x v="2"/>
    <s v="Standard"/>
    <s v="Delivered"/>
    <n v="5"/>
    <s v="April"/>
    <x v="1010"/>
    <n v="190"/>
    <n v="34148"/>
    <n v="52"/>
  </r>
  <r>
    <s v="ORD1012"/>
    <x v="1011"/>
    <x v="209"/>
    <x v="117"/>
    <x v="2"/>
    <x v="0"/>
    <x v="14"/>
    <x v="8"/>
    <x v="0"/>
    <s v="Corporate"/>
    <x v="1"/>
    <s v="Tables"/>
    <x v="11"/>
    <n v="44800"/>
    <x v="0"/>
    <n v="0.08"/>
    <n v="9400"/>
    <x v="1"/>
    <s v="Express"/>
    <s v="Delivered"/>
    <n v="4"/>
    <s v="April"/>
    <x v="1011"/>
    <n v="189"/>
    <n v="34319.047619047618"/>
    <n v="52"/>
  </r>
  <r>
    <s v="ORD1013"/>
    <x v="1012"/>
    <x v="210"/>
    <x v="118"/>
    <x v="6"/>
    <x v="1"/>
    <x v="3"/>
    <x v="0"/>
    <x v="0"/>
    <s v="Consumer"/>
    <x v="0"/>
    <s v="Computers"/>
    <x v="0"/>
    <n v="112800"/>
    <x v="0"/>
    <n v="0.1"/>
    <n v="13700"/>
    <x v="0"/>
    <s v="Express"/>
    <s v="Delivered"/>
    <n v="5"/>
    <s v="April"/>
    <x v="1012"/>
    <n v="188"/>
    <n v="34263.297872340423"/>
    <n v="52"/>
  </r>
  <r>
    <s v="ORD1014"/>
    <x v="1013"/>
    <x v="211"/>
    <x v="77"/>
    <x v="16"/>
    <x v="0"/>
    <x v="10"/>
    <x v="0"/>
    <x v="0"/>
    <s v="Consumer"/>
    <x v="2"/>
    <s v="Storage"/>
    <x v="12"/>
    <n v="2350"/>
    <x v="5"/>
    <n v="0.05"/>
    <n v="760"/>
    <x v="3"/>
    <s v="Standard"/>
    <s v="Delivered"/>
    <n v="4"/>
    <s v="May"/>
    <x v="1013"/>
    <n v="187"/>
    <n v="33843.315508021391"/>
    <n v="52"/>
  </r>
  <r>
    <s v="ORD1015"/>
    <x v="1014"/>
    <x v="212"/>
    <x v="119"/>
    <x v="5"/>
    <x v="1"/>
    <x v="0"/>
    <x v="0"/>
    <x v="0"/>
    <s v="Corporate"/>
    <x v="1"/>
    <s v="Chairs"/>
    <x v="1"/>
    <n v="21900"/>
    <x v="9"/>
    <n v="7.0000000000000007E-2"/>
    <n v="5100"/>
    <x v="1"/>
    <s v="Standard"/>
    <s v="Delivered"/>
    <n v="4"/>
    <s v="May"/>
    <x v="1014"/>
    <n v="186"/>
    <n v="34012.634408602149"/>
    <n v="52"/>
  </r>
  <r>
    <s v="ORD1016"/>
    <x v="1015"/>
    <x v="213"/>
    <x v="120"/>
    <x v="15"/>
    <x v="0"/>
    <x v="3"/>
    <x v="0"/>
    <x v="0"/>
    <s v="Consumer"/>
    <x v="0"/>
    <s v="Accessories"/>
    <x v="2"/>
    <n v="42800"/>
    <x v="1"/>
    <n v="0.05"/>
    <n v="8350"/>
    <x v="0"/>
    <s v="Express"/>
    <s v="Delivered"/>
    <n v="5"/>
    <s v="May"/>
    <x v="1015"/>
    <n v="185"/>
    <n v="34078.108108108107"/>
    <n v="52"/>
  </r>
  <r>
    <s v="ORD1017"/>
    <x v="1016"/>
    <x v="214"/>
    <x v="121"/>
    <x v="10"/>
    <x v="1"/>
    <x v="13"/>
    <x v="0"/>
    <x v="0"/>
    <s v="Corporate"/>
    <x v="2"/>
    <s v="Paper"/>
    <x v="3"/>
    <n v="10600"/>
    <x v="2"/>
    <n v="0.03"/>
    <n v="2640"/>
    <x v="2"/>
    <s v="Standard"/>
    <s v="Delivered"/>
    <n v="4"/>
    <s v="May"/>
    <x v="1016"/>
    <n v="184"/>
    <n v="34030.706521739128"/>
    <n v="52"/>
  </r>
  <r>
    <s v="ORD1018"/>
    <x v="1017"/>
    <x v="215"/>
    <x v="122"/>
    <x v="14"/>
    <x v="0"/>
    <x v="20"/>
    <x v="3"/>
    <x v="0"/>
    <s v="Consumer"/>
    <x v="1"/>
    <s v="Tables"/>
    <x v="4"/>
    <n v="41800"/>
    <x v="1"/>
    <n v="0.1"/>
    <n v="6900"/>
    <x v="0"/>
    <s v="Express"/>
    <s v="Delivered"/>
    <n v="5"/>
    <s v="June"/>
    <x v="1017"/>
    <n v="183"/>
    <n v="34158.743169398906"/>
    <n v="52"/>
  </r>
  <r>
    <s v="ORD1019"/>
    <x v="1018"/>
    <x v="216"/>
    <x v="1"/>
    <x v="3"/>
    <x v="1"/>
    <x v="16"/>
    <x v="3"/>
    <x v="0"/>
    <s v="Corporate"/>
    <x v="0"/>
    <s v="Accessories"/>
    <x v="5"/>
    <n v="6600"/>
    <x v="9"/>
    <n v="0.05"/>
    <n v="1750"/>
    <x v="1"/>
    <s v="Standard"/>
    <s v="Delivered"/>
    <n v="3"/>
    <s v="June"/>
    <x v="1018"/>
    <n v="182"/>
    <n v="34116.758241758245"/>
    <n v="52"/>
  </r>
  <r>
    <s v="ORD1020"/>
    <x v="1019"/>
    <x v="217"/>
    <x v="3"/>
    <x v="18"/>
    <x v="0"/>
    <x v="4"/>
    <x v="3"/>
    <x v="0"/>
    <s v="Consumer"/>
    <x v="0"/>
    <s v="Accessories"/>
    <x v="6"/>
    <n v="7100"/>
    <x v="10"/>
    <n v="0"/>
    <n v="2140"/>
    <x v="0"/>
    <s v="Standard"/>
    <s v="Delivered"/>
    <n v="4"/>
    <s v="June"/>
    <x v="1019"/>
    <n v="181"/>
    <n v="34268.784530386743"/>
    <n v="52"/>
  </r>
  <r>
    <s v="ORD1021"/>
    <x v="1020"/>
    <x v="218"/>
    <x v="123"/>
    <x v="0"/>
    <x v="1"/>
    <x v="0"/>
    <x v="0"/>
    <x v="0"/>
    <s v="Consumer"/>
    <x v="0"/>
    <s v="Computers"/>
    <x v="0"/>
    <n v="116400"/>
    <x v="0"/>
    <n v="0.05"/>
    <n v="14900"/>
    <x v="0"/>
    <s v="Express"/>
    <s v="Delivered"/>
    <n v="5"/>
    <s v="June"/>
    <x v="1020"/>
    <n v="180"/>
    <n v="34419.722222222219"/>
    <n v="52"/>
  </r>
  <r>
    <s v="ORD1022"/>
    <x v="1021"/>
    <x v="219"/>
    <x v="68"/>
    <x v="13"/>
    <x v="0"/>
    <x v="11"/>
    <x v="0"/>
    <x v="0"/>
    <s v="Corporate"/>
    <x v="1"/>
    <s v="Chairs"/>
    <x v="1"/>
    <n v="19100"/>
    <x v="3"/>
    <n v="0.1"/>
    <n v="4450"/>
    <x v="1"/>
    <s v="Standard"/>
    <s v="Delivered"/>
    <n v="4"/>
    <s v="July"/>
    <x v="1021"/>
    <n v="179"/>
    <n v="33961.73184357542"/>
    <n v="52"/>
  </r>
  <r>
    <s v="ORD1023"/>
    <x v="1022"/>
    <x v="220"/>
    <x v="124"/>
    <x v="9"/>
    <x v="1"/>
    <x v="3"/>
    <x v="0"/>
    <x v="0"/>
    <s v="Consumer"/>
    <x v="0"/>
    <s v="Accessories"/>
    <x v="2"/>
    <n v="42100"/>
    <x v="1"/>
    <n v="0.05"/>
    <n v="8200"/>
    <x v="2"/>
    <s v="Standard"/>
    <s v="Delivered"/>
    <n v="4"/>
    <s v="July"/>
    <x v="1022"/>
    <n v="178"/>
    <n v="34045.224719101127"/>
    <n v="52"/>
  </r>
  <r>
    <s v="ORD1024"/>
    <x v="1023"/>
    <x v="221"/>
    <x v="125"/>
    <x v="20"/>
    <x v="0"/>
    <x v="12"/>
    <x v="0"/>
    <x v="0"/>
    <s v="Consumer"/>
    <x v="2"/>
    <s v="Paper"/>
    <x v="7"/>
    <n v="1290"/>
    <x v="6"/>
    <n v="0.02"/>
    <n v="380"/>
    <x v="0"/>
    <s v="Standard"/>
    <s v="Delivered"/>
    <n v="5"/>
    <s v="July"/>
    <x v="1023"/>
    <n v="177"/>
    <n v="33999.717514124291"/>
    <n v="52"/>
  </r>
  <r>
    <s v="ORD1025"/>
    <x v="1024"/>
    <x v="222"/>
    <x v="109"/>
    <x v="12"/>
    <x v="1"/>
    <x v="0"/>
    <x v="0"/>
    <x v="0"/>
    <s v="Corporate"/>
    <x v="1"/>
    <s v="Tables"/>
    <x v="4"/>
    <n v="44500"/>
    <x v="1"/>
    <n v="0.08"/>
    <n v="7650"/>
    <x v="1"/>
    <s v="Express"/>
    <s v="Delivered"/>
    <n v="4"/>
    <s v="July"/>
    <x v="1024"/>
    <n v="176"/>
    <n v="34185.568181818184"/>
    <n v="52"/>
  </r>
  <r>
    <s v="ORD1026"/>
    <x v="1025"/>
    <x v="223"/>
    <x v="126"/>
    <x v="1"/>
    <x v="0"/>
    <x v="6"/>
    <x v="0"/>
    <x v="0"/>
    <s v="Consumer"/>
    <x v="0"/>
    <s v="Accessories"/>
    <x v="5"/>
    <n v="6750"/>
    <x v="3"/>
    <n v="0.05"/>
    <n v="1780"/>
    <x v="0"/>
    <s v="Standard"/>
    <s v="Delivered"/>
    <n v="4"/>
    <s v="July"/>
    <x v="1025"/>
    <n v="175"/>
    <n v="34126.62857142857"/>
    <n v="52"/>
  </r>
  <r>
    <s v="ORD1027"/>
    <x v="1026"/>
    <x v="224"/>
    <x v="127"/>
    <x v="15"/>
    <x v="1"/>
    <x v="10"/>
    <x v="0"/>
    <x v="0"/>
    <s v="Consumer"/>
    <x v="0"/>
    <s v="Accessories"/>
    <x v="6"/>
    <n v="7350"/>
    <x v="10"/>
    <n v="0"/>
    <n v="2200"/>
    <x v="3"/>
    <s v="Standard"/>
    <s v="Delivered"/>
    <n v="3"/>
    <s v="August"/>
    <x v="1026"/>
    <n v="174"/>
    <n v="34283.965517241377"/>
    <n v="52"/>
  </r>
  <r>
    <s v="ORD1028"/>
    <x v="1027"/>
    <x v="225"/>
    <x v="3"/>
    <x v="11"/>
    <x v="0"/>
    <x v="4"/>
    <x v="3"/>
    <x v="0"/>
    <s v="Corporate"/>
    <x v="2"/>
    <s v="Paper"/>
    <x v="3"/>
    <n v="11200"/>
    <x v="2"/>
    <n v="0.02"/>
    <n v="2780"/>
    <x v="0"/>
    <s v="Standard"/>
    <s v="Delivered"/>
    <n v="5"/>
    <s v="August"/>
    <x v="1027"/>
    <n v="173"/>
    <n v="34439.653179190755"/>
    <n v="52"/>
  </r>
  <r>
    <s v="ORD1029"/>
    <x v="1028"/>
    <x v="226"/>
    <x v="128"/>
    <x v="6"/>
    <x v="1"/>
    <x v="3"/>
    <x v="0"/>
    <x v="0"/>
    <s v="Corporate"/>
    <x v="1"/>
    <s v="Storage"/>
    <x v="8"/>
    <n v="28100"/>
    <x v="0"/>
    <n v="0.1"/>
    <n v="5080"/>
    <x v="1"/>
    <s v="Express"/>
    <s v="Delivered"/>
    <n v="4"/>
    <s v="August"/>
    <x v="1028"/>
    <n v="172"/>
    <n v="34574.767441860466"/>
    <n v="52"/>
  </r>
  <r>
    <s v="ORD1030"/>
    <x v="1029"/>
    <x v="227"/>
    <x v="83"/>
    <x v="7"/>
    <x v="0"/>
    <x v="13"/>
    <x v="0"/>
    <x v="0"/>
    <s v="Consumer"/>
    <x v="0"/>
    <s v="Printers"/>
    <x v="9"/>
    <n v="30400"/>
    <x v="1"/>
    <n v="0.05"/>
    <n v="5800"/>
    <x v="0"/>
    <s v="Standard"/>
    <s v="Delivered"/>
    <n v="4"/>
    <s v="August"/>
    <x v="1029"/>
    <n v="171"/>
    <n v="34612.631578947367"/>
    <n v="52"/>
  </r>
  <r>
    <s v="ORD1031"/>
    <x v="1030"/>
    <x v="228"/>
    <x v="129"/>
    <x v="3"/>
    <x v="1"/>
    <x v="17"/>
    <x v="10"/>
    <x v="4"/>
    <s v="Consumer"/>
    <x v="2"/>
    <s v="Accessories"/>
    <x v="10"/>
    <n v="1760"/>
    <x v="11"/>
    <n v="0"/>
    <n v="540"/>
    <x v="2"/>
    <s v="Standard"/>
    <s v="Delivered"/>
    <n v="5"/>
    <s v="September"/>
    <x v="1030"/>
    <n v="170"/>
    <n v="34637.411764705881"/>
    <n v="52"/>
  </r>
  <r>
    <s v="ORD1032"/>
    <x v="1031"/>
    <x v="229"/>
    <x v="130"/>
    <x v="22"/>
    <x v="0"/>
    <x v="6"/>
    <x v="0"/>
    <x v="0"/>
    <s v="Corporate"/>
    <x v="1"/>
    <s v="Tables"/>
    <x v="11"/>
    <n v="45200"/>
    <x v="0"/>
    <n v="0.08"/>
    <n v="9550"/>
    <x v="1"/>
    <s v="Express"/>
    <s v="Delivered"/>
    <n v="4"/>
    <s v="September"/>
    <x v="1031"/>
    <n v="169"/>
    <n v="34831.952662721895"/>
    <n v="52"/>
  </r>
  <r>
    <s v="ORD1033"/>
    <x v="1032"/>
    <x v="230"/>
    <x v="131"/>
    <x v="19"/>
    <x v="1"/>
    <x v="3"/>
    <x v="0"/>
    <x v="0"/>
    <s v="Consumer"/>
    <x v="0"/>
    <s v="Computers"/>
    <x v="0"/>
    <n v="118900"/>
    <x v="0"/>
    <n v="0.1"/>
    <n v="14100"/>
    <x v="0"/>
    <s v="Express"/>
    <s v="Delivered"/>
    <n v="5"/>
    <s v="September"/>
    <x v="1032"/>
    <n v="168"/>
    <n v="34770.238095238092"/>
    <n v="52"/>
  </r>
  <r>
    <s v="ORD1034"/>
    <x v="1033"/>
    <x v="231"/>
    <x v="132"/>
    <x v="23"/>
    <x v="0"/>
    <x v="0"/>
    <x v="0"/>
    <x v="0"/>
    <s v="Consumer"/>
    <x v="2"/>
    <s v="Storage"/>
    <x v="12"/>
    <n v="2410"/>
    <x v="5"/>
    <n v="0.05"/>
    <n v="790"/>
    <x v="3"/>
    <s v="Standard"/>
    <s v="Delivered"/>
    <n v="4"/>
    <s v="September"/>
    <x v="1033"/>
    <n v="167"/>
    <n v="34266.467065868266"/>
    <n v="52"/>
  </r>
  <r>
    <s v="ORD1035"/>
    <x v="1034"/>
    <x v="232"/>
    <x v="133"/>
    <x v="0"/>
    <x v="1"/>
    <x v="14"/>
    <x v="8"/>
    <x v="0"/>
    <s v="Corporate"/>
    <x v="1"/>
    <s v="Chairs"/>
    <x v="1"/>
    <n v="22500"/>
    <x v="9"/>
    <n v="7.0000000000000007E-2"/>
    <n v="5200"/>
    <x v="1"/>
    <s v="Standard"/>
    <s v="Delivered"/>
    <n v="4"/>
    <s v="September"/>
    <x v="1034"/>
    <n v="166"/>
    <n v="34458.373493975902"/>
    <n v="52"/>
  </r>
  <r>
    <s v="ORD1036"/>
    <x v="1035"/>
    <x v="233"/>
    <x v="78"/>
    <x v="5"/>
    <x v="0"/>
    <x v="3"/>
    <x v="0"/>
    <x v="0"/>
    <s v="Consumer"/>
    <x v="0"/>
    <s v="Accessories"/>
    <x v="2"/>
    <n v="43900"/>
    <x v="1"/>
    <n v="0.05"/>
    <n v="8600"/>
    <x v="0"/>
    <s v="Express"/>
    <s v="Delivered"/>
    <n v="5"/>
    <s v="October"/>
    <x v="1035"/>
    <n v="165"/>
    <n v="34530.848484848488"/>
    <n v="52"/>
  </r>
  <r>
    <s v="ORD1037"/>
    <x v="1036"/>
    <x v="116"/>
    <x v="40"/>
    <x v="16"/>
    <x v="1"/>
    <x v="26"/>
    <x v="8"/>
    <x v="0"/>
    <s v="Corporate"/>
    <x v="2"/>
    <s v="Paper"/>
    <x v="3"/>
    <n v="11400"/>
    <x v="2"/>
    <n v="0.03"/>
    <n v="2820"/>
    <x v="2"/>
    <s v="Standard"/>
    <s v="Delivered"/>
    <n v="4"/>
    <s v="October"/>
    <x v="1036"/>
    <n v="164"/>
    <n v="34473.719512195123"/>
    <n v="52"/>
  </r>
  <r>
    <s v="ORD1038"/>
    <x v="1037"/>
    <x v="234"/>
    <x v="134"/>
    <x v="17"/>
    <x v="0"/>
    <x v="0"/>
    <x v="0"/>
    <x v="0"/>
    <s v="Consumer"/>
    <x v="1"/>
    <s v="Tables"/>
    <x v="4"/>
    <n v="42700"/>
    <x v="1"/>
    <n v="0.1"/>
    <n v="7050"/>
    <x v="0"/>
    <s v="Express"/>
    <s v="Delivered"/>
    <n v="5"/>
    <s v="October"/>
    <x v="1037"/>
    <n v="163"/>
    <n v="34615.276073619629"/>
    <n v="52"/>
  </r>
  <r>
    <s v="ORD1039"/>
    <x v="1038"/>
    <x v="235"/>
    <x v="135"/>
    <x v="6"/>
    <x v="1"/>
    <x v="11"/>
    <x v="0"/>
    <x v="0"/>
    <s v="Corporate"/>
    <x v="0"/>
    <s v="Accessories"/>
    <x v="5"/>
    <n v="6900"/>
    <x v="9"/>
    <n v="0.05"/>
    <n v="1820"/>
    <x v="1"/>
    <s v="Standard"/>
    <s v="Delivered"/>
    <n v="3"/>
    <s v="October"/>
    <x v="1038"/>
    <n v="162"/>
    <n v="34565.370370370372"/>
    <n v="52"/>
  </r>
  <r>
    <s v="ORD1040"/>
    <x v="1039"/>
    <x v="236"/>
    <x v="136"/>
    <x v="10"/>
    <x v="1"/>
    <x v="6"/>
    <x v="0"/>
    <x v="0"/>
    <s v="Consumer"/>
    <x v="0"/>
    <s v="Accessories"/>
    <x v="6"/>
    <n v="7600"/>
    <x v="12"/>
    <n v="0"/>
    <n v="2280"/>
    <x v="0"/>
    <s v="Standard"/>
    <s v="Delivered"/>
    <n v="4"/>
    <s v="November"/>
    <x v="1039"/>
    <n v="161"/>
    <n v="34737.204968944097"/>
    <n v="52"/>
  </r>
  <r>
    <s v="ORD1041"/>
    <x v="1040"/>
    <x v="105"/>
    <x v="69"/>
    <x v="14"/>
    <x v="0"/>
    <x v="0"/>
    <x v="0"/>
    <x v="0"/>
    <s v="Consumer"/>
    <x v="0"/>
    <s v="Computers"/>
    <x v="0"/>
    <n v="120200"/>
    <x v="0"/>
    <n v="0.05"/>
    <n v="15400"/>
    <x v="0"/>
    <s v="Express"/>
    <s v="Delivered"/>
    <n v="5"/>
    <s v="November"/>
    <x v="1040"/>
    <n v="160"/>
    <n v="34906.8125"/>
    <n v="52"/>
  </r>
  <r>
    <s v="ORD1042"/>
    <x v="1041"/>
    <x v="237"/>
    <x v="137"/>
    <x v="9"/>
    <x v="1"/>
    <x v="12"/>
    <x v="0"/>
    <x v="0"/>
    <s v="Corporate"/>
    <x v="1"/>
    <s v="Chairs"/>
    <x v="1"/>
    <n v="19700"/>
    <x v="3"/>
    <n v="0.1"/>
    <n v="4620"/>
    <x v="1"/>
    <s v="Standard"/>
    <s v="Delivered"/>
    <n v="4"/>
    <s v="November"/>
    <x v="1041"/>
    <n v="159"/>
    <n v="34370.377358490565"/>
    <n v="52"/>
  </r>
  <r>
    <s v="ORD1043"/>
    <x v="1042"/>
    <x v="238"/>
    <x v="138"/>
    <x v="20"/>
    <x v="0"/>
    <x v="16"/>
    <x v="3"/>
    <x v="0"/>
    <s v="Consumer"/>
    <x v="0"/>
    <s v="Accessories"/>
    <x v="2"/>
    <n v="44700"/>
    <x v="1"/>
    <n v="0.05"/>
    <n v="8750"/>
    <x v="2"/>
    <s v="Standard"/>
    <s v="Delivered"/>
    <n v="4"/>
    <s v="November"/>
    <x v="1042"/>
    <n v="158"/>
    <n v="34463.227848101269"/>
    <n v="52"/>
  </r>
  <r>
    <s v="ORD1044"/>
    <x v="1043"/>
    <x v="239"/>
    <x v="139"/>
    <x v="15"/>
    <x v="1"/>
    <x v="0"/>
    <x v="0"/>
    <x v="0"/>
    <s v="Consumer"/>
    <x v="2"/>
    <s v="Paper"/>
    <x v="7"/>
    <n v="1320"/>
    <x v="6"/>
    <n v="0.02"/>
    <n v="390"/>
    <x v="0"/>
    <s v="Standard"/>
    <s v="Delivered"/>
    <n v="5"/>
    <s v="December"/>
    <x v="1043"/>
    <n v="157"/>
    <n v="34398.025477707008"/>
    <n v="52"/>
  </r>
  <r>
    <s v="ORD1045"/>
    <x v="1044"/>
    <x v="58"/>
    <x v="128"/>
    <x v="18"/>
    <x v="0"/>
    <x v="3"/>
    <x v="0"/>
    <x v="0"/>
    <s v="Corporate"/>
    <x v="1"/>
    <s v="Tables"/>
    <x v="4"/>
    <n v="45600"/>
    <x v="1"/>
    <n v="0.08"/>
    <n v="7820"/>
    <x v="1"/>
    <s v="Express"/>
    <s v="Delivered"/>
    <n v="4"/>
    <s v="December"/>
    <x v="1044"/>
    <n v="156"/>
    <n v="34610.064102564102"/>
    <n v="52"/>
  </r>
  <r>
    <s v="ORD1046"/>
    <x v="1045"/>
    <x v="240"/>
    <x v="140"/>
    <x v="12"/>
    <x v="1"/>
    <x v="0"/>
    <x v="0"/>
    <x v="0"/>
    <s v="Consumer"/>
    <x v="0"/>
    <s v="Accessories"/>
    <x v="5"/>
    <n v="6500"/>
    <x v="3"/>
    <n v="0.05"/>
    <n v="1730"/>
    <x v="0"/>
    <s v="Standard"/>
    <s v="Delivered"/>
    <n v="4"/>
    <s v="December"/>
    <x v="1045"/>
    <n v="155"/>
    <n v="34539.161290322583"/>
    <n v="52"/>
  </r>
  <r>
    <s v="ORD1047"/>
    <x v="1046"/>
    <x v="241"/>
    <x v="65"/>
    <x v="13"/>
    <x v="0"/>
    <x v="43"/>
    <x v="0"/>
    <x v="0"/>
    <s v="Consumer"/>
    <x v="0"/>
    <s v="Accessories"/>
    <x v="6"/>
    <n v="7850"/>
    <x v="10"/>
    <n v="0"/>
    <n v="2350"/>
    <x v="3"/>
    <s v="Standard"/>
    <s v="Delivered"/>
    <n v="3"/>
    <s v="December"/>
    <x v="1046"/>
    <n v="154"/>
    <n v="34721.233766233767"/>
    <n v="52"/>
  </r>
  <r>
    <s v="ORD1048"/>
    <x v="1047"/>
    <x v="242"/>
    <x v="72"/>
    <x v="0"/>
    <x v="1"/>
    <x v="3"/>
    <x v="0"/>
    <x v="0"/>
    <s v="Corporate"/>
    <x v="2"/>
    <s v="Paper"/>
    <x v="3"/>
    <n v="11800"/>
    <x v="2"/>
    <n v="0.02"/>
    <n v="2920"/>
    <x v="0"/>
    <s v="Standard"/>
    <s v="Delivered"/>
    <n v="5"/>
    <s v="December"/>
    <x v="1047"/>
    <n v="153"/>
    <n v="34896.862745098042"/>
    <n v="52"/>
  </r>
  <r>
    <s v="ORD1049"/>
    <x v="1048"/>
    <x v="243"/>
    <x v="141"/>
    <x v="27"/>
    <x v="0"/>
    <x v="10"/>
    <x v="0"/>
    <x v="0"/>
    <s v="Corporate"/>
    <x v="1"/>
    <s v="Storage"/>
    <x v="8"/>
    <n v="28900"/>
    <x v="0"/>
    <n v="0.1"/>
    <n v="5240"/>
    <x v="1"/>
    <s v="Express"/>
    <s v="Delivered"/>
    <n v="4"/>
    <s v="January"/>
    <x v="1048"/>
    <n v="152"/>
    <n v="35048.815789473687"/>
    <n v="52"/>
  </r>
  <r>
    <s v="ORD1050"/>
    <x v="1049"/>
    <x v="244"/>
    <x v="142"/>
    <x v="1"/>
    <x v="1"/>
    <x v="0"/>
    <x v="0"/>
    <x v="0"/>
    <s v="Consumer"/>
    <x v="0"/>
    <s v="Printers"/>
    <x v="9"/>
    <n v="31200"/>
    <x v="1"/>
    <n v="0.05"/>
    <n v="5950"/>
    <x v="0"/>
    <s v="Standard"/>
    <s v="Delivered"/>
    <n v="4"/>
    <s v="January"/>
    <x v="1049"/>
    <n v="151"/>
    <n v="35089.536423841062"/>
    <n v="52"/>
  </r>
  <r>
    <s v="ORD1051"/>
    <x v="1050"/>
    <x v="245"/>
    <x v="143"/>
    <x v="3"/>
    <x v="0"/>
    <x v="3"/>
    <x v="0"/>
    <x v="0"/>
    <s v="Consumer"/>
    <x v="2"/>
    <s v="Accessories"/>
    <x v="10"/>
    <n v="1890"/>
    <x v="11"/>
    <n v="0"/>
    <n v="580"/>
    <x v="2"/>
    <s v="Standard"/>
    <s v="Delivered"/>
    <n v="5"/>
    <s v="January"/>
    <x v="1050"/>
    <n v="150"/>
    <n v="35115.466666666667"/>
    <n v="52"/>
  </r>
  <r>
    <s v="ORD1052"/>
    <x v="1051"/>
    <x v="246"/>
    <x v="109"/>
    <x v="4"/>
    <x v="1"/>
    <x v="11"/>
    <x v="0"/>
    <x v="0"/>
    <s v="Corporate"/>
    <x v="1"/>
    <s v="Tables"/>
    <x v="11"/>
    <n v="46100"/>
    <x v="0"/>
    <n v="0.08"/>
    <n v="9700"/>
    <x v="1"/>
    <s v="Express"/>
    <s v="Delivered"/>
    <n v="4"/>
    <s v="January"/>
    <x v="1051"/>
    <n v="149"/>
    <n v="35338.456375838927"/>
    <n v="52"/>
  </r>
  <r>
    <s v="ORD1053"/>
    <x v="1052"/>
    <x v="77"/>
    <x v="58"/>
    <x v="8"/>
    <x v="0"/>
    <x v="6"/>
    <x v="0"/>
    <x v="0"/>
    <s v="Consumer"/>
    <x v="0"/>
    <s v="Computers"/>
    <x v="0"/>
    <n v="121800"/>
    <x v="0"/>
    <n v="0.1"/>
    <n v="14500"/>
    <x v="0"/>
    <s v="Express"/>
    <s v="Delivered"/>
    <n v="5"/>
    <s v="February"/>
    <x v="1052"/>
    <n v="148"/>
    <n v="35265.74324324324"/>
    <n v="52"/>
  </r>
  <r>
    <s v="ORD1054"/>
    <x v="1053"/>
    <x v="247"/>
    <x v="111"/>
    <x v="6"/>
    <x v="1"/>
    <x v="3"/>
    <x v="0"/>
    <x v="0"/>
    <s v="Consumer"/>
    <x v="2"/>
    <s v="Storage"/>
    <x v="12"/>
    <n v="2490"/>
    <x v="5"/>
    <n v="0.05"/>
    <n v="810"/>
    <x v="3"/>
    <s v="Standard"/>
    <s v="Delivered"/>
    <n v="4"/>
    <s v="February"/>
    <x v="1053"/>
    <n v="147"/>
    <n v="34677.074829931975"/>
    <n v="52"/>
  </r>
  <r>
    <s v="ORD1055"/>
    <x v="1054"/>
    <x v="54"/>
    <x v="115"/>
    <x v="7"/>
    <x v="0"/>
    <x v="0"/>
    <x v="0"/>
    <x v="0"/>
    <s v="Corporate"/>
    <x v="1"/>
    <s v="Chairs"/>
    <x v="1"/>
    <n v="23000"/>
    <x v="9"/>
    <n v="7.0000000000000007E-2"/>
    <n v="5350"/>
    <x v="1"/>
    <s v="Standard"/>
    <s v="Delivered"/>
    <n v="4"/>
    <s v="February"/>
    <x v="1054"/>
    <n v="146"/>
    <n v="34897.534246575342"/>
    <n v="52"/>
  </r>
  <r>
    <s v="ORD1056"/>
    <x v="1055"/>
    <x v="248"/>
    <x v="144"/>
    <x v="9"/>
    <x v="1"/>
    <x v="16"/>
    <x v="3"/>
    <x v="0"/>
    <s v="Consumer"/>
    <x v="0"/>
    <s v="Accessories"/>
    <x v="2"/>
    <n v="45500"/>
    <x v="1"/>
    <n v="0.05"/>
    <n v="8900"/>
    <x v="0"/>
    <s v="Express"/>
    <s v="Delivered"/>
    <n v="5"/>
    <s v="February"/>
    <x v="1055"/>
    <n v="145"/>
    <n v="34979.586206896551"/>
    <n v="52"/>
  </r>
  <r>
    <s v="ORD1057"/>
    <x v="1056"/>
    <x v="101"/>
    <x v="1"/>
    <x v="11"/>
    <x v="0"/>
    <x v="4"/>
    <x v="3"/>
    <x v="0"/>
    <s v="Corporate"/>
    <x v="2"/>
    <s v="Paper"/>
    <x v="3"/>
    <n v="12000"/>
    <x v="2"/>
    <n v="0.03"/>
    <n v="2980"/>
    <x v="2"/>
    <s v="Standard"/>
    <s v="Delivered"/>
    <n v="4"/>
    <s v="March"/>
    <x v="1056"/>
    <n v="144"/>
    <n v="34906.527777777781"/>
    <n v="52"/>
  </r>
  <r>
    <s v="ORD1058"/>
    <x v="1057"/>
    <x v="249"/>
    <x v="87"/>
    <x v="5"/>
    <x v="1"/>
    <x v="0"/>
    <x v="0"/>
    <x v="0"/>
    <s v="Consumer"/>
    <x v="1"/>
    <s v="Tables"/>
    <x v="4"/>
    <n v="43800"/>
    <x v="1"/>
    <n v="0.1"/>
    <n v="7200"/>
    <x v="0"/>
    <s v="Express"/>
    <s v="Delivered"/>
    <n v="5"/>
    <s v="March"/>
    <x v="1057"/>
    <n v="143"/>
    <n v="35066.71328671329"/>
    <n v="52"/>
  </r>
  <r>
    <s v="ORD1059"/>
    <x v="1058"/>
    <x v="198"/>
    <x v="10"/>
    <x v="16"/>
    <x v="0"/>
    <x v="3"/>
    <x v="0"/>
    <x v="0"/>
    <s v="Corporate"/>
    <x v="0"/>
    <s v="Accessories"/>
    <x v="5"/>
    <n v="7100"/>
    <x v="9"/>
    <n v="0.05"/>
    <n v="1870"/>
    <x v="1"/>
    <s v="Standard"/>
    <s v="Delivered"/>
    <n v="3"/>
    <s v="March"/>
    <x v="1058"/>
    <n v="142"/>
    <n v="35005.211267605635"/>
    <n v="52"/>
  </r>
  <r>
    <s v="ORD1060"/>
    <x v="1059"/>
    <x v="250"/>
    <x v="145"/>
    <x v="15"/>
    <x v="1"/>
    <x v="29"/>
    <x v="0"/>
    <x v="0"/>
    <s v="Consumer"/>
    <x v="0"/>
    <s v="Accessories"/>
    <x v="6"/>
    <n v="8100"/>
    <x v="12"/>
    <n v="0"/>
    <n v="2430"/>
    <x v="0"/>
    <s v="Standard"/>
    <s v="Delivered"/>
    <n v="4"/>
    <s v="March"/>
    <x v="1059"/>
    <n v="141"/>
    <n v="35203.120567375889"/>
    <n v="52"/>
  </r>
  <r>
    <s v="ORD1061"/>
    <x v="1060"/>
    <x v="130"/>
    <x v="110"/>
    <x v="10"/>
    <x v="0"/>
    <x v="10"/>
    <x v="0"/>
    <x v="0"/>
    <s v="Consumer"/>
    <x v="0"/>
    <s v="Computers"/>
    <x v="0"/>
    <n v="123600"/>
    <x v="0"/>
    <n v="0.05"/>
    <n v="15700"/>
    <x v="0"/>
    <s v="Express"/>
    <s v="Delivered"/>
    <n v="5"/>
    <s v="March"/>
    <x v="1060"/>
    <n v="140"/>
    <n v="35396.714285714283"/>
    <n v="52"/>
  </r>
  <r>
    <s v="ORD1062"/>
    <x v="1061"/>
    <x v="251"/>
    <x v="146"/>
    <x v="12"/>
    <x v="1"/>
    <x v="13"/>
    <x v="0"/>
    <x v="0"/>
    <s v="Corporate"/>
    <x v="1"/>
    <s v="Chairs"/>
    <x v="1"/>
    <n v="20400"/>
    <x v="3"/>
    <n v="0.1"/>
    <n v="4780"/>
    <x v="1"/>
    <s v="Standard"/>
    <s v="Delivered"/>
    <n v="4"/>
    <s v="April"/>
    <x v="1061"/>
    <n v="139"/>
    <n v="34762.158273381297"/>
    <n v="52"/>
  </r>
  <r>
    <s v="ORD1063"/>
    <x v="1062"/>
    <x v="252"/>
    <x v="139"/>
    <x v="2"/>
    <x v="0"/>
    <x v="0"/>
    <x v="0"/>
    <x v="0"/>
    <s v="Consumer"/>
    <x v="0"/>
    <s v="Accessories"/>
    <x v="2"/>
    <n v="46300"/>
    <x v="1"/>
    <n v="0.05"/>
    <n v="9050"/>
    <x v="2"/>
    <s v="Standard"/>
    <s v="Delivered"/>
    <n v="4"/>
    <s v="April"/>
    <x v="1062"/>
    <n v="138"/>
    <n v="34866.231884057968"/>
    <n v="52"/>
  </r>
  <r>
    <s v="ORD1064"/>
    <x v="1063"/>
    <x v="41"/>
    <x v="147"/>
    <x v="3"/>
    <x v="1"/>
    <x v="3"/>
    <x v="0"/>
    <x v="0"/>
    <s v="Consumer"/>
    <x v="2"/>
    <s v="Paper"/>
    <x v="7"/>
    <n v="1350"/>
    <x v="6"/>
    <n v="0.02"/>
    <n v="400"/>
    <x v="0"/>
    <s v="Standard"/>
    <s v="Delivered"/>
    <n v="5"/>
    <s v="April"/>
    <x v="1063"/>
    <n v="137"/>
    <n v="34782.773722627739"/>
    <n v="52"/>
  </r>
  <r>
    <s v="ORD1065"/>
    <x v="1064"/>
    <x v="253"/>
    <x v="119"/>
    <x v="24"/>
    <x v="0"/>
    <x v="11"/>
    <x v="0"/>
    <x v="0"/>
    <s v="Corporate"/>
    <x v="1"/>
    <s v="Tables"/>
    <x v="4"/>
    <n v="47000"/>
    <x v="1"/>
    <n v="0.08"/>
    <n v="8100"/>
    <x v="1"/>
    <s v="Express"/>
    <s v="Delivered"/>
    <n v="4"/>
    <s v="April"/>
    <x v="1064"/>
    <n v="136"/>
    <n v="35028.602941176468"/>
    <n v="52"/>
  </r>
  <r>
    <s v="ORD1066"/>
    <x v="1065"/>
    <x v="53"/>
    <x v="148"/>
    <x v="19"/>
    <x v="1"/>
    <x v="0"/>
    <x v="0"/>
    <x v="0"/>
    <s v="Consumer"/>
    <x v="0"/>
    <s v="Accessories"/>
    <x v="5"/>
    <n v="6700"/>
    <x v="3"/>
    <n v="0.05"/>
    <n v="1780"/>
    <x v="0"/>
    <s v="Standard"/>
    <s v="Delivered"/>
    <n v="4"/>
    <s v="May"/>
    <x v="1065"/>
    <n v="135"/>
    <n v="34939.925925925927"/>
    <n v="52"/>
  </r>
  <r>
    <s v="ORD1067"/>
    <x v="1066"/>
    <x v="254"/>
    <x v="149"/>
    <x v="4"/>
    <x v="0"/>
    <x v="6"/>
    <x v="0"/>
    <x v="0"/>
    <s v="Consumer"/>
    <x v="0"/>
    <s v="Accessories"/>
    <x v="6"/>
    <n v="8250"/>
    <x v="10"/>
    <n v="0"/>
    <n v="2480"/>
    <x v="3"/>
    <s v="Standard"/>
    <s v="Delivered"/>
    <n v="3"/>
    <s v="May"/>
    <x v="1066"/>
    <n v="134"/>
    <n v="35150.671641791043"/>
    <n v="52"/>
  </r>
  <r>
    <s v="ORD1068"/>
    <x v="1067"/>
    <x v="255"/>
    <x v="150"/>
    <x v="0"/>
    <x v="1"/>
    <x v="38"/>
    <x v="0"/>
    <x v="0"/>
    <s v="Corporate"/>
    <x v="2"/>
    <s v="Paper"/>
    <x v="3"/>
    <n v="12200"/>
    <x v="2"/>
    <n v="0.02"/>
    <n v="3040"/>
    <x v="0"/>
    <s v="Standard"/>
    <s v="Delivered"/>
    <n v="5"/>
    <s v="May"/>
    <x v="1067"/>
    <n v="133"/>
    <n v="35352.932330827069"/>
    <n v="52"/>
  </r>
  <r>
    <s v="ORD1069"/>
    <x v="1068"/>
    <x v="256"/>
    <x v="151"/>
    <x v="22"/>
    <x v="0"/>
    <x v="32"/>
    <x v="0"/>
    <x v="0"/>
    <s v="Corporate"/>
    <x v="1"/>
    <s v="Storage"/>
    <x v="8"/>
    <n v="29600"/>
    <x v="0"/>
    <n v="0.1"/>
    <n v="5360"/>
    <x v="1"/>
    <s v="Express"/>
    <s v="Delivered"/>
    <n v="4"/>
    <s v="May"/>
    <x v="1068"/>
    <n v="132"/>
    <n v="35528.333333333336"/>
    <n v="52"/>
  </r>
  <r>
    <s v="ORD1070"/>
    <x v="1069"/>
    <x v="257"/>
    <x v="78"/>
    <x v="16"/>
    <x v="1"/>
    <x v="3"/>
    <x v="0"/>
    <x v="0"/>
    <s v="Consumer"/>
    <x v="0"/>
    <s v="Printers"/>
    <x v="9"/>
    <n v="31900"/>
    <x v="1"/>
    <n v="0.05"/>
    <n v="6100"/>
    <x v="0"/>
    <s v="Standard"/>
    <s v="Delivered"/>
    <n v="4"/>
    <s v="June"/>
    <x v="1069"/>
    <n v="131"/>
    <n v="35573.587786259544"/>
    <n v="52"/>
  </r>
  <r>
    <s v="ORD1071"/>
    <x v="1070"/>
    <x v="36"/>
    <x v="152"/>
    <x v="6"/>
    <x v="0"/>
    <x v="0"/>
    <x v="0"/>
    <x v="0"/>
    <s v="Consumer"/>
    <x v="2"/>
    <s v="Accessories"/>
    <x v="10"/>
    <n v="1920"/>
    <x v="11"/>
    <n v="0"/>
    <n v="590"/>
    <x v="2"/>
    <s v="Standard"/>
    <s v="Delivered"/>
    <n v="5"/>
    <s v="June"/>
    <x v="1070"/>
    <n v="130"/>
    <n v="35601.846153846156"/>
    <n v="52"/>
  </r>
  <r>
    <s v="ORD1072"/>
    <x v="1071"/>
    <x v="258"/>
    <x v="153"/>
    <x v="10"/>
    <x v="1"/>
    <x v="10"/>
    <x v="0"/>
    <x v="0"/>
    <s v="Corporate"/>
    <x v="1"/>
    <s v="Tables"/>
    <x v="11"/>
    <n v="47000"/>
    <x v="0"/>
    <n v="0.08"/>
    <n v="9850"/>
    <x v="1"/>
    <s v="Express"/>
    <s v="Delivered"/>
    <n v="4"/>
    <s v="June"/>
    <x v="1071"/>
    <n v="129"/>
    <n v="35862.945736434107"/>
    <n v="52"/>
  </r>
  <r>
    <s v="ORD1073"/>
    <x v="1072"/>
    <x v="259"/>
    <x v="80"/>
    <x v="23"/>
    <x v="0"/>
    <x v="3"/>
    <x v="0"/>
    <x v="0"/>
    <s v="Consumer"/>
    <x v="0"/>
    <s v="Computers"/>
    <x v="0"/>
    <n v="126500"/>
    <x v="0"/>
    <n v="0.1"/>
    <n v="15100"/>
    <x v="0"/>
    <s v="Express"/>
    <s v="Delivered"/>
    <n v="5"/>
    <s v="June"/>
    <x v="1072"/>
    <n v="128"/>
    <n v="35775.9375"/>
    <n v="52"/>
  </r>
  <r>
    <s v="ORD1074"/>
    <x v="1073"/>
    <x v="260"/>
    <x v="154"/>
    <x v="15"/>
    <x v="1"/>
    <x v="11"/>
    <x v="0"/>
    <x v="0"/>
    <s v="Consumer"/>
    <x v="2"/>
    <s v="Storage"/>
    <x v="12"/>
    <n v="2570"/>
    <x v="5"/>
    <n v="0.05"/>
    <n v="840"/>
    <x v="3"/>
    <s v="Standard"/>
    <s v="Delivered"/>
    <n v="4"/>
    <s v="June"/>
    <x v="1073"/>
    <n v="127"/>
    <n v="35061.574803149604"/>
    <n v="52"/>
  </r>
  <r>
    <s v="ORD1075"/>
    <x v="1074"/>
    <x v="261"/>
    <x v="16"/>
    <x v="14"/>
    <x v="0"/>
    <x v="12"/>
    <x v="0"/>
    <x v="0"/>
    <s v="Corporate"/>
    <x v="1"/>
    <s v="Chairs"/>
    <x v="1"/>
    <n v="23800"/>
    <x v="9"/>
    <n v="7.0000000000000007E-2"/>
    <n v="5550"/>
    <x v="1"/>
    <s v="Standard"/>
    <s v="Delivered"/>
    <n v="4"/>
    <s v="July"/>
    <x v="1074"/>
    <n v="126"/>
    <n v="35319.444444444445"/>
    <n v="52"/>
  </r>
  <r>
    <s v="ORD1076"/>
    <x v="1075"/>
    <x v="262"/>
    <x v="155"/>
    <x v="5"/>
    <x v="1"/>
    <x v="14"/>
    <x v="8"/>
    <x v="0"/>
    <s v="Consumer"/>
    <x v="0"/>
    <s v="Accessories"/>
    <x v="2"/>
    <n v="47200"/>
    <x v="1"/>
    <n v="0.05"/>
    <n v="9250"/>
    <x v="0"/>
    <s v="Express"/>
    <s v="Delivered"/>
    <n v="5"/>
    <s v="July"/>
    <x v="1075"/>
    <n v="125"/>
    <n v="35411.599999999999"/>
    <n v="52"/>
  </r>
  <r>
    <s v="ORD1077"/>
    <x v="1076"/>
    <x v="79"/>
    <x v="156"/>
    <x v="18"/>
    <x v="0"/>
    <x v="29"/>
    <x v="0"/>
    <x v="0"/>
    <s v="Corporate"/>
    <x v="2"/>
    <s v="Paper"/>
    <x v="3"/>
    <n v="12600"/>
    <x v="2"/>
    <n v="0.03"/>
    <n v="3140"/>
    <x v="2"/>
    <s v="Standard"/>
    <s v="Delivered"/>
    <n v="4"/>
    <s v="July"/>
    <x v="1076"/>
    <n v="124"/>
    <n v="35316.532258064515"/>
    <n v="52"/>
  </r>
  <r>
    <s v="ORD1078"/>
    <x v="1077"/>
    <x v="100"/>
    <x v="157"/>
    <x v="17"/>
    <x v="1"/>
    <x v="43"/>
    <x v="0"/>
    <x v="0"/>
    <s v="Consumer"/>
    <x v="1"/>
    <s v="Tables"/>
    <x v="4"/>
    <n v="45100"/>
    <x v="1"/>
    <n v="0.1"/>
    <n v="7400"/>
    <x v="0"/>
    <s v="Express"/>
    <s v="Delivered"/>
    <n v="5"/>
    <s v="July"/>
    <x v="1077"/>
    <n v="123"/>
    <n v="35501.219512195123"/>
    <n v="52"/>
  </r>
  <r>
    <s v="ORD1079"/>
    <x v="1078"/>
    <x v="99"/>
    <x v="158"/>
    <x v="25"/>
    <x v="0"/>
    <x v="3"/>
    <x v="0"/>
    <x v="0"/>
    <s v="Corporate"/>
    <x v="0"/>
    <s v="Accessories"/>
    <x v="5"/>
    <n v="7250"/>
    <x v="9"/>
    <n v="0.05"/>
    <n v="1910"/>
    <x v="1"/>
    <s v="Standard"/>
    <s v="Delivered"/>
    <n v="3"/>
    <s v="August"/>
    <x v="1078"/>
    <n v="122"/>
    <n v="35422.540983606559"/>
    <n v="52"/>
  </r>
  <r>
    <s v="ORD1080"/>
    <x v="1079"/>
    <x v="116"/>
    <x v="159"/>
    <x v="6"/>
    <x v="1"/>
    <x v="0"/>
    <x v="0"/>
    <x v="0"/>
    <s v="Consumer"/>
    <x v="0"/>
    <s v="Accessories"/>
    <x v="6"/>
    <n v="8400"/>
    <x v="12"/>
    <n v="0"/>
    <n v="2520"/>
    <x v="0"/>
    <s v="Standard"/>
    <s v="Delivered"/>
    <n v="4"/>
    <s v="August"/>
    <x v="1079"/>
    <n v="121"/>
    <n v="35655.371900826445"/>
    <n v="52"/>
  </r>
  <r>
    <s v="ORD1081"/>
    <x v="1080"/>
    <x v="66"/>
    <x v="160"/>
    <x v="13"/>
    <x v="0"/>
    <x v="10"/>
    <x v="0"/>
    <x v="0"/>
    <s v="Consumer"/>
    <x v="0"/>
    <s v="Computers"/>
    <x v="0"/>
    <n v="128200"/>
    <x v="0"/>
    <n v="0.05"/>
    <n v="16000"/>
    <x v="0"/>
    <s v="Express"/>
    <s v="Delivered"/>
    <n v="5"/>
    <s v="August"/>
    <x v="1080"/>
    <n v="120"/>
    <n v="35882.5"/>
    <n v="52"/>
  </r>
  <r>
    <s v="ORD1082"/>
    <x v="1081"/>
    <x v="263"/>
    <x v="161"/>
    <x v="0"/>
    <x v="1"/>
    <x v="3"/>
    <x v="0"/>
    <x v="0"/>
    <s v="Corporate"/>
    <x v="1"/>
    <s v="Chairs"/>
    <x v="1"/>
    <n v="21100"/>
    <x v="3"/>
    <n v="0.1"/>
    <n v="4920"/>
    <x v="1"/>
    <s v="Standard"/>
    <s v="Delivered"/>
    <n v="4"/>
    <s v="August"/>
    <x v="1081"/>
    <n v="119"/>
    <n v="35106.722689075628"/>
    <n v="52"/>
  </r>
  <r>
    <s v="ORD1083"/>
    <x v="1082"/>
    <x v="60"/>
    <x v="143"/>
    <x v="1"/>
    <x v="0"/>
    <x v="0"/>
    <x v="0"/>
    <x v="0"/>
    <s v="Consumer"/>
    <x v="0"/>
    <s v="Accessories"/>
    <x v="2"/>
    <n v="48100"/>
    <x v="1"/>
    <n v="0.05"/>
    <n v="9450"/>
    <x v="2"/>
    <s v="Standard"/>
    <s v="Delivered"/>
    <n v="4"/>
    <s v="September"/>
    <x v="1082"/>
    <n v="118"/>
    <n v="35225.423728813563"/>
    <n v="52"/>
  </r>
  <r>
    <s v="ORD1084"/>
    <x v="1083"/>
    <x v="264"/>
    <x v="128"/>
    <x v="12"/>
    <x v="1"/>
    <x v="11"/>
    <x v="0"/>
    <x v="0"/>
    <s v="Consumer"/>
    <x v="2"/>
    <s v="Paper"/>
    <x v="7"/>
    <n v="1380"/>
    <x v="6"/>
    <n v="0.02"/>
    <n v="410"/>
    <x v="0"/>
    <s v="Standard"/>
    <s v="Delivered"/>
    <n v="5"/>
    <s v="September"/>
    <x v="1083"/>
    <n v="117"/>
    <n v="35115.384615384617"/>
    <n v="52"/>
  </r>
  <r>
    <s v="ORD1085"/>
    <x v="1084"/>
    <x v="265"/>
    <x v="30"/>
    <x v="8"/>
    <x v="0"/>
    <x v="3"/>
    <x v="0"/>
    <x v="0"/>
    <s v="Corporate"/>
    <x v="1"/>
    <s v="Tables"/>
    <x v="4"/>
    <n v="48200"/>
    <x v="1"/>
    <n v="0.08"/>
    <n v="8300"/>
    <x v="1"/>
    <s v="Express"/>
    <s v="Delivered"/>
    <n v="4"/>
    <s v="September"/>
    <x v="1084"/>
    <n v="116"/>
    <n v="35406.206896551725"/>
    <n v="52"/>
  </r>
  <r>
    <s v="ORD1086"/>
    <x v="1085"/>
    <x v="82"/>
    <x v="40"/>
    <x v="3"/>
    <x v="1"/>
    <x v="14"/>
    <x v="8"/>
    <x v="0"/>
    <s v="Consumer"/>
    <x v="0"/>
    <s v="Accessories"/>
    <x v="5"/>
    <n v="6900"/>
    <x v="3"/>
    <n v="0.05"/>
    <n v="1840"/>
    <x v="0"/>
    <s v="Standard"/>
    <s v="Delivered"/>
    <n v="4"/>
    <s v="September"/>
    <x v="1085"/>
    <n v="115"/>
    <n v="35294.956521739128"/>
    <n v="52"/>
  </r>
  <r>
    <s v="ORD1087"/>
    <x v="1086"/>
    <x v="266"/>
    <x v="14"/>
    <x v="20"/>
    <x v="0"/>
    <x v="10"/>
    <x v="0"/>
    <x v="0"/>
    <s v="Consumer"/>
    <x v="0"/>
    <s v="Accessories"/>
    <x v="6"/>
    <n v="8550"/>
    <x v="10"/>
    <n v="0"/>
    <n v="2570"/>
    <x v="3"/>
    <s v="Standard"/>
    <s v="Delivered"/>
    <n v="3"/>
    <s v="September"/>
    <x v="1086"/>
    <n v="114"/>
    <n v="35544.035087719298"/>
    <n v="52"/>
  </r>
  <r>
    <s v="ORD1088"/>
    <x v="1087"/>
    <x v="267"/>
    <x v="0"/>
    <x v="19"/>
    <x v="1"/>
    <x v="12"/>
    <x v="0"/>
    <x v="0"/>
    <s v="Corporate"/>
    <x v="2"/>
    <s v="Paper"/>
    <x v="3"/>
    <n v="12800"/>
    <x v="2"/>
    <n v="0.02"/>
    <n v="3180"/>
    <x v="0"/>
    <s v="Standard"/>
    <s v="Delivered"/>
    <n v="5"/>
    <s v="October"/>
    <x v="1087"/>
    <n v="113"/>
    <n v="35782.920353982299"/>
    <n v="52"/>
  </r>
  <r>
    <s v="ORD1089"/>
    <x v="1088"/>
    <x v="268"/>
    <x v="162"/>
    <x v="2"/>
    <x v="0"/>
    <x v="13"/>
    <x v="0"/>
    <x v="0"/>
    <s v="Corporate"/>
    <x v="1"/>
    <s v="Storage"/>
    <x v="8"/>
    <n v="30300"/>
    <x v="0"/>
    <n v="0.1"/>
    <n v="5480"/>
    <x v="1"/>
    <s v="Express"/>
    <s v="Delivered"/>
    <n v="4"/>
    <s v="October"/>
    <x v="1088"/>
    <n v="112"/>
    <n v="35988.125"/>
    <n v="52"/>
  </r>
  <r>
    <s v="ORD1090"/>
    <x v="1089"/>
    <x v="100"/>
    <x v="163"/>
    <x v="15"/>
    <x v="1"/>
    <x v="6"/>
    <x v="0"/>
    <x v="0"/>
    <s v="Consumer"/>
    <x v="0"/>
    <s v="Printers"/>
    <x v="9"/>
    <n v="32600"/>
    <x v="1"/>
    <n v="0.05"/>
    <n v="6200"/>
    <x v="0"/>
    <s v="Standard"/>
    <s v="Delivered"/>
    <n v="4"/>
    <s v="October"/>
    <x v="1089"/>
    <n v="111"/>
    <n v="36039.369369369371"/>
    <n v="52"/>
  </r>
  <r>
    <s v="ORD1091"/>
    <x v="1090"/>
    <x v="269"/>
    <x v="164"/>
    <x v="16"/>
    <x v="0"/>
    <x v="3"/>
    <x v="0"/>
    <x v="0"/>
    <s v="Consumer"/>
    <x v="2"/>
    <s v="Accessories"/>
    <x v="10"/>
    <n v="1950"/>
    <x v="11"/>
    <n v="0"/>
    <n v="600"/>
    <x v="2"/>
    <s v="Standard"/>
    <s v="Delivered"/>
    <n v="5"/>
    <s v="October"/>
    <x v="1090"/>
    <n v="110"/>
    <n v="36070.63636363636"/>
    <n v="52"/>
  </r>
  <r>
    <s v="ORD1092"/>
    <x v="1091"/>
    <x v="270"/>
    <x v="125"/>
    <x v="4"/>
    <x v="1"/>
    <x v="0"/>
    <x v="0"/>
    <x v="0"/>
    <s v="Corporate"/>
    <x v="1"/>
    <s v="Tables"/>
    <x v="11"/>
    <n v="47900"/>
    <x v="0"/>
    <n v="0.08"/>
    <n v="10050"/>
    <x v="1"/>
    <s v="Express"/>
    <s v="Delivered"/>
    <n v="4"/>
    <s v="November"/>
    <x v="1091"/>
    <n v="109"/>
    <n v="36383.66972477064"/>
    <n v="52"/>
  </r>
  <r>
    <s v="ORD1093"/>
    <x v="1092"/>
    <x v="271"/>
    <x v="66"/>
    <x v="5"/>
    <x v="0"/>
    <x v="11"/>
    <x v="0"/>
    <x v="0"/>
    <s v="Consumer"/>
    <x v="0"/>
    <s v="Computers"/>
    <x v="0"/>
    <n v="130800"/>
    <x v="0"/>
    <n v="0.1"/>
    <n v="15300"/>
    <x v="0"/>
    <s v="Express"/>
    <s v="Delivered"/>
    <n v="5"/>
    <s v="November"/>
    <x v="1092"/>
    <n v="108"/>
    <n v="36277.037037037036"/>
    <n v="52"/>
  </r>
  <r>
    <s v="ORD1094"/>
    <x v="1093"/>
    <x v="272"/>
    <x v="165"/>
    <x v="9"/>
    <x v="1"/>
    <x v="42"/>
    <x v="0"/>
    <x v="0"/>
    <s v="Consumer"/>
    <x v="2"/>
    <s v="Storage"/>
    <x v="12"/>
    <n v="2650"/>
    <x v="5"/>
    <n v="0.05"/>
    <n v="870"/>
    <x v="3"/>
    <s v="Standard"/>
    <s v="Delivered"/>
    <n v="4"/>
    <s v="November"/>
    <x v="1093"/>
    <n v="107"/>
    <n v="35393.644859813081"/>
    <n v="52"/>
  </r>
  <r>
    <s v="ORD1095"/>
    <x v="1094"/>
    <x v="93"/>
    <x v="68"/>
    <x v="22"/>
    <x v="0"/>
    <x v="3"/>
    <x v="0"/>
    <x v="0"/>
    <s v="Corporate"/>
    <x v="1"/>
    <s v="Chairs"/>
    <x v="1"/>
    <n v="24600"/>
    <x v="9"/>
    <n v="7.0000000000000007E-2"/>
    <n v="5750"/>
    <x v="1"/>
    <s v="Standard"/>
    <s v="Delivered"/>
    <n v="4"/>
    <s v="November"/>
    <x v="1094"/>
    <n v="106"/>
    <n v="35702.547169811318"/>
    <n v="52"/>
  </r>
  <r>
    <s v="ORD1096"/>
    <x v="1095"/>
    <x v="273"/>
    <x v="85"/>
    <x v="6"/>
    <x v="1"/>
    <x v="10"/>
    <x v="0"/>
    <x v="0"/>
    <s v="Consumer"/>
    <x v="0"/>
    <s v="Accessories"/>
    <x v="2"/>
    <n v="49000"/>
    <x v="1"/>
    <n v="0.05"/>
    <n v="9650"/>
    <x v="0"/>
    <s v="Express"/>
    <s v="Delivered"/>
    <n v="5"/>
    <s v="December"/>
    <x v="1095"/>
    <n v="105"/>
    <n v="35808.285714285717"/>
    <n v="52"/>
  </r>
  <r>
    <s v="ORD1097"/>
    <x v="1096"/>
    <x v="32"/>
    <x v="128"/>
    <x v="7"/>
    <x v="0"/>
    <x v="0"/>
    <x v="0"/>
    <x v="0"/>
    <s v="Corporate"/>
    <x v="2"/>
    <s v="Paper"/>
    <x v="3"/>
    <n v="13000"/>
    <x v="2"/>
    <n v="0.03"/>
    <n v="3220"/>
    <x v="2"/>
    <s v="Standard"/>
    <s v="Delivered"/>
    <n v="4"/>
    <s v="December"/>
    <x v="1096"/>
    <n v="104"/>
    <n v="35681.442307692305"/>
    <n v="52"/>
  </r>
  <r>
    <s v="ORD1098"/>
    <x v="1097"/>
    <x v="249"/>
    <x v="9"/>
    <x v="10"/>
    <x v="1"/>
    <x v="3"/>
    <x v="0"/>
    <x v="0"/>
    <s v="Consumer"/>
    <x v="1"/>
    <s v="Tables"/>
    <x v="4"/>
    <n v="46300"/>
    <x v="1"/>
    <n v="0.1"/>
    <n v="7600"/>
    <x v="0"/>
    <s v="Express"/>
    <s v="Delivered"/>
    <n v="5"/>
    <s v="December"/>
    <x v="1097"/>
    <n v="103"/>
    <n v="35901.65048543689"/>
    <n v="52"/>
  </r>
  <r>
    <s v="ORD1099"/>
    <x v="1098"/>
    <x v="24"/>
    <x v="163"/>
    <x v="11"/>
    <x v="0"/>
    <x v="6"/>
    <x v="0"/>
    <x v="0"/>
    <s v="Corporate"/>
    <x v="0"/>
    <s v="Accessories"/>
    <x v="5"/>
    <n v="7400"/>
    <x v="9"/>
    <n v="0.05"/>
    <n v="1960"/>
    <x v="1"/>
    <s v="Standard"/>
    <s v="Delivered"/>
    <n v="3"/>
    <s v="December"/>
    <x v="1098"/>
    <n v="102"/>
    <n v="35799.705882352944"/>
    <n v="52"/>
  </r>
  <r>
    <s v="ORD1100"/>
    <x v="1099"/>
    <x v="5"/>
    <x v="123"/>
    <x v="0"/>
    <x v="1"/>
    <x v="11"/>
    <x v="0"/>
    <x v="0"/>
    <s v="Consumer"/>
    <x v="0"/>
    <s v="Accessories"/>
    <x v="6"/>
    <n v="8700"/>
    <x v="12"/>
    <n v="0"/>
    <n v="2610"/>
    <x v="0"/>
    <s v="Standard"/>
    <s v="Delivered"/>
    <n v="4"/>
    <s v="December"/>
    <x v="1099"/>
    <n v="101"/>
    <n v="36080.891089108911"/>
    <n v="52"/>
  </r>
  <r>
    <s v="ORD1101"/>
    <x v="1100"/>
    <x v="20"/>
    <x v="133"/>
    <x v="1"/>
    <x v="0"/>
    <x v="0"/>
    <x v="0"/>
    <x v="0"/>
    <s v="Consumer"/>
    <x v="0"/>
    <s v="Computers"/>
    <x v="0"/>
    <n v="132500"/>
    <x v="0"/>
    <n v="0.05"/>
    <n v="16500"/>
    <x v="0"/>
    <s v="Express"/>
    <s v="Delivered"/>
    <n v="5"/>
    <s v="January"/>
    <x v="1100"/>
    <n v="100"/>
    <n v="36354.699999999997"/>
    <n v="52"/>
  </r>
  <r>
    <s v="ORD1102"/>
    <x v="1101"/>
    <x v="274"/>
    <x v="141"/>
    <x v="15"/>
    <x v="1"/>
    <x v="3"/>
    <x v="0"/>
    <x v="0"/>
    <s v="Corporate"/>
    <x v="1"/>
    <s v="Chairs"/>
    <x v="1"/>
    <n v="21700"/>
    <x v="3"/>
    <n v="0.1"/>
    <n v="5050"/>
    <x v="1"/>
    <s v="Standard"/>
    <s v="Delivered"/>
    <n v="4"/>
    <s v="January"/>
    <x v="1101"/>
    <n v="99"/>
    <n v="35383.535353535357"/>
    <n v="52"/>
  </r>
  <r>
    <s v="ORD1103"/>
    <x v="1102"/>
    <x v="207"/>
    <x v="132"/>
    <x v="14"/>
    <x v="0"/>
    <x v="10"/>
    <x v="0"/>
    <x v="0"/>
    <s v="Consumer"/>
    <x v="0"/>
    <s v="Accessories"/>
    <x v="2"/>
    <n v="49900"/>
    <x v="1"/>
    <n v="0.05"/>
    <n v="9850"/>
    <x v="2"/>
    <s v="Standard"/>
    <s v="Delivered"/>
    <n v="4"/>
    <s v="January"/>
    <x v="1102"/>
    <n v="98"/>
    <n v="35523.163265306124"/>
    <n v="52"/>
  </r>
  <r>
    <s v="ORD1104"/>
    <x v="1103"/>
    <x v="124"/>
    <x v="136"/>
    <x v="12"/>
    <x v="1"/>
    <x v="6"/>
    <x v="0"/>
    <x v="0"/>
    <s v="Consumer"/>
    <x v="2"/>
    <s v="Paper"/>
    <x v="7"/>
    <n v="1410"/>
    <x v="6"/>
    <n v="0.02"/>
    <n v="420"/>
    <x v="0"/>
    <s v="Standard"/>
    <s v="Delivered"/>
    <n v="5"/>
    <s v="January"/>
    <x v="1103"/>
    <n v="97"/>
    <n v="35374.948453608245"/>
    <n v="52"/>
  </r>
  <r>
    <s v="ORD1105"/>
    <x v="1104"/>
    <x v="113"/>
    <x v="147"/>
    <x v="24"/>
    <x v="0"/>
    <x v="0"/>
    <x v="0"/>
    <x v="0"/>
    <s v="Corporate"/>
    <x v="1"/>
    <s v="Tables"/>
    <x v="4"/>
    <n v="49100"/>
    <x v="1"/>
    <n v="0.08"/>
    <n v="8500"/>
    <x v="1"/>
    <s v="Express"/>
    <s v="Delivered"/>
    <n v="4"/>
    <s v="February"/>
    <x v="1104"/>
    <n v="96"/>
    <n v="35728.75"/>
    <n v="52"/>
  </r>
  <r>
    <s v="ORD1106"/>
    <x v="1105"/>
    <x v="96"/>
    <x v="148"/>
    <x v="19"/>
    <x v="1"/>
    <x v="3"/>
    <x v="0"/>
    <x v="0"/>
    <s v="Consumer"/>
    <x v="0"/>
    <s v="Accessories"/>
    <x v="5"/>
    <n v="7100"/>
    <x v="3"/>
    <n v="0.05"/>
    <n v="1890"/>
    <x v="0"/>
    <s v="Standard"/>
    <s v="Delivered"/>
    <n v="4"/>
    <s v="February"/>
    <x v="1105"/>
    <n v="95"/>
    <n v="35588"/>
    <n v="52"/>
  </r>
  <r>
    <s v="ORD1107"/>
    <x v="1106"/>
    <x v="275"/>
    <x v="149"/>
    <x v="13"/>
    <x v="0"/>
    <x v="11"/>
    <x v="0"/>
    <x v="0"/>
    <s v="Consumer"/>
    <x v="0"/>
    <s v="Accessories"/>
    <x v="6"/>
    <n v="8900"/>
    <x v="10"/>
    <n v="0"/>
    <n v="2670"/>
    <x v="3"/>
    <s v="Standard"/>
    <s v="Delivered"/>
    <n v="3"/>
    <s v="February"/>
    <x v="1106"/>
    <n v="94"/>
    <n v="35891.063829787236"/>
    <n v="52"/>
  </r>
  <r>
    <s v="ORD1108"/>
    <x v="1107"/>
    <x v="276"/>
    <x v="166"/>
    <x v="3"/>
    <x v="1"/>
    <x v="42"/>
    <x v="0"/>
    <x v="0"/>
    <s v="Corporate"/>
    <x v="2"/>
    <s v="Paper"/>
    <x v="3"/>
    <n v="13200"/>
    <x v="2"/>
    <n v="0.02"/>
    <n v="3280"/>
    <x v="0"/>
    <s v="Standard"/>
    <s v="Delivered"/>
    <n v="5"/>
    <s v="February"/>
    <x v="1107"/>
    <n v="93"/>
    <n v="36181.290322580644"/>
    <n v="52"/>
  </r>
  <r>
    <s v="ORD1109"/>
    <x v="1108"/>
    <x v="22"/>
    <x v="78"/>
    <x v="18"/>
    <x v="0"/>
    <x v="10"/>
    <x v="0"/>
    <x v="0"/>
    <s v="Corporate"/>
    <x v="1"/>
    <s v="Storage"/>
    <x v="8"/>
    <n v="31000"/>
    <x v="0"/>
    <n v="0.1"/>
    <n v="5600"/>
    <x v="1"/>
    <s v="Express"/>
    <s v="Delivered"/>
    <n v="4"/>
    <s v="March"/>
    <x v="1108"/>
    <n v="92"/>
    <n v="36431.086956521736"/>
    <n v="52"/>
  </r>
  <r>
    <s v="ORD1110"/>
    <x v="1109"/>
    <x v="110"/>
    <x v="57"/>
    <x v="6"/>
    <x v="1"/>
    <x v="14"/>
    <x v="8"/>
    <x v="0"/>
    <s v="Consumer"/>
    <x v="0"/>
    <s v="Printers"/>
    <x v="9"/>
    <n v="33400"/>
    <x v="1"/>
    <n v="0.05"/>
    <n v="6350"/>
    <x v="0"/>
    <s v="Standard"/>
    <s v="Delivered"/>
    <n v="4"/>
    <s v="March"/>
    <x v="1109"/>
    <n v="91"/>
    <n v="36490.769230769234"/>
    <n v="52"/>
  </r>
  <r>
    <s v="ORD1111"/>
    <x v="1110"/>
    <x v="277"/>
    <x v="139"/>
    <x v="4"/>
    <x v="0"/>
    <x v="0"/>
    <x v="0"/>
    <x v="0"/>
    <s v="Consumer"/>
    <x v="2"/>
    <s v="Accessories"/>
    <x v="10"/>
    <n v="2010"/>
    <x v="11"/>
    <n v="0"/>
    <n v="620"/>
    <x v="2"/>
    <s v="Standard"/>
    <s v="Delivered"/>
    <n v="5"/>
    <s v="March"/>
    <x v="1110"/>
    <n v="90"/>
    <n v="36525.111111111109"/>
    <n v="52"/>
  </r>
  <r>
    <s v="ORD1112"/>
    <x v="1111"/>
    <x v="263"/>
    <x v="109"/>
    <x v="16"/>
    <x v="1"/>
    <x v="3"/>
    <x v="0"/>
    <x v="0"/>
    <s v="Corporate"/>
    <x v="1"/>
    <s v="Tables"/>
    <x v="11"/>
    <n v="48800"/>
    <x v="0"/>
    <n v="0.08"/>
    <n v="10200"/>
    <x v="1"/>
    <s v="Express"/>
    <s v="Delivered"/>
    <n v="4"/>
    <s v="March"/>
    <x v="1111"/>
    <n v="89"/>
    <n v="36912.921348314609"/>
    <n v="52"/>
  </r>
  <r>
    <s v="ORD1113"/>
    <x v="1112"/>
    <x v="200"/>
    <x v="128"/>
    <x v="0"/>
    <x v="0"/>
    <x v="6"/>
    <x v="0"/>
    <x v="0"/>
    <s v="Consumer"/>
    <x v="0"/>
    <s v="Computers"/>
    <x v="0"/>
    <n v="134000"/>
    <x v="0"/>
    <n v="0.1"/>
    <n v="15600"/>
    <x v="0"/>
    <s v="Express"/>
    <s v="Delivered"/>
    <n v="5"/>
    <s v="March"/>
    <x v="1112"/>
    <n v="88"/>
    <n v="36777.840909090912"/>
    <n v="52"/>
  </r>
  <r>
    <s v="ORD1114"/>
    <x v="1113"/>
    <x v="67"/>
    <x v="68"/>
    <x v="5"/>
    <x v="1"/>
    <x v="11"/>
    <x v="0"/>
    <x v="0"/>
    <s v="Consumer"/>
    <x v="2"/>
    <s v="Storage"/>
    <x v="12"/>
    <n v="2700"/>
    <x v="5"/>
    <n v="0.05"/>
    <n v="890"/>
    <x v="3"/>
    <s v="Standard"/>
    <s v="Delivered"/>
    <n v="4"/>
    <s v="April"/>
    <x v="1113"/>
    <n v="87"/>
    <n v="35660.34482758621"/>
    <n v="52"/>
  </r>
  <r>
    <s v="ORD1115"/>
    <x v="1114"/>
    <x v="0"/>
    <x v="146"/>
    <x v="8"/>
    <x v="0"/>
    <x v="13"/>
    <x v="0"/>
    <x v="0"/>
    <s v="Corporate"/>
    <x v="1"/>
    <s v="Chairs"/>
    <x v="1"/>
    <n v="25400"/>
    <x v="9"/>
    <n v="7.0000000000000007E-2"/>
    <n v="5950"/>
    <x v="1"/>
    <s v="Standard"/>
    <s v="Delivered"/>
    <n v="4"/>
    <s v="April"/>
    <x v="1114"/>
    <n v="86"/>
    <n v="36043.604651162794"/>
    <n v="52"/>
  </r>
  <r>
    <s v="ORD1116"/>
    <x v="1115"/>
    <x v="116"/>
    <x v="47"/>
    <x v="17"/>
    <x v="1"/>
    <x v="3"/>
    <x v="0"/>
    <x v="0"/>
    <s v="Consumer"/>
    <x v="0"/>
    <s v="Accessories"/>
    <x v="2"/>
    <n v="50800"/>
    <x v="1"/>
    <n v="0.05"/>
    <n v="10000"/>
    <x v="0"/>
    <s v="Express"/>
    <s v="Delivered"/>
    <n v="5"/>
    <s v="April"/>
    <x v="1115"/>
    <n v="85"/>
    <n v="36168.823529411762"/>
    <n v="52"/>
  </r>
  <r>
    <s v="ORD1117"/>
    <x v="1116"/>
    <x v="119"/>
    <x v="123"/>
    <x v="2"/>
    <x v="0"/>
    <x v="0"/>
    <x v="0"/>
    <x v="0"/>
    <s v="Corporate"/>
    <x v="2"/>
    <s v="Paper"/>
    <x v="3"/>
    <n v="13400"/>
    <x v="2"/>
    <n v="0.03"/>
    <n v="3340"/>
    <x v="2"/>
    <s v="Standard"/>
    <s v="Delivered"/>
    <n v="4"/>
    <s v="April"/>
    <x v="1116"/>
    <n v="84"/>
    <n v="35994.642857142855"/>
    <n v="52"/>
  </r>
  <r>
    <s v="ORD1118"/>
    <x v="1117"/>
    <x v="100"/>
    <x v="80"/>
    <x v="10"/>
    <x v="1"/>
    <x v="12"/>
    <x v="0"/>
    <x v="0"/>
    <s v="Consumer"/>
    <x v="1"/>
    <s v="Tables"/>
    <x v="4"/>
    <n v="47500"/>
    <x v="1"/>
    <n v="0.1"/>
    <n v="7800"/>
    <x v="0"/>
    <s v="Express"/>
    <s v="Delivered"/>
    <n v="5"/>
    <s v="May"/>
    <x v="1117"/>
    <n v="83"/>
    <n v="36266.867469879515"/>
    <n v="52"/>
  </r>
  <r>
    <s v="ORD1119"/>
    <x v="1118"/>
    <x v="85"/>
    <x v="124"/>
    <x v="7"/>
    <x v="0"/>
    <x v="29"/>
    <x v="0"/>
    <x v="0"/>
    <s v="Corporate"/>
    <x v="0"/>
    <s v="Accessories"/>
    <x v="5"/>
    <n v="7600"/>
    <x v="9"/>
    <n v="0.05"/>
    <n v="2010"/>
    <x v="1"/>
    <s v="Standard"/>
    <s v="Delivered"/>
    <n v="3"/>
    <s v="May"/>
    <x v="1118"/>
    <n v="82"/>
    <n v="36129.878048780491"/>
    <n v="52"/>
  </r>
  <r>
    <s v="ORD1120"/>
    <x v="1119"/>
    <x v="122"/>
    <x v="132"/>
    <x v="0"/>
    <x v="1"/>
    <x v="10"/>
    <x v="0"/>
    <x v="0"/>
    <s v="Consumer"/>
    <x v="0"/>
    <s v="Accessories"/>
    <x v="6"/>
    <n v="9100"/>
    <x v="12"/>
    <n v="0"/>
    <n v="2730"/>
    <x v="0"/>
    <s v="Standard"/>
    <s v="Delivered"/>
    <n v="4"/>
    <s v="May"/>
    <x v="1119"/>
    <n v="81"/>
    <n v="36482.0987654321"/>
    <n v="52"/>
  </r>
  <r>
    <s v="ORD1121"/>
    <x v="1120"/>
    <x v="211"/>
    <x v="63"/>
    <x v="19"/>
    <x v="0"/>
    <x v="0"/>
    <x v="0"/>
    <x v="0"/>
    <s v="Consumer"/>
    <x v="0"/>
    <s v="Computers"/>
    <x v="0"/>
    <n v="136500"/>
    <x v="0"/>
    <n v="0.05"/>
    <n v="16800"/>
    <x v="0"/>
    <s v="Express"/>
    <s v="Delivered"/>
    <n v="5"/>
    <s v="May"/>
    <x v="1120"/>
    <n v="80"/>
    <n v="36824.375"/>
    <n v="52"/>
  </r>
  <r>
    <s v="ORD1122"/>
    <x v="1121"/>
    <x v="78"/>
    <x v="72"/>
    <x v="6"/>
    <x v="1"/>
    <x v="3"/>
    <x v="0"/>
    <x v="0"/>
    <s v="Corporate"/>
    <x v="1"/>
    <s v="Chairs"/>
    <x v="1"/>
    <n v="22100"/>
    <x v="3"/>
    <n v="0.1"/>
    <n v="5180"/>
    <x v="1"/>
    <s v="Standard"/>
    <s v="Delivered"/>
    <n v="4"/>
    <s v="June"/>
    <x v="1121"/>
    <n v="79"/>
    <n v="35562.6582278481"/>
    <n v="52"/>
  </r>
  <r>
    <s v="ORD1123"/>
    <x v="1122"/>
    <x v="278"/>
    <x v="111"/>
    <x v="23"/>
    <x v="0"/>
    <x v="10"/>
    <x v="0"/>
    <x v="0"/>
    <s v="Consumer"/>
    <x v="0"/>
    <s v="Accessories"/>
    <x v="2"/>
    <n v="51600"/>
    <x v="1"/>
    <n v="0.05"/>
    <n v="10150"/>
    <x v="2"/>
    <s v="Standard"/>
    <s v="Delivered"/>
    <n v="4"/>
    <s v="June"/>
    <x v="1122"/>
    <n v="78"/>
    <n v="35735.256410256414"/>
    <n v="52"/>
  </r>
  <r>
    <s v="ORD1124"/>
    <x v="1123"/>
    <x v="279"/>
    <x v="154"/>
    <x v="1"/>
    <x v="1"/>
    <x v="0"/>
    <x v="0"/>
    <x v="0"/>
    <s v="Consumer"/>
    <x v="2"/>
    <s v="Paper"/>
    <x v="7"/>
    <n v="1440"/>
    <x v="6"/>
    <n v="0.02"/>
    <n v="430"/>
    <x v="0"/>
    <s v="Standard"/>
    <s v="Delivered"/>
    <n v="5"/>
    <s v="June"/>
    <x v="1123"/>
    <n v="77"/>
    <n v="35529.220779220777"/>
    <n v="52"/>
  </r>
  <r>
    <s v="ORD1125"/>
    <x v="1124"/>
    <x v="81"/>
    <x v="81"/>
    <x v="14"/>
    <x v="0"/>
    <x v="3"/>
    <x v="0"/>
    <x v="0"/>
    <s v="Corporate"/>
    <x v="1"/>
    <s v="Tables"/>
    <x v="4"/>
    <n v="50000"/>
    <x v="1"/>
    <n v="0.08"/>
    <n v="8700"/>
    <x v="1"/>
    <s v="Express"/>
    <s v="Delivered"/>
    <n v="4"/>
    <s v="June"/>
    <x v="1124"/>
    <n v="76"/>
    <n v="35977.76315789474"/>
    <n v="52"/>
  </r>
  <r>
    <s v="ORD1126"/>
    <x v="1125"/>
    <x v="23"/>
    <x v="129"/>
    <x v="15"/>
    <x v="1"/>
    <x v="6"/>
    <x v="0"/>
    <x v="0"/>
    <s v="Consumer"/>
    <x v="0"/>
    <s v="Accessories"/>
    <x v="5"/>
    <n v="7300"/>
    <x v="3"/>
    <n v="0.05"/>
    <n v="1940"/>
    <x v="0"/>
    <s v="Standard"/>
    <s v="Delivered"/>
    <n v="4"/>
    <s v="June"/>
    <x v="1125"/>
    <n v="75"/>
    <n v="35790.800000000003"/>
    <n v="52"/>
  </r>
  <r>
    <s v="ORD1127"/>
    <x v="1126"/>
    <x v="280"/>
    <x v="82"/>
    <x v="18"/>
    <x v="0"/>
    <x v="42"/>
    <x v="0"/>
    <x v="0"/>
    <s v="Consumer"/>
    <x v="0"/>
    <s v="Accessories"/>
    <x v="6"/>
    <n v="9250"/>
    <x v="10"/>
    <n v="0"/>
    <n v="2770"/>
    <x v="3"/>
    <s v="Standard"/>
    <s v="Delivered"/>
    <n v="3"/>
    <s v="July"/>
    <x v="1126"/>
    <n v="74"/>
    <n v="36175.810810810814"/>
    <n v="52"/>
  </r>
  <r>
    <s v="ORD1128"/>
    <x v="1127"/>
    <x v="244"/>
    <x v="14"/>
    <x v="12"/>
    <x v="1"/>
    <x v="29"/>
    <x v="0"/>
    <x v="0"/>
    <s v="Corporate"/>
    <x v="2"/>
    <s v="Paper"/>
    <x v="3"/>
    <n v="13600"/>
    <x v="2"/>
    <n v="0.02"/>
    <n v="3380"/>
    <x v="0"/>
    <s v="Standard"/>
    <s v="Delivered"/>
    <n v="5"/>
    <s v="July"/>
    <x v="1127"/>
    <n v="73"/>
    <n v="36544.657534246573"/>
    <n v="52"/>
  </r>
  <r>
    <s v="ORD1129"/>
    <x v="1128"/>
    <x v="48"/>
    <x v="110"/>
    <x v="20"/>
    <x v="0"/>
    <x v="0"/>
    <x v="0"/>
    <x v="0"/>
    <s v="Corporate"/>
    <x v="1"/>
    <s v="Storage"/>
    <x v="8"/>
    <n v="31700"/>
    <x v="0"/>
    <n v="0.1"/>
    <n v="5720"/>
    <x v="1"/>
    <s v="Express"/>
    <s v="Delivered"/>
    <n v="4"/>
    <s v="July"/>
    <x v="1128"/>
    <n v="72"/>
    <n v="36863.333333333336"/>
    <n v="52"/>
  </r>
  <r>
    <s v="ORD1130"/>
    <x v="1129"/>
    <x v="25"/>
    <x v="85"/>
    <x v="9"/>
    <x v="1"/>
    <x v="3"/>
    <x v="0"/>
    <x v="0"/>
    <s v="Consumer"/>
    <x v="0"/>
    <s v="Printers"/>
    <x v="9"/>
    <n v="34200"/>
    <x v="1"/>
    <n v="0.05"/>
    <n v="6500"/>
    <x v="0"/>
    <s v="Standard"/>
    <s v="Delivered"/>
    <n v="4"/>
    <s v="July"/>
    <x v="1129"/>
    <n v="71"/>
    <n v="36936.056338028167"/>
    <n v="52"/>
  </r>
  <r>
    <s v="ORD1131"/>
    <x v="1130"/>
    <x v="281"/>
    <x v="121"/>
    <x v="16"/>
    <x v="0"/>
    <x v="11"/>
    <x v="0"/>
    <x v="0"/>
    <s v="Consumer"/>
    <x v="2"/>
    <s v="Accessories"/>
    <x v="10"/>
    <n v="2080"/>
    <x v="11"/>
    <n v="0"/>
    <n v="640"/>
    <x v="2"/>
    <s v="Standard"/>
    <s v="Delivered"/>
    <n v="5"/>
    <s v="August"/>
    <x v="1130"/>
    <n v="70"/>
    <n v="36975.142857142855"/>
    <n v="52"/>
  </r>
  <r>
    <s v="ORD1132"/>
    <x v="1131"/>
    <x v="82"/>
    <x v="119"/>
    <x v="5"/>
    <x v="1"/>
    <x v="10"/>
    <x v="0"/>
    <x v="0"/>
    <s v="Corporate"/>
    <x v="1"/>
    <s v="Tables"/>
    <x v="11"/>
    <n v="49700"/>
    <x v="0"/>
    <n v="0.08"/>
    <n v="10400"/>
    <x v="1"/>
    <s v="Express"/>
    <s v="Delivered"/>
    <n v="4"/>
    <s v="August"/>
    <x v="1131"/>
    <n v="69"/>
    <n v="37480.869565217392"/>
    <n v="52"/>
  </r>
  <r>
    <s v="ORD1133"/>
    <x v="1132"/>
    <x v="282"/>
    <x v="142"/>
    <x v="6"/>
    <x v="0"/>
    <x v="3"/>
    <x v="0"/>
    <x v="0"/>
    <s v="Consumer"/>
    <x v="0"/>
    <s v="Computers"/>
    <x v="0"/>
    <n v="138000"/>
    <x v="0"/>
    <n v="0.1"/>
    <n v="15900"/>
    <x v="0"/>
    <s v="Express"/>
    <s v="Delivered"/>
    <n v="5"/>
    <s v="August"/>
    <x v="1132"/>
    <n v="68"/>
    <n v="37301.176470588238"/>
    <n v="52"/>
  </r>
  <r>
    <s v="ORD1134"/>
    <x v="1133"/>
    <x v="118"/>
    <x v="133"/>
    <x v="13"/>
    <x v="1"/>
    <x v="0"/>
    <x v="0"/>
    <x v="0"/>
    <s v="Consumer"/>
    <x v="2"/>
    <s v="Storage"/>
    <x v="12"/>
    <n v="2750"/>
    <x v="5"/>
    <n v="0.05"/>
    <n v="910"/>
    <x v="3"/>
    <s v="Standard"/>
    <s v="Delivered"/>
    <n v="4"/>
    <s v="August"/>
    <x v="1133"/>
    <n v="67"/>
    <n v="35798.208955223883"/>
    <n v="52"/>
  </r>
  <r>
    <s v="ORD1135"/>
    <x v="1134"/>
    <x v="283"/>
    <x v="165"/>
    <x v="22"/>
    <x v="0"/>
    <x v="6"/>
    <x v="0"/>
    <x v="0"/>
    <s v="Corporate"/>
    <x v="1"/>
    <s v="Chairs"/>
    <x v="1"/>
    <n v="26000"/>
    <x v="9"/>
    <n v="7.0000000000000007E-2"/>
    <n v="6100"/>
    <x v="1"/>
    <s v="Standard"/>
    <s v="Delivered"/>
    <n v="4"/>
    <s v="August"/>
    <x v="1134"/>
    <n v="66"/>
    <n v="36298.939393939392"/>
    <n v="52"/>
  </r>
  <r>
    <s v="ORD1136"/>
    <x v="1135"/>
    <x v="19"/>
    <x v="158"/>
    <x v="0"/>
    <x v="1"/>
    <x v="12"/>
    <x v="0"/>
    <x v="0"/>
    <s v="Consumer"/>
    <x v="0"/>
    <s v="Accessories"/>
    <x v="2"/>
    <n v="52500"/>
    <x v="1"/>
    <n v="0.05"/>
    <n v="10300"/>
    <x v="0"/>
    <s v="Express"/>
    <s v="Delivered"/>
    <n v="5"/>
    <s v="September"/>
    <x v="1135"/>
    <n v="65"/>
    <n v="36457.384615384617"/>
    <n v="52"/>
  </r>
  <r>
    <s v="ORD1137"/>
    <x v="1136"/>
    <x v="97"/>
    <x v="166"/>
    <x v="11"/>
    <x v="0"/>
    <x v="3"/>
    <x v="0"/>
    <x v="0"/>
    <s v="Corporate"/>
    <x v="2"/>
    <s v="Paper"/>
    <x v="3"/>
    <n v="13800"/>
    <x v="2"/>
    <n v="0.03"/>
    <n v="3440"/>
    <x v="2"/>
    <s v="Standard"/>
    <s v="Delivered"/>
    <n v="4"/>
    <s v="September"/>
    <x v="1136"/>
    <n v="64"/>
    <n v="36206.71875"/>
    <n v="52"/>
  </r>
  <r>
    <s v="ORD1138"/>
    <x v="1137"/>
    <x v="203"/>
    <x v="149"/>
    <x v="15"/>
    <x v="1"/>
    <x v="0"/>
    <x v="0"/>
    <x v="0"/>
    <s v="Consumer"/>
    <x v="1"/>
    <s v="Tables"/>
    <x v="4"/>
    <n v="48800"/>
    <x v="1"/>
    <n v="0.1"/>
    <n v="8000"/>
    <x v="0"/>
    <s v="Express"/>
    <s v="Delivered"/>
    <n v="5"/>
    <s v="September"/>
    <x v="1137"/>
    <n v="63"/>
    <n v="36562.380952380954"/>
    <n v="52"/>
  </r>
  <r>
    <s v="ORD1139"/>
    <x v="1138"/>
    <x v="284"/>
    <x v="156"/>
    <x v="1"/>
    <x v="0"/>
    <x v="10"/>
    <x v="0"/>
    <x v="0"/>
    <s v="Corporate"/>
    <x v="0"/>
    <s v="Accessories"/>
    <x v="5"/>
    <n v="7750"/>
    <x v="9"/>
    <n v="0.05"/>
    <n v="2050"/>
    <x v="1"/>
    <s v="Standard"/>
    <s v="Delivered"/>
    <n v="3"/>
    <s v="September"/>
    <x v="1138"/>
    <n v="62"/>
    <n v="36365"/>
    <n v="52"/>
  </r>
  <r>
    <s v="ORD1140"/>
    <x v="1139"/>
    <x v="285"/>
    <x v="69"/>
    <x v="12"/>
    <x v="1"/>
    <x v="3"/>
    <x v="0"/>
    <x v="0"/>
    <s v="Consumer"/>
    <x v="0"/>
    <s v="Accessories"/>
    <x v="6"/>
    <n v="9400"/>
    <x v="12"/>
    <n v="0"/>
    <n v="2820"/>
    <x v="0"/>
    <s v="Standard"/>
    <s v="Delivered"/>
    <n v="4"/>
    <s v="October"/>
    <x v="1139"/>
    <n v="61"/>
    <n v="36834.098360655735"/>
    <n v="52"/>
  </r>
  <r>
    <s v="ORD1141"/>
    <x v="1140"/>
    <x v="60"/>
    <x v="11"/>
    <x v="4"/>
    <x v="0"/>
    <x v="0"/>
    <x v="0"/>
    <x v="0"/>
    <s v="Consumer"/>
    <x v="0"/>
    <s v="Computers"/>
    <x v="0"/>
    <n v="139500"/>
    <x v="0"/>
    <n v="0.05"/>
    <n v="17100"/>
    <x v="0"/>
    <s v="Express"/>
    <s v="Delivered"/>
    <n v="5"/>
    <s v="October"/>
    <x v="1140"/>
    <n v="60"/>
    <n v="37291.333333333336"/>
    <n v="52"/>
  </r>
  <r>
    <s v="ORD1142"/>
    <x v="1141"/>
    <x v="286"/>
    <x v="40"/>
    <x v="10"/>
    <x v="1"/>
    <x v="14"/>
    <x v="8"/>
    <x v="0"/>
    <s v="Corporate"/>
    <x v="1"/>
    <s v="Chairs"/>
    <x v="1"/>
    <n v="22600"/>
    <x v="3"/>
    <n v="0.1"/>
    <n v="5300"/>
    <x v="1"/>
    <s v="Standard"/>
    <s v="Delivered"/>
    <n v="4"/>
    <s v="October"/>
    <x v="1141"/>
    <n v="59"/>
    <n v="35558.983050847455"/>
    <n v="52"/>
  </r>
  <r>
    <s v="ORD1143"/>
    <x v="1142"/>
    <x v="268"/>
    <x v="139"/>
    <x v="8"/>
    <x v="0"/>
    <x v="3"/>
    <x v="0"/>
    <x v="0"/>
    <s v="Consumer"/>
    <x v="0"/>
    <s v="Accessories"/>
    <x v="2"/>
    <n v="53400"/>
    <x v="1"/>
    <n v="0.05"/>
    <n v="10500"/>
    <x v="2"/>
    <s v="Standard"/>
    <s v="Delivered"/>
    <n v="4"/>
    <s v="October"/>
    <x v="1142"/>
    <n v="58"/>
    <n v="35782.413793103449"/>
    <n v="52"/>
  </r>
  <r>
    <s v="ORD1144"/>
    <x v="1143"/>
    <x v="5"/>
    <x v="147"/>
    <x v="3"/>
    <x v="1"/>
    <x v="6"/>
    <x v="0"/>
    <x v="0"/>
    <s v="Consumer"/>
    <x v="2"/>
    <s v="Paper"/>
    <x v="7"/>
    <n v="1470"/>
    <x v="6"/>
    <n v="0.02"/>
    <n v="440"/>
    <x v="0"/>
    <s v="Standard"/>
    <s v="Delivered"/>
    <n v="5"/>
    <s v="November"/>
    <x v="1143"/>
    <n v="57"/>
    <n v="35473.333333333336"/>
    <n v="52"/>
  </r>
  <r>
    <s v="ORD1145"/>
    <x v="1144"/>
    <x v="4"/>
    <x v="148"/>
    <x v="2"/>
    <x v="0"/>
    <x v="0"/>
    <x v="0"/>
    <x v="0"/>
    <s v="Corporate"/>
    <x v="1"/>
    <s v="Tables"/>
    <x v="4"/>
    <n v="51200"/>
    <x v="1"/>
    <n v="0.08"/>
    <n v="8900"/>
    <x v="1"/>
    <s v="Express"/>
    <s v="Delivered"/>
    <n v="4"/>
    <s v="November"/>
    <x v="1144"/>
    <n v="56"/>
    <n v="36080.535714285717"/>
    <n v="52"/>
  </r>
  <r>
    <s v="ORD1146"/>
    <x v="1145"/>
    <x v="74"/>
    <x v="123"/>
    <x v="6"/>
    <x v="1"/>
    <x v="11"/>
    <x v="0"/>
    <x v="0"/>
    <s v="Consumer"/>
    <x v="0"/>
    <s v="Accessories"/>
    <x v="5"/>
    <n v="7500"/>
    <x v="3"/>
    <n v="0.05"/>
    <n v="2000"/>
    <x v="0"/>
    <s v="Standard"/>
    <s v="Delivered"/>
    <n v="4"/>
    <s v="November"/>
    <x v="1145"/>
    <n v="55"/>
    <n v="35805.63636363636"/>
    <n v="52"/>
  </r>
  <r>
    <s v="ORD1147"/>
    <x v="1146"/>
    <x v="62"/>
    <x v="136"/>
    <x v="7"/>
    <x v="0"/>
    <x v="42"/>
    <x v="0"/>
    <x v="0"/>
    <s v="Consumer"/>
    <x v="0"/>
    <s v="Accessories"/>
    <x v="6"/>
    <n v="9550"/>
    <x v="10"/>
    <n v="0"/>
    <n v="2860"/>
    <x v="3"/>
    <s v="Standard"/>
    <s v="Delivered"/>
    <n v="3"/>
    <s v="November"/>
    <x v="1146"/>
    <n v="54"/>
    <n v="36329.814814814818"/>
    <n v="52"/>
  </r>
  <r>
    <s v="ORD1148"/>
    <x v="1147"/>
    <x v="43"/>
    <x v="154"/>
    <x v="19"/>
    <x v="1"/>
    <x v="3"/>
    <x v="0"/>
    <x v="0"/>
    <s v="Corporate"/>
    <x v="2"/>
    <s v="Paper"/>
    <x v="3"/>
    <n v="14000"/>
    <x v="2"/>
    <n v="0.02"/>
    <n v="3500"/>
    <x v="0"/>
    <s v="Standard"/>
    <s v="Delivered"/>
    <n v="5"/>
    <s v="November"/>
    <x v="1147"/>
    <n v="53"/>
    <n v="36835.094339622643"/>
    <n v="52"/>
  </r>
  <r>
    <s v="ORD1149"/>
    <x v="1148"/>
    <x v="75"/>
    <x v="140"/>
    <x v="25"/>
    <x v="0"/>
    <x v="0"/>
    <x v="0"/>
    <x v="0"/>
    <s v="Corporate"/>
    <x v="1"/>
    <s v="Storage"/>
    <x v="8"/>
    <n v="32400"/>
    <x v="0"/>
    <n v="0.1"/>
    <n v="5850"/>
    <x v="1"/>
    <s v="Express"/>
    <s v="Delivered"/>
    <n v="4"/>
    <s v="December"/>
    <x v="1148"/>
    <n v="52"/>
    <n v="37274.230769230766"/>
    <n v="52"/>
  </r>
  <r>
    <s v="ORD1150"/>
    <x v="1149"/>
    <x v="287"/>
    <x v="80"/>
    <x v="16"/>
    <x v="1"/>
    <x v="10"/>
    <x v="0"/>
    <x v="0"/>
    <s v="Consumer"/>
    <x v="0"/>
    <s v="Printers"/>
    <x v="9"/>
    <n v="35000"/>
    <x v="1"/>
    <n v="0.05"/>
    <n v="6650"/>
    <x v="0"/>
    <s v="Standard"/>
    <s v="Delivered"/>
    <n v="4"/>
    <s v="December"/>
    <x v="1149"/>
    <n v="51"/>
    <n v="37369.803921568629"/>
    <n v="52"/>
  </r>
  <r>
    <s v="ORD1151"/>
    <x v="1150"/>
    <x v="288"/>
    <x v="152"/>
    <x v="18"/>
    <x v="0"/>
    <x v="3"/>
    <x v="0"/>
    <x v="0"/>
    <s v="Consumer"/>
    <x v="2"/>
    <s v="Accessories"/>
    <x v="10"/>
    <n v="2140"/>
    <x v="11"/>
    <n v="0"/>
    <n v="660"/>
    <x v="2"/>
    <s v="Standard"/>
    <s v="Delivered"/>
    <n v="5"/>
    <s v="December"/>
    <x v="1150"/>
    <n v="50"/>
    <n v="37417.199999999997"/>
    <n v="52"/>
  </r>
  <r>
    <s v="ORD1152"/>
    <x v="1151"/>
    <x v="51"/>
    <x v="115"/>
    <x v="0"/>
    <x v="1"/>
    <x v="0"/>
    <x v="0"/>
    <x v="0"/>
    <s v="Corporate"/>
    <x v="1"/>
    <s v="Tables"/>
    <x v="11"/>
    <n v="50600"/>
    <x v="0"/>
    <n v="0.08"/>
    <n v="10600"/>
    <x v="1"/>
    <s v="Express"/>
    <s v="Delivered"/>
    <n v="4"/>
    <s v="December"/>
    <x v="1151"/>
    <n v="49"/>
    <n v="38137.142857142855"/>
    <n v="52"/>
  </r>
  <r>
    <s v="ORD1153"/>
    <x v="1152"/>
    <x v="93"/>
    <x v="78"/>
    <x v="13"/>
    <x v="0"/>
    <x v="6"/>
    <x v="0"/>
    <x v="0"/>
    <s v="Consumer"/>
    <x v="0"/>
    <s v="Computers"/>
    <x v="0"/>
    <n v="141000"/>
    <x v="0"/>
    <n v="0.1"/>
    <n v="16200"/>
    <x v="0"/>
    <s v="Express"/>
    <s v="Delivered"/>
    <n v="5"/>
    <s v="January"/>
    <x v="1152"/>
    <n v="48"/>
    <n v="37877.5"/>
    <n v="52"/>
  </r>
  <r>
    <s v="ORD1154"/>
    <x v="1153"/>
    <x v="61"/>
    <x v="162"/>
    <x v="9"/>
    <x v="1"/>
    <x v="13"/>
    <x v="0"/>
    <x v="0"/>
    <s v="Consumer"/>
    <x v="2"/>
    <s v="Storage"/>
    <x v="12"/>
    <n v="2810"/>
    <x v="5"/>
    <n v="0.05"/>
    <n v="930"/>
    <x v="3"/>
    <s v="Standard"/>
    <s v="Delivered"/>
    <n v="4"/>
    <s v="January"/>
    <x v="1153"/>
    <n v="47"/>
    <n v="35683.404255319147"/>
    <n v="52"/>
  </r>
  <r>
    <s v="ORD1155"/>
    <x v="1154"/>
    <x v="289"/>
    <x v="109"/>
    <x v="24"/>
    <x v="0"/>
    <x v="3"/>
    <x v="0"/>
    <x v="0"/>
    <s v="Corporate"/>
    <x v="1"/>
    <s v="Chairs"/>
    <x v="1"/>
    <n v="26600"/>
    <x v="9"/>
    <n v="7.0000000000000007E-2"/>
    <n v="6250"/>
    <x v="1"/>
    <s v="Standard"/>
    <s v="Delivered"/>
    <n v="4"/>
    <s v="January"/>
    <x v="1154"/>
    <n v="46"/>
    <n v="36398.043478260872"/>
    <n v="52"/>
  </r>
  <r>
    <s v="ORD1156"/>
    <x v="1155"/>
    <x v="290"/>
    <x v="132"/>
    <x v="5"/>
    <x v="1"/>
    <x v="0"/>
    <x v="0"/>
    <x v="0"/>
    <s v="Consumer"/>
    <x v="0"/>
    <s v="Accessories"/>
    <x v="2"/>
    <n v="54200"/>
    <x v="1"/>
    <n v="0.05"/>
    <n v="10700"/>
    <x v="0"/>
    <s v="Express"/>
    <s v="Delivered"/>
    <n v="5"/>
    <s v="January"/>
    <x v="1155"/>
    <n v="45"/>
    <n v="36615.777777777781"/>
    <n v="52"/>
  </r>
  <r>
    <s v="ORD1157"/>
    <x v="1156"/>
    <x v="291"/>
    <x v="151"/>
    <x v="14"/>
    <x v="0"/>
    <x v="10"/>
    <x v="0"/>
    <x v="0"/>
    <s v="Corporate"/>
    <x v="2"/>
    <s v="Paper"/>
    <x v="3"/>
    <n v="14200"/>
    <x v="2"/>
    <n v="0.03"/>
    <n v="3540"/>
    <x v="2"/>
    <s v="Standard"/>
    <s v="Delivered"/>
    <n v="4"/>
    <s v="February"/>
    <x v="1156"/>
    <n v="44"/>
    <n v="36216.13636363636"/>
    <n v="52"/>
  </r>
  <r>
    <s v="ORD1158"/>
    <x v="1157"/>
    <x v="29"/>
    <x v="124"/>
    <x v="15"/>
    <x v="1"/>
    <x v="29"/>
    <x v="0"/>
    <x v="0"/>
    <s v="Consumer"/>
    <x v="1"/>
    <s v="Tables"/>
    <x v="4"/>
    <n v="50100"/>
    <x v="1"/>
    <n v="0.1"/>
    <n v="8200"/>
    <x v="0"/>
    <s v="Express"/>
    <s v="Delivered"/>
    <n v="5"/>
    <s v="February"/>
    <x v="1157"/>
    <n v="43"/>
    <n v="36728.139534883718"/>
    <n v="52"/>
  </r>
  <r>
    <s v="ORD1159"/>
    <x v="1158"/>
    <x v="91"/>
    <x v="146"/>
    <x v="20"/>
    <x v="0"/>
    <x v="3"/>
    <x v="0"/>
    <x v="0"/>
    <s v="Corporate"/>
    <x v="0"/>
    <s v="Accessories"/>
    <x v="5"/>
    <n v="7900"/>
    <x v="9"/>
    <n v="0.05"/>
    <n v="2090"/>
    <x v="1"/>
    <s v="Standard"/>
    <s v="Delivered"/>
    <n v="3"/>
    <s v="February"/>
    <x v="1158"/>
    <n v="42"/>
    <n v="36409.761904761908"/>
    <n v="52"/>
  </r>
  <r>
    <s v="ORD1160"/>
    <x v="1159"/>
    <x v="126"/>
    <x v="139"/>
    <x v="12"/>
    <x v="1"/>
    <x v="11"/>
    <x v="0"/>
    <x v="0"/>
    <s v="Consumer"/>
    <x v="0"/>
    <s v="Accessories"/>
    <x v="6"/>
    <n v="9700"/>
    <x v="12"/>
    <n v="0"/>
    <n v="2910"/>
    <x v="0"/>
    <s v="Standard"/>
    <s v="Delivered"/>
    <n v="4"/>
    <s v="February"/>
    <x v="1159"/>
    <n v="41"/>
    <n v="37105.121951219509"/>
    <n v="52"/>
  </r>
  <r>
    <s v="ORD1161"/>
    <x v="1160"/>
    <x v="54"/>
    <x v="72"/>
    <x v="10"/>
    <x v="0"/>
    <x v="0"/>
    <x v="0"/>
    <x v="0"/>
    <s v="Consumer"/>
    <x v="0"/>
    <s v="Computers"/>
    <x v="0"/>
    <n v="143500"/>
    <x v="0"/>
    <n v="0.05"/>
    <n v="17400"/>
    <x v="0"/>
    <s v="Express"/>
    <s v="Delivered"/>
    <n v="5"/>
    <s v="March"/>
    <x v="1160"/>
    <n v="40"/>
    <n v="37790.25"/>
    <n v="52"/>
  </r>
  <r>
    <s v="ORD1162"/>
    <x v="1161"/>
    <x v="112"/>
    <x v="114"/>
    <x v="6"/>
    <x v="1"/>
    <x v="3"/>
    <x v="0"/>
    <x v="0"/>
    <s v="Corporate"/>
    <x v="1"/>
    <s v="Chairs"/>
    <x v="1"/>
    <n v="23100"/>
    <x v="3"/>
    <n v="0.1"/>
    <n v="5420"/>
    <x v="1"/>
    <s v="Standard"/>
    <s v="Delivered"/>
    <n v="4"/>
    <s v="March"/>
    <x v="1161"/>
    <n v="39"/>
    <n v="35079.743589743586"/>
    <n v="52"/>
  </r>
  <r>
    <s v="ORD1163"/>
    <x v="1162"/>
    <x v="292"/>
    <x v="87"/>
    <x v="23"/>
    <x v="0"/>
    <x v="10"/>
    <x v="0"/>
    <x v="0"/>
    <s v="Consumer"/>
    <x v="0"/>
    <s v="Accessories"/>
    <x v="2"/>
    <n v="55100"/>
    <x v="1"/>
    <n v="0.05"/>
    <n v="10900"/>
    <x v="2"/>
    <s v="Standard"/>
    <s v="Delivered"/>
    <n v="4"/>
    <s v="March"/>
    <x v="1162"/>
    <n v="38"/>
    <n v="35395"/>
    <n v="52"/>
  </r>
  <r>
    <s v="ORD1164"/>
    <x v="1163"/>
    <x v="104"/>
    <x v="110"/>
    <x v="1"/>
    <x v="1"/>
    <x v="6"/>
    <x v="0"/>
    <x v="0"/>
    <s v="Consumer"/>
    <x v="2"/>
    <s v="Paper"/>
    <x v="7"/>
    <n v="1500"/>
    <x v="6"/>
    <n v="0.02"/>
    <n v="450"/>
    <x v="0"/>
    <s v="Standard"/>
    <s v="Delivered"/>
    <n v="5"/>
    <s v="March"/>
    <x v="1163"/>
    <n v="37"/>
    <n v="34862.432432432433"/>
    <n v="52"/>
  </r>
  <r>
    <s v="ORD1165"/>
    <x v="1164"/>
    <x v="181"/>
    <x v="13"/>
    <x v="28"/>
    <x v="0"/>
    <x v="0"/>
    <x v="0"/>
    <x v="0"/>
    <s v="Corporate"/>
    <x v="1"/>
    <s v="Tables"/>
    <x v="4"/>
    <n v="52300"/>
    <x v="1"/>
    <n v="0.08"/>
    <n v="9100"/>
    <x v="1"/>
    <s v="Express"/>
    <s v="Delivered"/>
    <n v="4"/>
    <s v="March"/>
    <x v="1164"/>
    <n v="36"/>
    <n v="35789.166666666664"/>
    <n v="52"/>
  </r>
  <r>
    <s v="ORD1166"/>
    <x v="1165"/>
    <x v="293"/>
    <x v="16"/>
    <x v="19"/>
    <x v="1"/>
    <x v="3"/>
    <x v="0"/>
    <x v="0"/>
    <s v="Consumer"/>
    <x v="0"/>
    <s v="Accessories"/>
    <x v="5"/>
    <n v="7700"/>
    <x v="3"/>
    <n v="0.05"/>
    <n v="2050"/>
    <x v="0"/>
    <s v="Standard"/>
    <s v="Delivered"/>
    <n v="4"/>
    <s v="April"/>
    <x v="1165"/>
    <n v="35"/>
    <n v="35317.428571428572"/>
    <n v="52"/>
  </r>
  <r>
    <s v="ORD1167"/>
    <x v="1166"/>
    <x v="294"/>
    <x v="49"/>
    <x v="22"/>
    <x v="0"/>
    <x v="42"/>
    <x v="0"/>
    <x v="0"/>
    <s v="Consumer"/>
    <x v="0"/>
    <s v="Accessories"/>
    <x v="6"/>
    <n v="9850"/>
    <x v="10"/>
    <n v="0"/>
    <n v="2950"/>
    <x v="3"/>
    <s v="Standard"/>
    <s v="Delivered"/>
    <n v="3"/>
    <s v="April"/>
    <x v="1166"/>
    <n v="34"/>
    <n v="36129.705882352944"/>
    <n v="52"/>
  </r>
  <r>
    <s v="ORD1168"/>
    <x v="1167"/>
    <x v="132"/>
    <x v="84"/>
    <x v="3"/>
    <x v="1"/>
    <x v="38"/>
    <x v="0"/>
    <x v="0"/>
    <s v="Corporate"/>
    <x v="2"/>
    <s v="Paper"/>
    <x v="3"/>
    <n v="14500"/>
    <x v="2"/>
    <n v="0.02"/>
    <n v="3620"/>
    <x v="0"/>
    <s v="Standard"/>
    <s v="Delivered"/>
    <n v="5"/>
    <s v="April"/>
    <x v="1167"/>
    <n v="33"/>
    <n v="36926.060606060608"/>
    <n v="52"/>
  </r>
  <r>
    <s v="ORD1169"/>
    <x v="1168"/>
    <x v="295"/>
    <x v="0"/>
    <x v="11"/>
    <x v="0"/>
    <x v="12"/>
    <x v="0"/>
    <x v="0"/>
    <s v="Corporate"/>
    <x v="1"/>
    <s v="Storage"/>
    <x v="8"/>
    <n v="33100"/>
    <x v="0"/>
    <n v="0.1"/>
    <n v="5980"/>
    <x v="1"/>
    <s v="Express"/>
    <s v="Delivered"/>
    <n v="4"/>
    <s v="April"/>
    <x v="1168"/>
    <n v="32"/>
    <n v="37626.875"/>
    <n v="52"/>
  </r>
  <r>
    <s v="ORD1170"/>
    <x v="1169"/>
    <x v="138"/>
    <x v="128"/>
    <x v="0"/>
    <x v="1"/>
    <x v="3"/>
    <x v="0"/>
    <x v="0"/>
    <s v="Consumer"/>
    <x v="0"/>
    <s v="Printers"/>
    <x v="9"/>
    <n v="35800"/>
    <x v="1"/>
    <n v="0.05"/>
    <n v="6800"/>
    <x v="0"/>
    <s v="Standard"/>
    <s v="Delivered"/>
    <n v="4"/>
    <s v="May"/>
    <x v="1169"/>
    <n v="31"/>
    <n v="37772.903225806454"/>
    <n v="52"/>
  </r>
  <r>
    <s v="ORD1171"/>
    <x v="1170"/>
    <x v="296"/>
    <x v="167"/>
    <x v="4"/>
    <x v="0"/>
    <x v="10"/>
    <x v="0"/>
    <x v="0"/>
    <s v="Consumer"/>
    <x v="2"/>
    <s v="Accessories"/>
    <x v="10"/>
    <n v="2200"/>
    <x v="11"/>
    <n v="0"/>
    <n v="680"/>
    <x v="2"/>
    <s v="Standard"/>
    <s v="Delivered"/>
    <n v="5"/>
    <s v="May"/>
    <x v="1170"/>
    <n v="30"/>
    <n v="37838.666666666664"/>
    <n v="52"/>
  </r>
  <r>
    <s v="ORD1172"/>
    <x v="1171"/>
    <x v="96"/>
    <x v="139"/>
    <x v="16"/>
    <x v="1"/>
    <x v="0"/>
    <x v="0"/>
    <x v="0"/>
    <s v="Corporate"/>
    <x v="1"/>
    <s v="Tables"/>
    <x v="11"/>
    <n v="51500"/>
    <x v="0"/>
    <n v="0.08"/>
    <n v="10800"/>
    <x v="1"/>
    <s v="Express"/>
    <s v="Delivered"/>
    <n v="4"/>
    <s v="May"/>
    <x v="1171"/>
    <n v="29"/>
    <n v="39067.586206896551"/>
    <n v="52"/>
  </r>
  <r>
    <s v="ORD1173"/>
    <x v="1172"/>
    <x v="297"/>
    <x v="11"/>
    <x v="5"/>
    <x v="0"/>
    <x v="3"/>
    <x v="0"/>
    <x v="0"/>
    <s v="Consumer"/>
    <x v="0"/>
    <s v="Computers"/>
    <x v="0"/>
    <n v="145000"/>
    <x v="0"/>
    <n v="0.1"/>
    <n v="16500"/>
    <x v="0"/>
    <s v="Express"/>
    <s v="Delivered"/>
    <n v="5"/>
    <s v="May"/>
    <x v="1172"/>
    <n v="28"/>
    <n v="38623.571428571428"/>
    <n v="52"/>
  </r>
  <r>
    <s v="ORD1174"/>
    <x v="1173"/>
    <x v="214"/>
    <x v="58"/>
    <x v="15"/>
    <x v="1"/>
    <x v="11"/>
    <x v="0"/>
    <x v="0"/>
    <s v="Consumer"/>
    <x v="2"/>
    <s v="Storage"/>
    <x v="12"/>
    <n v="2890"/>
    <x v="5"/>
    <n v="0.05"/>
    <n v="960"/>
    <x v="3"/>
    <s v="Standard"/>
    <s v="Delivered"/>
    <n v="4"/>
    <s v="May"/>
    <x v="1173"/>
    <n v="27"/>
    <n v="34683.703703703701"/>
    <n v="52"/>
  </r>
  <r>
    <s v="ORD1175"/>
    <x v="1174"/>
    <x v="149"/>
    <x v="80"/>
    <x v="25"/>
    <x v="0"/>
    <x v="6"/>
    <x v="0"/>
    <x v="0"/>
    <s v="Corporate"/>
    <x v="1"/>
    <s v="Chairs"/>
    <x v="1"/>
    <n v="27200"/>
    <x v="9"/>
    <n v="7.0000000000000007E-2"/>
    <n v="6400"/>
    <x v="1"/>
    <s v="Standard"/>
    <s v="Delivered"/>
    <n v="4"/>
    <s v="June"/>
    <x v="1174"/>
    <n v="26"/>
    <n v="35906.538461538461"/>
    <n v="52"/>
  </r>
  <r>
    <s v="ORD1176"/>
    <x v="1175"/>
    <x v="298"/>
    <x v="83"/>
    <x v="10"/>
    <x v="1"/>
    <x v="13"/>
    <x v="0"/>
    <x v="0"/>
    <s v="Consumer"/>
    <x v="0"/>
    <s v="Accessories"/>
    <x v="2"/>
    <n v="56000"/>
    <x v="1"/>
    <n v="0.05"/>
    <n v="11000"/>
    <x v="0"/>
    <s v="Express"/>
    <s v="Delivered"/>
    <n v="5"/>
    <s v="June"/>
    <x v="1175"/>
    <n v="25"/>
    <n v="36254.800000000003"/>
    <n v="52"/>
  </r>
  <r>
    <s v="ORD1177"/>
    <x v="1176"/>
    <x v="152"/>
    <x v="57"/>
    <x v="8"/>
    <x v="0"/>
    <x v="14"/>
    <x v="8"/>
    <x v="0"/>
    <s v="Corporate"/>
    <x v="2"/>
    <s v="Paper"/>
    <x v="3"/>
    <n v="14800"/>
    <x v="2"/>
    <n v="0.03"/>
    <n v="3680"/>
    <x v="2"/>
    <s v="Standard"/>
    <s v="Delivered"/>
    <n v="4"/>
    <s v="June"/>
    <x v="1176"/>
    <n v="24"/>
    <n v="35432.083333333336"/>
    <n v="52"/>
  </r>
  <r>
    <s v="ORD1178"/>
    <x v="1177"/>
    <x v="92"/>
    <x v="133"/>
    <x v="12"/>
    <x v="1"/>
    <x v="0"/>
    <x v="0"/>
    <x v="0"/>
    <s v="Consumer"/>
    <x v="1"/>
    <s v="Tables"/>
    <x v="4"/>
    <n v="51400"/>
    <x v="1"/>
    <n v="0.1"/>
    <n v="8400"/>
    <x v="0"/>
    <s v="Express"/>
    <s v="Delivered"/>
    <n v="5"/>
    <s v="June"/>
    <x v="1177"/>
    <n v="23"/>
    <n v="36329.130434782608"/>
    <n v="52"/>
  </r>
  <r>
    <s v="ORD1179"/>
    <x v="1178"/>
    <x v="79"/>
    <x v="111"/>
    <x v="2"/>
    <x v="0"/>
    <x v="3"/>
    <x v="0"/>
    <x v="0"/>
    <s v="Corporate"/>
    <x v="0"/>
    <s v="Accessories"/>
    <x v="5"/>
    <n v="8050"/>
    <x v="9"/>
    <n v="0.05"/>
    <n v="2130"/>
    <x v="1"/>
    <s v="Standard"/>
    <s v="Delivered"/>
    <n v="3"/>
    <s v="July"/>
    <x v="1178"/>
    <n v="22"/>
    <n v="35644.090909090912"/>
    <n v="52"/>
  </r>
  <r>
    <s v="ORD1180"/>
    <x v="1179"/>
    <x v="299"/>
    <x v="136"/>
    <x v="6"/>
    <x v="1"/>
    <x v="10"/>
    <x v="0"/>
    <x v="0"/>
    <s v="Consumer"/>
    <x v="0"/>
    <s v="Accessories"/>
    <x v="6"/>
    <n v="10000"/>
    <x v="12"/>
    <n v="0"/>
    <n v="3000"/>
    <x v="0"/>
    <s v="Standard"/>
    <s v="Delivered"/>
    <n v="4"/>
    <s v="July"/>
    <x v="1179"/>
    <n v="21"/>
    <n v="36958.095238095237"/>
    <n v="52"/>
  </r>
  <r>
    <s v="ORD1181"/>
    <x v="1180"/>
    <x v="119"/>
    <x v="128"/>
    <x v="7"/>
    <x v="0"/>
    <x v="0"/>
    <x v="0"/>
    <x v="0"/>
    <s v="Consumer"/>
    <x v="0"/>
    <s v="Computers"/>
    <x v="0"/>
    <n v="147500"/>
    <x v="0"/>
    <n v="0.05"/>
    <n v="17800"/>
    <x v="0"/>
    <s v="Express"/>
    <s v="Delivered"/>
    <n v="5"/>
    <s v="July"/>
    <x v="1180"/>
    <n v="20"/>
    <n v="38306"/>
    <n v="52"/>
  </r>
  <r>
    <s v="ORD1182"/>
    <x v="1181"/>
    <x v="300"/>
    <x v="68"/>
    <x v="3"/>
    <x v="1"/>
    <x v="3"/>
    <x v="0"/>
    <x v="0"/>
    <s v="Corporate"/>
    <x v="1"/>
    <s v="Chairs"/>
    <x v="1"/>
    <n v="23700"/>
    <x v="3"/>
    <n v="0.1"/>
    <n v="5560"/>
    <x v="1"/>
    <s v="Standard"/>
    <s v="Delivered"/>
    <n v="4"/>
    <s v="July"/>
    <x v="1181"/>
    <n v="19"/>
    <n v="32558.947368421053"/>
    <n v="52"/>
  </r>
  <r>
    <s v="ORD1183"/>
    <x v="1182"/>
    <x v="301"/>
    <x v="154"/>
    <x v="29"/>
    <x v="0"/>
    <x v="6"/>
    <x v="0"/>
    <x v="0"/>
    <s v="Consumer"/>
    <x v="0"/>
    <s v="Accessories"/>
    <x v="2"/>
    <n v="56900"/>
    <x v="1"/>
    <n v="0.05"/>
    <n v="11200"/>
    <x v="2"/>
    <s v="Standard"/>
    <s v="Delivered"/>
    <n v="4"/>
    <s v="August"/>
    <x v="1182"/>
    <n v="18"/>
    <n v="33051.111111111109"/>
    <n v="52"/>
  </r>
  <r>
    <s v="ORD1184"/>
    <x v="1183"/>
    <x v="302"/>
    <x v="146"/>
    <x v="5"/>
    <x v="1"/>
    <x v="11"/>
    <x v="0"/>
    <x v="0"/>
    <s v="Consumer"/>
    <x v="2"/>
    <s v="Paper"/>
    <x v="7"/>
    <n v="1530"/>
    <x v="6"/>
    <n v="0.02"/>
    <n v="460"/>
    <x v="0"/>
    <s v="Standard"/>
    <s v="Delivered"/>
    <n v="5"/>
    <s v="August"/>
    <x v="1183"/>
    <n v="17"/>
    <n v="31648.235294117647"/>
    <n v="51"/>
  </r>
  <r>
    <s v="ORD1185"/>
    <x v="1184"/>
    <x v="303"/>
    <x v="30"/>
    <x v="23"/>
    <x v="0"/>
    <x v="3"/>
    <x v="0"/>
    <x v="0"/>
    <s v="Corporate"/>
    <x v="1"/>
    <s v="Tables"/>
    <x v="4"/>
    <n v="53600"/>
    <x v="1"/>
    <n v="0.08"/>
    <n v="9300"/>
    <x v="1"/>
    <s v="Express"/>
    <s v="Delivered"/>
    <n v="4"/>
    <s v="August"/>
    <x v="1184"/>
    <n v="16"/>
    <n v="33530.625"/>
    <n v="51"/>
  </r>
  <r>
    <s v="ORD1186"/>
    <x v="1185"/>
    <x v="304"/>
    <x v="9"/>
    <x v="13"/>
    <x v="1"/>
    <x v="0"/>
    <x v="0"/>
    <x v="0"/>
    <s v="Consumer"/>
    <x v="0"/>
    <s v="Accessories"/>
    <x v="5"/>
    <n v="8200"/>
    <x v="3"/>
    <n v="0.05"/>
    <n v="2180"/>
    <x v="0"/>
    <s v="Standard"/>
    <s v="Delivered"/>
    <n v="4"/>
    <s v="August"/>
    <x v="1185"/>
    <n v="15"/>
    <n v="32192.666666666668"/>
    <n v="51"/>
  </r>
  <r>
    <s v="ORD1187"/>
    <x v="1186"/>
    <x v="305"/>
    <x v="150"/>
    <x v="18"/>
    <x v="0"/>
    <x v="32"/>
    <x v="0"/>
    <x v="0"/>
    <s v="Consumer"/>
    <x v="0"/>
    <s v="Accessories"/>
    <x v="6"/>
    <n v="10200"/>
    <x v="10"/>
    <n v="0"/>
    <n v="3060"/>
    <x v="3"/>
    <s v="Standard"/>
    <s v="Delivered"/>
    <n v="3"/>
    <s v="August"/>
    <x v="1186"/>
    <n v="14"/>
    <n v="33906.428571428572"/>
    <n v="51"/>
  </r>
  <r>
    <s v="ORD1188"/>
    <x v="1187"/>
    <x v="306"/>
    <x v="147"/>
    <x v="0"/>
    <x v="1"/>
    <x v="6"/>
    <x v="0"/>
    <x v="0"/>
    <s v="Corporate"/>
    <x v="2"/>
    <s v="Paper"/>
    <x v="3"/>
    <n v="15100"/>
    <x v="2"/>
    <n v="0.02"/>
    <n v="3760"/>
    <x v="0"/>
    <s v="Standard"/>
    <s v="Delivered"/>
    <n v="5"/>
    <s v="September"/>
    <x v="1187"/>
    <n v="13"/>
    <n v="35730"/>
    <n v="51"/>
  </r>
  <r>
    <s v="ORD1189"/>
    <x v="1188"/>
    <x v="307"/>
    <x v="14"/>
    <x v="27"/>
    <x v="0"/>
    <x v="10"/>
    <x v="0"/>
    <x v="0"/>
    <s v="Corporate"/>
    <x v="1"/>
    <s v="Storage"/>
    <x v="8"/>
    <n v="33800"/>
    <x v="0"/>
    <n v="0.1"/>
    <n v="6100"/>
    <x v="1"/>
    <s v="Express"/>
    <s v="Delivered"/>
    <n v="4"/>
    <s v="September"/>
    <x v="1188"/>
    <n v="12"/>
    <n v="37449.166666666664"/>
    <n v="51"/>
  </r>
  <r>
    <s v="ORD1190"/>
    <x v="1189"/>
    <x v="308"/>
    <x v="13"/>
    <x v="1"/>
    <x v="1"/>
    <x v="3"/>
    <x v="0"/>
    <x v="0"/>
    <s v="Consumer"/>
    <x v="0"/>
    <s v="Printers"/>
    <x v="9"/>
    <n v="36500"/>
    <x v="1"/>
    <n v="0.05"/>
    <n v="6950"/>
    <x v="0"/>
    <s v="Standard"/>
    <s v="Delivered"/>
    <n v="4"/>
    <s v="September"/>
    <x v="1189"/>
    <n v="11"/>
    <n v="37780.909090909088"/>
    <n v="51"/>
  </r>
  <r>
    <s v="ORD1191"/>
    <x v="1190"/>
    <x v="177"/>
    <x v="136"/>
    <x v="14"/>
    <x v="0"/>
    <x v="0"/>
    <x v="0"/>
    <x v="0"/>
    <s v="Consumer"/>
    <x v="2"/>
    <s v="Accessories"/>
    <x v="10"/>
    <n v="2270"/>
    <x v="11"/>
    <n v="0"/>
    <n v="700"/>
    <x v="2"/>
    <s v="Standard"/>
    <s v="Delivered"/>
    <n v="5"/>
    <s v="September"/>
    <x v="1190"/>
    <n v="10"/>
    <n v="37909"/>
    <n v="51"/>
  </r>
  <r>
    <s v="ORD1192"/>
    <x v="1191"/>
    <x v="309"/>
    <x v="109"/>
    <x v="7"/>
    <x v="1"/>
    <x v="11"/>
    <x v="0"/>
    <x v="0"/>
    <s v="Corporate"/>
    <x v="1"/>
    <s v="Tables"/>
    <x v="11"/>
    <n v="52400"/>
    <x v="0"/>
    <n v="0.08"/>
    <n v="11000"/>
    <x v="1"/>
    <s v="Express"/>
    <s v="Delivered"/>
    <n v="4"/>
    <s v="October"/>
    <x v="1191"/>
    <n v="9"/>
    <n v="41868.888888888891"/>
    <n v="51"/>
  </r>
  <r>
    <s v="ORD1193"/>
    <x v="1192"/>
    <x v="310"/>
    <x v="83"/>
    <x v="8"/>
    <x v="0"/>
    <x v="3"/>
    <x v="0"/>
    <x v="0"/>
    <s v="Consumer"/>
    <x v="0"/>
    <s v="Computers"/>
    <x v="0"/>
    <n v="149000"/>
    <x v="0"/>
    <n v="0.1"/>
    <n v="16800"/>
    <x v="0"/>
    <s v="Express"/>
    <s v="Delivered"/>
    <n v="5"/>
    <s v="October"/>
    <x v="1192"/>
    <n v="8"/>
    <n v="40552.5"/>
    <n v="51"/>
  </r>
  <r>
    <s v="ORD1194"/>
    <x v="1193"/>
    <x v="151"/>
    <x v="87"/>
    <x v="6"/>
    <x v="1"/>
    <x v="55"/>
    <x v="0"/>
    <x v="0"/>
    <s v="Consumer"/>
    <x v="2"/>
    <s v="Storage"/>
    <x v="12"/>
    <n v="2970"/>
    <x v="5"/>
    <n v="0.05"/>
    <n v="990"/>
    <x v="3"/>
    <s v="Standard"/>
    <s v="Delivered"/>
    <n v="4"/>
    <s v="October"/>
    <x v="1193"/>
    <n v="7"/>
    <n v="25060"/>
    <n v="51"/>
  </r>
  <r>
    <s v="ORD1195"/>
    <x v="1194"/>
    <x v="311"/>
    <x v="78"/>
    <x v="26"/>
    <x v="0"/>
    <x v="10"/>
    <x v="0"/>
    <x v="0"/>
    <s v="Corporate"/>
    <x v="1"/>
    <s v="Chairs"/>
    <x v="1"/>
    <n v="27800"/>
    <x v="9"/>
    <n v="7.0000000000000007E-2"/>
    <n v="6550"/>
    <x v="1"/>
    <s v="Standard"/>
    <s v="Delivered"/>
    <n v="4"/>
    <s v="October"/>
    <x v="1194"/>
    <n v="6"/>
    <n v="28741.666666666668"/>
    <n v="51"/>
  </r>
  <r>
    <s v="ORD1196"/>
    <x v="1195"/>
    <x v="184"/>
    <x v="124"/>
    <x v="19"/>
    <x v="1"/>
    <x v="3"/>
    <x v="0"/>
    <x v="0"/>
    <s v="Consumer"/>
    <x v="0"/>
    <s v="Accessories"/>
    <x v="2"/>
    <n v="57800"/>
    <x v="1"/>
    <n v="0.05"/>
    <n v="11400"/>
    <x v="0"/>
    <s v="Express"/>
    <s v="Delivered"/>
    <n v="5"/>
    <s v="November"/>
    <x v="1195"/>
    <n v="5"/>
    <n v="28930"/>
    <n v="47"/>
  </r>
  <r>
    <s v="ORD1197"/>
    <x v="1196"/>
    <x v="68"/>
    <x v="167"/>
    <x v="4"/>
    <x v="0"/>
    <x v="42"/>
    <x v="0"/>
    <x v="0"/>
    <s v="Corporate"/>
    <x v="2"/>
    <s v="Paper"/>
    <x v="3"/>
    <n v="15400"/>
    <x v="2"/>
    <n v="0.03"/>
    <n v="3820"/>
    <x v="2"/>
    <s v="Standard"/>
    <s v="Delivered"/>
    <n v="4"/>
    <s v="November"/>
    <x v="1196"/>
    <n v="4"/>
    <n v="21712.5"/>
    <n v="47"/>
  </r>
  <r>
    <s v="ORD1198"/>
    <x v="1197"/>
    <x v="279"/>
    <x v="11"/>
    <x v="15"/>
    <x v="1"/>
    <x v="12"/>
    <x v="0"/>
    <x v="0"/>
    <s v="Consumer"/>
    <x v="1"/>
    <s v="Tables"/>
    <x v="4"/>
    <n v="52700"/>
    <x v="1"/>
    <n v="0.1"/>
    <n v="8600"/>
    <x v="0"/>
    <s v="Express"/>
    <s v="Delivered"/>
    <n v="5"/>
    <s v="November"/>
    <x v="1197"/>
    <n v="3"/>
    <n v="23816.666666666668"/>
    <n v="47"/>
  </r>
  <r>
    <s v="ORD1199"/>
    <x v="1198"/>
    <x v="312"/>
    <x v="40"/>
    <x v="24"/>
    <x v="0"/>
    <x v="14"/>
    <x v="8"/>
    <x v="0"/>
    <s v="Corporate"/>
    <x v="0"/>
    <s v="Accessories"/>
    <x v="5"/>
    <n v="8350"/>
    <x v="9"/>
    <n v="0.05"/>
    <n v="2210"/>
    <x v="1"/>
    <s v="Standard"/>
    <s v="Delivered"/>
    <n v="3"/>
    <s v="November"/>
    <x v="1198"/>
    <n v="2"/>
    <n v="9375"/>
    <n v="47"/>
  </r>
  <r>
    <s v="ORD1200"/>
    <x v="1199"/>
    <x v="313"/>
    <x v="1"/>
    <x v="12"/>
    <x v="1"/>
    <x v="0"/>
    <x v="0"/>
    <x v="0"/>
    <s v="Consumer"/>
    <x v="0"/>
    <s v="Accessories"/>
    <x v="6"/>
    <n v="10400"/>
    <x v="12"/>
    <n v="0"/>
    <n v="3120"/>
    <x v="0"/>
    <s v="Standard"/>
    <s v="Delivered"/>
    <n v="4"/>
    <s v="November"/>
    <x v="1199"/>
    <n v="1"/>
    <n v="1040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084D5-C1E4-4273-B52F-1D735BEE2FDC}"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
  <location ref="B4:C24"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axis="axisRow" showAll="0">
      <items count="20">
        <item x="18"/>
        <item x="15"/>
        <item x="9"/>
        <item x="2"/>
        <item x="8"/>
        <item x="3"/>
        <item x="16"/>
        <item x="1"/>
        <item x="13"/>
        <item x="10"/>
        <item x="0"/>
        <item x="17"/>
        <item x="14"/>
        <item x="5"/>
        <item x="7"/>
        <item x="4"/>
        <item x="12"/>
        <item x="11"/>
        <item x="6"/>
        <item t="default"/>
      </items>
    </pivotField>
    <pivotField showAll="0"/>
    <pivotField showAll="0"/>
    <pivotField showAll="0"/>
    <pivotField showAll="0"/>
    <pivotField showAll="0">
      <items count="14">
        <item x="11"/>
        <item x="12"/>
        <item x="8"/>
        <item x="5"/>
        <item x="0"/>
        <item x="2"/>
        <item x="6"/>
        <item x="7"/>
        <item x="1"/>
        <item x="4"/>
        <item x="10"/>
        <item x="9"/>
        <item x="3"/>
        <item t="default"/>
      </items>
    </pivotField>
    <pivotField dataField="1"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14953-99FE-40AB-9426-775A73ED297F}"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Gender">
  <location ref="N11:O14"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5"/>
  </rowFields>
  <rowItems count="3">
    <i>
      <x/>
    </i>
    <i>
      <x v="1"/>
    </i>
    <i t="grand">
      <x/>
    </i>
  </rowItems>
  <colItems count="1">
    <i/>
  </colItems>
  <dataFields count="1">
    <dataField name="Sum of Customer_Rating" fld="20" baseField="0" baseItem="0" numFmtId="2"/>
  </dataFields>
  <formats count="2">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44EB9-E348-4812-B971-8E0638BD79F0}"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u_age">
  <location ref="H5:I38"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axis="axisRow" showAll="0">
      <items count="34">
        <item x="21"/>
        <item x="17"/>
        <item x="9"/>
        <item x="3"/>
        <item x="15"/>
        <item x="0"/>
        <item h="1" x="6"/>
        <item x="12"/>
        <item x="5"/>
        <item x="19"/>
        <item x="10"/>
        <item x="1"/>
        <item x="16"/>
        <item x="13"/>
        <item x="7"/>
        <item x="20"/>
        <item x="4"/>
        <item x="14"/>
        <item x="2"/>
        <item x="11"/>
        <item x="18"/>
        <item x="22"/>
        <item x="8"/>
        <item x="23"/>
        <item x="24"/>
        <item x="25"/>
        <item x="27"/>
        <item x="28"/>
        <item x="26"/>
        <item x="29"/>
        <item x="32"/>
        <item x="31"/>
        <item x="30"/>
        <item t="default"/>
      </items>
    </pivotField>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4"/>
  </rowFields>
  <rowItems count="33">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count_of_customar " fld="2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409D3-A428-4190-B1A3-6B04C3E4F929}"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6:L20"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14">
        <item x="11"/>
        <item x="12"/>
        <item x="8"/>
        <item x="5"/>
        <item x="0"/>
        <item x="2"/>
        <item x="6"/>
        <item x="7"/>
        <item x="1"/>
        <item x="4"/>
        <item x="10"/>
        <item x="9"/>
        <item x="3"/>
        <item t="default"/>
      </items>
    </pivotField>
    <pivotField showAll="0"/>
    <pivotField dataField="1"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C8A73-BF45-4A80-9EB6-A86543DC5224}"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4:F38" firstHeaderRow="1" firstDataRow="1" firstDataCol="1"/>
  <pivotFields count="29">
    <pivotField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315">
        <item x="16"/>
        <item x="37"/>
        <item x="276"/>
        <item x="237"/>
        <item x="77"/>
        <item x="127"/>
        <item x="58"/>
        <item x="202"/>
        <item x="46"/>
        <item x="53"/>
        <item x="26"/>
        <item x="198"/>
        <item x="273"/>
        <item x="168"/>
        <item x="297"/>
        <item x="123"/>
        <item x="62"/>
        <item x="133"/>
        <item x="20"/>
        <item x="192"/>
        <item x="313"/>
        <item x="304"/>
        <item x="186"/>
        <item x="265"/>
        <item x="2"/>
        <item x="85"/>
        <item x="244"/>
        <item x="154"/>
        <item x="260"/>
        <item x="33"/>
        <item x="281"/>
        <item x="288"/>
        <item x="50"/>
        <item x="223"/>
        <item x="179"/>
        <item x="7"/>
        <item x="189"/>
        <item x="131"/>
        <item x="112"/>
        <item x="175"/>
        <item x="162"/>
        <item x="165"/>
        <item x="148"/>
        <item x="78"/>
        <item x="228"/>
        <item x="220"/>
        <item x="300"/>
        <item x="230"/>
        <item x="306"/>
        <item x="12"/>
        <item x="213"/>
        <item x="137"/>
        <item x="88"/>
        <item x="182"/>
        <item x="286"/>
        <item x="291"/>
        <item x="208"/>
        <item x="74"/>
        <item x="164"/>
        <item x="180"/>
        <item x="236"/>
        <item x="89"/>
        <item x="106"/>
        <item x="200"/>
        <item x="42"/>
        <item x="146"/>
        <item x="68"/>
        <item x="118"/>
        <item x="167"/>
        <item x="40"/>
        <item x="226"/>
        <item x="217"/>
        <item x="73"/>
        <item x="296"/>
        <item x="17"/>
        <item x="49"/>
        <item x="71"/>
        <item x="158"/>
        <item x="193"/>
        <item x="218"/>
        <item x="94"/>
        <item x="196"/>
        <item x="311"/>
        <item x="103"/>
        <item x="309"/>
        <item x="159"/>
        <item x="147"/>
        <item x="161"/>
        <item x="185"/>
        <item x="142"/>
        <item x="150"/>
        <item x="28"/>
        <item x="283"/>
        <item x="70"/>
        <item x="227"/>
        <item x="65"/>
        <item x="95"/>
        <item x="21"/>
        <item x="201"/>
        <item x="243"/>
        <item x="277"/>
        <item x="75"/>
        <item x="187"/>
        <item x="155"/>
        <item x="176"/>
        <item x="101"/>
        <item x="293"/>
        <item x="31"/>
        <item x="269"/>
        <item x="145"/>
        <item x="214"/>
        <item x="11"/>
        <item x="114"/>
        <item x="67"/>
        <item x="135"/>
        <item x="183"/>
        <item x="48"/>
        <item x="136"/>
        <item x="102"/>
        <item x="163"/>
        <item x="287"/>
        <item x="122"/>
        <item x="113"/>
        <item x="222"/>
        <item x="204"/>
        <item x="116"/>
        <item x="36"/>
        <item x="289"/>
        <item x="18"/>
        <item x="80"/>
        <item x="285"/>
        <item x="134"/>
        <item x="232"/>
        <item x="172"/>
        <item x="195"/>
        <item x="160"/>
        <item x="157"/>
        <item x="109"/>
        <item x="64"/>
        <item x="13"/>
        <item x="279"/>
        <item x="171"/>
        <item x="138"/>
        <item x="55"/>
        <item x="191"/>
        <item x="197"/>
        <item x="216"/>
        <item x="99"/>
        <item x="29"/>
        <item x="128"/>
        <item x="302"/>
        <item x="267"/>
        <item x="199"/>
        <item x="247"/>
        <item x="251"/>
        <item x="59"/>
        <item x="39"/>
        <item x="105"/>
        <item x="140"/>
        <item x="45"/>
        <item x="143"/>
        <item x="209"/>
        <item x="72"/>
        <item x="5"/>
        <item x="22"/>
        <item x="294"/>
        <item x="266"/>
        <item x="253"/>
        <item x="69"/>
        <item x="305"/>
        <item x="219"/>
        <item x="24"/>
        <item x="121"/>
        <item x="76"/>
        <item x="43"/>
        <item x="256"/>
        <item x="56"/>
        <item x="225"/>
        <item x="190"/>
        <item x="174"/>
        <item x="9"/>
        <item x="92"/>
        <item x="132"/>
        <item x="107"/>
        <item x="262"/>
        <item x="111"/>
        <item x="124"/>
        <item x="32"/>
        <item x="250"/>
        <item x="119"/>
        <item x="310"/>
        <item x="268"/>
        <item x="81"/>
        <item x="141"/>
        <item x="292"/>
        <item x="235"/>
        <item x="1"/>
        <item x="15"/>
        <item x="51"/>
        <item x="130"/>
        <item x="0"/>
        <item x="10"/>
        <item x="83"/>
        <item x="166"/>
        <item x="301"/>
        <item x="312"/>
        <item x="278"/>
        <item x="152"/>
        <item x="299"/>
        <item x="263"/>
        <item x="86"/>
        <item x="184"/>
        <item x="169"/>
        <item x="104"/>
        <item x="264"/>
        <item x="233"/>
        <item x="240"/>
        <item x="248"/>
        <item x="44"/>
        <item x="25"/>
        <item x="4"/>
        <item x="91"/>
        <item x="238"/>
        <item x="207"/>
        <item x="63"/>
        <item x="270"/>
        <item x="108"/>
        <item x="221"/>
        <item x="257"/>
        <item x="96"/>
        <item x="125"/>
        <item x="203"/>
        <item x="79"/>
        <item x="210"/>
        <item x="115"/>
        <item x="144"/>
        <item x="98"/>
        <item x="252"/>
        <item x="14"/>
        <item x="57"/>
        <item x="307"/>
        <item x="239"/>
        <item x="170"/>
        <item x="284"/>
        <item x="282"/>
        <item x="41"/>
        <item x="249"/>
        <item x="295"/>
        <item x="84"/>
        <item x="205"/>
        <item x="93"/>
        <item x="298"/>
        <item x="173"/>
        <item x="254"/>
        <item x="194"/>
        <item x="151"/>
        <item x="303"/>
        <item x="258"/>
        <item x="100"/>
        <item x="234"/>
        <item x="242"/>
        <item x="23"/>
        <item x="60"/>
        <item x="231"/>
        <item x="224"/>
        <item x="52"/>
        <item x="246"/>
        <item x="110"/>
        <item x="30"/>
        <item x="35"/>
        <item x="308"/>
        <item x="3"/>
        <item x="290"/>
        <item x="188"/>
        <item x="211"/>
        <item x="82"/>
        <item x="126"/>
        <item x="178"/>
        <item x="181"/>
        <item x="139"/>
        <item x="8"/>
        <item x="271"/>
        <item x="241"/>
        <item x="129"/>
        <item x="66"/>
        <item x="90"/>
        <item x="19"/>
        <item x="153"/>
        <item x="27"/>
        <item x="120"/>
        <item x="54"/>
        <item x="272"/>
        <item x="206"/>
        <item x="156"/>
        <item x="47"/>
        <item x="117"/>
        <item x="212"/>
        <item x="274"/>
        <item x="61"/>
        <item x="215"/>
        <item x="87"/>
        <item x="34"/>
        <item x="245"/>
        <item x="149"/>
        <item x="6"/>
        <item x="261"/>
        <item x="177"/>
        <item x="275"/>
        <item x="97"/>
        <item x="255"/>
        <item x="38"/>
        <item x="259"/>
        <item x="280"/>
        <item x="229"/>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dataField="1"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t="default"/>
      </items>
    </pivotField>
  </pivotFields>
  <rowFields count="4">
    <field x="28"/>
    <field x="27"/>
    <field x="26"/>
    <field x="1"/>
  </rowFields>
  <rowItems count="24">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C3163-BE1B-4CA7-8081-D45054D53DC0}"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E4:F8"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axis="axisRow" showAll="0">
      <items count="4">
        <item x="0"/>
        <item x="1"/>
        <item x="2"/>
        <item t="default"/>
      </items>
    </pivotField>
    <pivotField showAll="0"/>
    <pivotField showAll="0">
      <items count="14">
        <item x="11"/>
        <item x="12"/>
        <item x="8"/>
        <item x="5"/>
        <item x="0"/>
        <item x="2"/>
        <item x="6"/>
        <item x="7"/>
        <item x="1"/>
        <item x="4"/>
        <item x="10"/>
        <item x="9"/>
        <item x="3"/>
        <item t="default"/>
      </items>
    </pivotField>
    <pivotField dataField="1" showAll="0"/>
    <pivotField showAll="0">
      <items count="15">
        <item x="0"/>
        <item x="1"/>
        <item x="3"/>
        <item x="9"/>
        <item x="4"/>
        <item x="10"/>
        <item x="12"/>
        <item x="8"/>
        <item x="2"/>
        <item x="7"/>
        <item x="5"/>
        <item x="13"/>
        <item x="6"/>
        <item x="11"/>
        <item t="default"/>
      </items>
    </pivotField>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10"/>
  </rowFields>
  <rowItems count="4">
    <i>
      <x/>
    </i>
    <i>
      <x v="1"/>
    </i>
    <i>
      <x v="2"/>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6A5C38-05D9-4BD3-A229-F1533D84D018}"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5:C8"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169">
        <item x="28"/>
        <item x="64"/>
        <item x="111"/>
        <item x="44"/>
        <item x="51"/>
        <item x="72"/>
        <item x="110"/>
        <item x="86"/>
        <item x="163"/>
        <item x="62"/>
        <item x="45"/>
        <item x="126"/>
        <item x="128"/>
        <item x="130"/>
        <item x="11"/>
        <item x="78"/>
        <item x="32"/>
        <item x="14"/>
        <item x="131"/>
        <item x="52"/>
        <item x="134"/>
        <item x="148"/>
        <item x="60"/>
        <item x="114"/>
        <item x="69"/>
        <item x="9"/>
        <item x="58"/>
        <item x="153"/>
        <item x="85"/>
        <item x="132"/>
        <item x="91"/>
        <item x="26"/>
        <item x="84"/>
        <item x="57"/>
        <item x="101"/>
        <item x="156"/>
        <item x="162"/>
        <item x="30"/>
        <item x="96"/>
        <item x="43"/>
        <item x="142"/>
        <item x="98"/>
        <item x="113"/>
        <item x="151"/>
        <item x="20"/>
        <item x="13"/>
        <item x="68"/>
        <item x="29"/>
        <item x="161"/>
        <item x="102"/>
        <item x="3"/>
        <item x="83"/>
        <item x="40"/>
        <item x="18"/>
        <item x="140"/>
        <item x="81"/>
        <item x="23"/>
        <item x="155"/>
        <item x="125"/>
        <item x="133"/>
        <item x="8"/>
        <item x="166"/>
        <item x="146"/>
        <item x="63"/>
        <item x="47"/>
        <item x="80"/>
        <item x="95"/>
        <item x="147"/>
        <item x="122"/>
        <item x="93"/>
        <item x="10"/>
        <item x="2"/>
        <item x="157"/>
        <item x="143"/>
        <item x="103"/>
        <item x="106"/>
        <item x="112"/>
        <item x="119"/>
        <item x="137"/>
        <item x="31"/>
        <item x="19"/>
        <item x="165"/>
        <item x="116"/>
        <item x="107"/>
        <item x="100"/>
        <item x="4"/>
        <item x="36"/>
        <item x="87"/>
        <item x="38"/>
        <item x="138"/>
        <item x="127"/>
        <item x="121"/>
        <item x="16"/>
        <item x="34"/>
        <item x="92"/>
        <item x="76"/>
        <item x="67"/>
        <item x="12"/>
        <item x="61"/>
        <item x="99"/>
        <item x="164"/>
        <item x="115"/>
        <item x="97"/>
        <item x="152"/>
        <item x="124"/>
        <item x="53"/>
        <item x="0"/>
        <item x="65"/>
        <item x="105"/>
        <item x="27"/>
        <item x="160"/>
        <item x="37"/>
        <item x="136"/>
        <item x="118"/>
        <item x="94"/>
        <item x="149"/>
        <item x="129"/>
        <item x="42"/>
        <item x="109"/>
        <item x="21"/>
        <item x="6"/>
        <item x="66"/>
        <item x="54"/>
        <item x="56"/>
        <item x="55"/>
        <item x="145"/>
        <item x="82"/>
        <item x="154"/>
        <item x="144"/>
        <item x="117"/>
        <item x="15"/>
        <item x="39"/>
        <item x="24"/>
        <item x="1"/>
        <item x="48"/>
        <item x="75"/>
        <item x="22"/>
        <item x="79"/>
        <item x="159"/>
        <item x="88"/>
        <item x="5"/>
        <item x="71"/>
        <item x="46"/>
        <item x="89"/>
        <item x="141"/>
        <item x="35"/>
        <item x="74"/>
        <item x="73"/>
        <item x="167"/>
        <item x="120"/>
        <item x="135"/>
        <item x="25"/>
        <item x="70"/>
        <item x="158"/>
        <item x="33"/>
        <item x="41"/>
        <item x="77"/>
        <item x="104"/>
        <item x="108"/>
        <item x="123"/>
        <item x="139"/>
        <item x="7"/>
        <item x="17"/>
        <item x="90"/>
        <item x="49"/>
        <item x="150"/>
        <item x="50"/>
        <item x="59"/>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dataField="1"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5"/>
  </rowFields>
  <rowItems count="3">
    <i>
      <x/>
    </i>
    <i>
      <x v="1"/>
    </i>
    <i t="grand">
      <x/>
    </i>
  </rowItems>
  <colItems count="1">
    <i/>
  </colItems>
  <dataFields count="1">
    <dataField name="Sum of Sales" fld="13"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3F7400-BD44-4157-9DF1-74388D2F5BFF}"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A11:AB25"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axis="axisRow"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Count of Gender" fld="5" subtotal="count"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4"/>
          </reference>
        </references>
      </pivotArea>
    </chartFormat>
    <chartFormat chart="0" format="5">
      <pivotArea type="data" outline="0" fieldPosition="0">
        <references count="2">
          <reference field="4294967294" count="1" selected="0">
            <x v="0"/>
          </reference>
          <reference field="12" count="1" selected="0">
            <x v="5"/>
          </reference>
        </references>
      </pivotArea>
    </chartFormat>
    <chartFormat chart="0" format="6">
      <pivotArea type="data" outline="0" fieldPosition="0">
        <references count="2">
          <reference field="4294967294" count="1" selected="0">
            <x v="0"/>
          </reference>
          <reference field="12" count="1" selected="0">
            <x v="6"/>
          </reference>
        </references>
      </pivotArea>
    </chartFormat>
    <chartFormat chart="0" format="7">
      <pivotArea type="data" outline="0" fieldPosition="0">
        <references count="2">
          <reference field="4294967294" count="1" selected="0">
            <x v="0"/>
          </reference>
          <reference field="12" count="1" selected="0">
            <x v="7"/>
          </reference>
        </references>
      </pivotArea>
    </chartFormat>
    <chartFormat chart="0" format="8">
      <pivotArea type="data" outline="0" fieldPosition="0">
        <references count="2">
          <reference field="4294967294" count="1" selected="0">
            <x v="0"/>
          </reference>
          <reference field="12" count="1" selected="0">
            <x v="8"/>
          </reference>
        </references>
      </pivotArea>
    </chartFormat>
    <chartFormat chart="0" format="9">
      <pivotArea type="data" outline="0" fieldPosition="0">
        <references count="2">
          <reference field="4294967294" count="1" selected="0">
            <x v="0"/>
          </reference>
          <reference field="12" count="1" selected="0">
            <x v="9"/>
          </reference>
        </references>
      </pivotArea>
    </chartFormat>
    <chartFormat chart="0" format="10">
      <pivotArea type="data" outline="0" fieldPosition="0">
        <references count="2">
          <reference field="4294967294" count="1" selected="0">
            <x v="0"/>
          </reference>
          <reference field="12" count="1" selected="0">
            <x v="10"/>
          </reference>
        </references>
      </pivotArea>
    </chartFormat>
    <chartFormat chart="0" format="11">
      <pivotArea type="data" outline="0" fieldPosition="0">
        <references count="2">
          <reference field="4294967294" count="1" selected="0">
            <x v="0"/>
          </reference>
          <reference field="12" count="1" selected="0">
            <x v="11"/>
          </reference>
        </references>
      </pivotArea>
    </chartFormat>
    <chartFormat chart="0" format="12">
      <pivotArea type="data" outline="0" fieldPosition="0">
        <references count="2">
          <reference field="4294967294" count="1" selected="0">
            <x v="0"/>
          </reference>
          <reference field="12" count="1" selected="0">
            <x v="12"/>
          </reference>
        </references>
      </pivotArea>
    </chartFormat>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2" count="1" selected="0">
            <x v="1"/>
          </reference>
        </references>
      </pivotArea>
    </chartFormat>
    <chartFormat chart="2" format="28">
      <pivotArea type="data" outline="0" fieldPosition="0">
        <references count="2">
          <reference field="4294967294" count="1" selected="0">
            <x v="0"/>
          </reference>
          <reference field="12" count="1" selected="0">
            <x v="2"/>
          </reference>
        </references>
      </pivotArea>
    </chartFormat>
    <chartFormat chart="2" format="29">
      <pivotArea type="data" outline="0" fieldPosition="0">
        <references count="2">
          <reference field="4294967294" count="1" selected="0">
            <x v="0"/>
          </reference>
          <reference field="12" count="1" selected="0">
            <x v="3"/>
          </reference>
        </references>
      </pivotArea>
    </chartFormat>
    <chartFormat chart="2" format="30">
      <pivotArea type="data" outline="0" fieldPosition="0">
        <references count="2">
          <reference field="4294967294" count="1" selected="0">
            <x v="0"/>
          </reference>
          <reference field="12" count="1" selected="0">
            <x v="4"/>
          </reference>
        </references>
      </pivotArea>
    </chartFormat>
    <chartFormat chart="2" format="31">
      <pivotArea type="data" outline="0" fieldPosition="0">
        <references count="2">
          <reference field="4294967294" count="1" selected="0">
            <x v="0"/>
          </reference>
          <reference field="12" count="1" selected="0">
            <x v="5"/>
          </reference>
        </references>
      </pivotArea>
    </chartFormat>
    <chartFormat chart="2" format="32">
      <pivotArea type="data" outline="0" fieldPosition="0">
        <references count="2">
          <reference field="4294967294" count="1" selected="0">
            <x v="0"/>
          </reference>
          <reference field="12" count="1" selected="0">
            <x v="6"/>
          </reference>
        </references>
      </pivotArea>
    </chartFormat>
    <chartFormat chart="2" format="33">
      <pivotArea type="data" outline="0" fieldPosition="0">
        <references count="2">
          <reference field="4294967294" count="1" selected="0">
            <x v="0"/>
          </reference>
          <reference field="12" count="1" selected="0">
            <x v="7"/>
          </reference>
        </references>
      </pivotArea>
    </chartFormat>
    <chartFormat chart="2" format="34">
      <pivotArea type="data" outline="0" fieldPosition="0">
        <references count="2">
          <reference field="4294967294" count="1" selected="0">
            <x v="0"/>
          </reference>
          <reference field="12" count="1" selected="0">
            <x v="8"/>
          </reference>
        </references>
      </pivotArea>
    </chartFormat>
    <chartFormat chart="2" format="35">
      <pivotArea type="data" outline="0" fieldPosition="0">
        <references count="2">
          <reference field="4294967294" count="1" selected="0">
            <x v="0"/>
          </reference>
          <reference field="12" count="1" selected="0">
            <x v="9"/>
          </reference>
        </references>
      </pivotArea>
    </chartFormat>
    <chartFormat chart="2" format="36">
      <pivotArea type="data" outline="0" fieldPosition="0">
        <references count="2">
          <reference field="4294967294" count="1" selected="0">
            <x v="0"/>
          </reference>
          <reference field="12" count="1" selected="0">
            <x v="10"/>
          </reference>
        </references>
      </pivotArea>
    </chartFormat>
    <chartFormat chart="2" format="37">
      <pivotArea type="data" outline="0" fieldPosition="0">
        <references count="2">
          <reference field="4294967294" count="1" selected="0">
            <x v="0"/>
          </reference>
          <reference field="12" count="1" selected="0">
            <x v="11"/>
          </reference>
        </references>
      </pivotArea>
    </chartFormat>
    <chartFormat chart="2" format="38">
      <pivotArea type="data" outline="0" fieldPosition="0">
        <references count="2">
          <reference field="4294967294" count="1" selected="0">
            <x v="0"/>
          </reference>
          <reference field="12" count="1" selected="0">
            <x v="12"/>
          </reference>
        </references>
      </pivotArea>
    </chartFormat>
    <chartFormat chart="0" format="13">
      <pivotArea type="data" outline="0" fieldPosition="0">
        <references count="2">
          <reference field="4294967294" count="1" selected="0">
            <x v="0"/>
          </reference>
          <reference field="12" count="1" selected="0">
            <x v="0"/>
          </reference>
        </references>
      </pivotArea>
    </chartFormat>
    <chartFormat chart="2" format="39">
      <pivotArea type="data" outline="0" fieldPosition="0">
        <references count="2">
          <reference field="4294967294" count="1" selected="0">
            <x v="0"/>
          </reference>
          <reference field="12" count="1" selected="0">
            <x v="0"/>
          </reference>
        </references>
      </pivotArea>
    </chartFormat>
    <chartFormat chart="4" format="54" series="1">
      <pivotArea type="data" outline="0" fieldPosition="0">
        <references count="1">
          <reference field="4294967294" count="1" selected="0">
            <x v="0"/>
          </reference>
        </references>
      </pivotArea>
    </chartFormat>
    <chartFormat chart="4" format="55">
      <pivotArea type="data" outline="0" fieldPosition="0">
        <references count="2">
          <reference field="4294967294" count="1" selected="0">
            <x v="0"/>
          </reference>
          <reference field="12" count="1" selected="0">
            <x v="0"/>
          </reference>
        </references>
      </pivotArea>
    </chartFormat>
    <chartFormat chart="4" format="56">
      <pivotArea type="data" outline="0" fieldPosition="0">
        <references count="2">
          <reference field="4294967294" count="1" selected="0">
            <x v="0"/>
          </reference>
          <reference field="12" count="1" selected="0">
            <x v="1"/>
          </reference>
        </references>
      </pivotArea>
    </chartFormat>
    <chartFormat chart="4" format="57">
      <pivotArea type="data" outline="0" fieldPosition="0">
        <references count="2">
          <reference field="4294967294" count="1" selected="0">
            <x v="0"/>
          </reference>
          <reference field="12" count="1" selected="0">
            <x v="2"/>
          </reference>
        </references>
      </pivotArea>
    </chartFormat>
    <chartFormat chart="4" format="58">
      <pivotArea type="data" outline="0" fieldPosition="0">
        <references count="2">
          <reference field="4294967294" count="1" selected="0">
            <x v="0"/>
          </reference>
          <reference field="12" count="1" selected="0">
            <x v="3"/>
          </reference>
        </references>
      </pivotArea>
    </chartFormat>
    <chartFormat chart="4" format="59">
      <pivotArea type="data" outline="0" fieldPosition="0">
        <references count="2">
          <reference field="4294967294" count="1" selected="0">
            <x v="0"/>
          </reference>
          <reference field="12" count="1" selected="0">
            <x v="4"/>
          </reference>
        </references>
      </pivotArea>
    </chartFormat>
    <chartFormat chart="4" format="60">
      <pivotArea type="data" outline="0" fieldPosition="0">
        <references count="2">
          <reference field="4294967294" count="1" selected="0">
            <x v="0"/>
          </reference>
          <reference field="12" count="1" selected="0">
            <x v="5"/>
          </reference>
        </references>
      </pivotArea>
    </chartFormat>
    <chartFormat chart="4" format="61">
      <pivotArea type="data" outline="0" fieldPosition="0">
        <references count="2">
          <reference field="4294967294" count="1" selected="0">
            <x v="0"/>
          </reference>
          <reference field="12" count="1" selected="0">
            <x v="6"/>
          </reference>
        </references>
      </pivotArea>
    </chartFormat>
    <chartFormat chart="4" format="62">
      <pivotArea type="data" outline="0" fieldPosition="0">
        <references count="2">
          <reference field="4294967294" count="1" selected="0">
            <x v="0"/>
          </reference>
          <reference field="12" count="1" selected="0">
            <x v="7"/>
          </reference>
        </references>
      </pivotArea>
    </chartFormat>
    <chartFormat chart="4" format="63">
      <pivotArea type="data" outline="0" fieldPosition="0">
        <references count="2">
          <reference field="4294967294" count="1" selected="0">
            <x v="0"/>
          </reference>
          <reference field="12" count="1" selected="0">
            <x v="8"/>
          </reference>
        </references>
      </pivotArea>
    </chartFormat>
    <chartFormat chart="4" format="64">
      <pivotArea type="data" outline="0" fieldPosition="0">
        <references count="2">
          <reference field="4294967294" count="1" selected="0">
            <x v="0"/>
          </reference>
          <reference field="12" count="1" selected="0">
            <x v="9"/>
          </reference>
        </references>
      </pivotArea>
    </chartFormat>
    <chartFormat chart="4" format="65">
      <pivotArea type="data" outline="0" fieldPosition="0">
        <references count="2">
          <reference field="4294967294" count="1" selected="0">
            <x v="0"/>
          </reference>
          <reference field="12" count="1" selected="0">
            <x v="10"/>
          </reference>
        </references>
      </pivotArea>
    </chartFormat>
    <chartFormat chart="4" format="66">
      <pivotArea type="data" outline="0" fieldPosition="0">
        <references count="2">
          <reference field="4294967294" count="1" selected="0">
            <x v="0"/>
          </reference>
          <reference field="12" count="1" selected="0">
            <x v="11"/>
          </reference>
        </references>
      </pivotArea>
    </chartFormat>
    <chartFormat chart="4" format="67">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017549-7A4E-4956-82FB-AAC643716846}"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N6:O63"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axis="axisRow" showAll="0">
      <items count="57">
        <item x="37"/>
        <item x="4"/>
        <item x="54"/>
        <item x="38"/>
        <item x="52"/>
        <item x="32"/>
        <item x="28"/>
        <item x="13"/>
        <item x="1"/>
        <item x="24"/>
        <item x="39"/>
        <item x="15"/>
        <item x="9"/>
        <item x="23"/>
        <item x="18"/>
        <item x="2"/>
        <item x="14"/>
        <item x="36"/>
        <item x="5"/>
        <item x="17"/>
        <item x="7"/>
        <item x="35"/>
        <item x="21"/>
        <item x="22"/>
        <item x="12"/>
        <item x="8"/>
        <item x="53"/>
        <item x="50"/>
        <item x="49"/>
        <item x="19"/>
        <item x="33"/>
        <item x="30"/>
        <item x="34"/>
        <item x="0"/>
        <item x="46"/>
        <item x="6"/>
        <item x="10"/>
        <item x="55"/>
        <item x="25"/>
        <item x="26"/>
        <item x="31"/>
        <item x="3"/>
        <item x="27"/>
        <item x="43"/>
        <item x="29"/>
        <item x="42"/>
        <item x="16"/>
        <item x="11"/>
        <item x="40"/>
        <item x="51"/>
        <item x="48"/>
        <item x="20"/>
        <item x="44"/>
        <item x="45"/>
        <item x="41"/>
        <item x="47"/>
        <item t="default"/>
      </items>
    </pivotField>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dataField="1"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6"/>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Sum of Sales" fld="13" baseField="0" baseItem="0"/>
  </dataField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B91599-798A-401A-8F43-F5F39645980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U32:V52" firstHeaderRow="1" firstDataRow="1" firstDataCol="1"/>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axis="axisRow" showAll="0">
      <items count="20">
        <item x="18"/>
        <item x="15"/>
        <item x="9"/>
        <item x="2"/>
        <item x="8"/>
        <item x="3"/>
        <item x="16"/>
        <item x="1"/>
        <item x="13"/>
        <item x="10"/>
        <item x="0"/>
        <item x="17"/>
        <item x="14"/>
        <item x="5"/>
        <item x="7"/>
        <item x="4"/>
        <item x="12"/>
        <item x="11"/>
        <item x="6"/>
        <item t="default"/>
      </items>
    </pivotField>
    <pivotField showAll="0"/>
    <pivotField showAll="0"/>
    <pivotField showAll="0"/>
    <pivotField showAll="0"/>
    <pivotField showAll="0"/>
    <pivotField dataField="1"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9CE10B-B2BF-488D-AA43-62D649E3CAC8}" name="PivotTable1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2:E13"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items count="57">
        <item h="1" x="37"/>
        <item h="1" x="4"/>
        <item h="1" x="54"/>
        <item h="1" x="38"/>
        <item h="1" x="52"/>
        <item x="32"/>
        <item h="1" x="28"/>
        <item h="1" x="13"/>
        <item h="1" x="1"/>
        <item h="1" x="24"/>
        <item h="1" x="39"/>
        <item h="1" x="15"/>
        <item h="1" x="9"/>
        <item h="1" x="23"/>
        <item h="1" x="18"/>
        <item h="1" x="2"/>
        <item h="1" x="14"/>
        <item h="1" x="36"/>
        <item h="1" x="5"/>
        <item h="1" x="17"/>
        <item h="1" x="7"/>
        <item h="1" x="35"/>
        <item h="1" x="21"/>
        <item h="1" x="22"/>
        <item h="1" x="12"/>
        <item h="1" x="8"/>
        <item h="1" x="53"/>
        <item h="1" x="50"/>
        <item h="1" x="49"/>
        <item h="1" x="19"/>
        <item h="1" x="33"/>
        <item h="1" x="30"/>
        <item h="1" x="34"/>
        <item h="1" x="0"/>
        <item h="1" x="46"/>
        <item h="1" x="6"/>
        <item h="1" x="10"/>
        <item h="1" x="55"/>
        <item h="1" x="25"/>
        <item h="1" x="26"/>
        <item h="1" x="31"/>
        <item h="1" x="3"/>
        <item h="1" x="27"/>
        <item h="1" x="43"/>
        <item h="1" x="29"/>
        <item h="1" x="42"/>
        <item h="1" x="16"/>
        <item h="1" x="11"/>
        <item h="1" x="40"/>
        <item h="1" x="51"/>
        <item h="1" x="48"/>
        <item h="1" x="20"/>
        <item h="1" x="44"/>
        <item h="1" x="45"/>
        <item h="1" x="41"/>
        <item h="1" x="47"/>
        <item t="default"/>
      </items>
    </pivotField>
    <pivotField showAll="0">
      <items count="20">
        <item x="18"/>
        <item x="15"/>
        <item x="9"/>
        <item x="2"/>
        <item x="8"/>
        <item x="3"/>
        <item x="16"/>
        <item x="1"/>
        <item x="13"/>
        <item x="10"/>
        <item x="0"/>
        <item x="17"/>
        <item x="14"/>
        <item x="5"/>
        <item x="7"/>
        <item x="4"/>
        <item x="12"/>
        <item x="11"/>
        <item x="6"/>
        <item t="default"/>
      </items>
    </pivotField>
    <pivotField showAll="0">
      <items count="6">
        <item x="4"/>
        <item x="3"/>
        <item x="2"/>
        <item x="1"/>
        <item x="0"/>
        <item t="default"/>
      </items>
    </pivotField>
    <pivotField showAll="0"/>
    <pivotField showAll="0"/>
    <pivotField showAll="0"/>
    <pivotField showAll="0"/>
    <pivotField showAll="0"/>
    <pivotField showAll="0"/>
    <pivotField numFmtId="164" showAll="0"/>
    <pivotField showAll="0"/>
    <pivotField showAll="0">
      <items count="5">
        <item x="3"/>
        <item x="1"/>
        <item x="2"/>
        <item x="0"/>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Customer_Rating" fld="20"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BAC6E1-DD9C-4A82-9FD0-C50C6CDEEE01}"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E6"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Max_cus_age "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7A6B85-9F38-4E2D-8FCB-AEE897152756}"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4:H15"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dataField="1"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Discoun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738698-8665-43F4-8D5F-BAE51849BEB3}"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2:B13"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Avg_sale " fld="24"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4F9C4C-7DB0-4276-B7EA-11B1415DF1F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K16"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AC0F63-AEDC-4687-9124-848668CE10E2}"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9">
    <pivotField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14">
        <item x="11"/>
        <item x="12"/>
        <item x="8"/>
        <item x="5"/>
        <item x="0"/>
        <item x="2"/>
        <item x="6"/>
        <item x="7"/>
        <item x="1"/>
        <item x="4"/>
        <item x="10"/>
        <item x="9"/>
        <item x="3"/>
        <item t="default"/>
      </items>
    </pivotField>
    <pivotField showAll="0"/>
    <pivotField showAll="0"/>
    <pivotField numFmtId="164" showAll="0"/>
    <pivotField showAll="0"/>
    <pivotField showAll="0">
      <items count="5">
        <item x="3"/>
        <item x="1"/>
        <item x="2"/>
        <item x="0"/>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Items count="1">
    <i/>
  </rowItems>
  <colItems count="1">
    <i/>
  </colItems>
  <dataFields count="1">
    <dataField name="Sum of Total_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hyperlink" Target="https://encrypted-tbn0.gstatic.com/images?q=tbn:ANd9GcQZFBiG-4d9VZopn2gwWaeW6eGgEjUDTY_4aV8yg8BDLeYEOngDoPsiuyI&amp;s=10" TargetMode="External"/><Relationship Id="rId7" Type="http://schemas.openxmlformats.org/officeDocument/2006/relationships/hyperlink" Target="https://encrypted-tbn0.gstatic.com/images?q=tbn:ANd9GcSWC4EL_f8nZaTIRLKHG8d5XSfu1qwfsHsrHnAgD7CEtKjfB2SjOy5H8bA&amp;s=10" TargetMode="External"/><Relationship Id="rId2" Type="http://schemas.openxmlformats.org/officeDocument/2006/relationships/image" Target="../media/image1.com"/><Relationship Id="rId1" Type="http://schemas.openxmlformats.org/officeDocument/2006/relationships/hyperlink" Target="https://img.logo.dev/flipkart.com?token=live_6a1a28fd-6420-4492-aeb0-b297461d9de2&amp;size=128&amp;retina=true&amp;format=png" TargetMode="External"/><Relationship Id="rId6" Type="http://schemas.openxmlformats.org/officeDocument/2006/relationships/image" Target="../media/image3.png"/><Relationship Id="rId5" Type="http://schemas.openxmlformats.org/officeDocument/2006/relationships/hyperlink" Target="https://encrypted-tbn0.gstatic.com/images?q=tbn:ANd9GcQGnseZtSpXSExIbY9diYzB34RBx1BSb9J_dn2U3_5zbA&amp;s" TargetMode="External"/><Relationship Id="rId10" Type="http://schemas.openxmlformats.org/officeDocument/2006/relationships/image" Target="../media/image5.png"/><Relationship Id="rId4" Type="http://schemas.openxmlformats.org/officeDocument/2006/relationships/image" Target="../media/image2.jpeg"/><Relationship Id="rId9" Type="http://schemas.openxmlformats.org/officeDocument/2006/relationships/hyperlink" Target="https://img.icons8.com/ios7/600w/40C057/discount.p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Srd>
</file>

<file path=xl/richData/rdrichvalue.xml><?xml version="1.0" encoding="utf-8"?>
<rvData xmlns="http://schemas.microsoft.com/office/spreadsheetml/2017/richdata" count="5">
  <rv s="0">
    <v>0</v>
    <v>1</v>
    <v>0</v>
    <v>1</v>
  </rv>
  <rv s="0">
    <v>1</v>
    <v>1</v>
    <v>0</v>
    <v>1</v>
  </rv>
  <rv s="0">
    <v>2</v>
    <v>1</v>
    <v>0</v>
    <v>1</v>
  </rv>
  <rv s="0">
    <v>3</v>
    <v>1</v>
    <v>0</v>
    <v>1</v>
  </rv>
  <rv s="0">
    <v>4</v>
    <v>1</v>
    <v>0</v>
    <v>1</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8699DD-AFE8-44FC-B0D1-877CF7A36302}" sourceName="City">
  <pivotTables>
    <pivotTable tabId="4" name="PivotTable11"/>
  </pivotTables>
  <data>
    <tabular pivotCacheId="343859159">
      <items count="56">
        <i x="37"/>
        <i x="4"/>
        <i x="54"/>
        <i x="38"/>
        <i x="52"/>
        <i x="32" s="1"/>
        <i x="28"/>
        <i x="13"/>
        <i x="1"/>
        <i x="24"/>
        <i x="39"/>
        <i x="15"/>
        <i x="9"/>
        <i x="23"/>
        <i x="18"/>
        <i x="2"/>
        <i x="14"/>
        <i x="36"/>
        <i x="5"/>
        <i x="17"/>
        <i x="7"/>
        <i x="35"/>
        <i x="21"/>
        <i x="22"/>
        <i x="12"/>
        <i x="8"/>
        <i x="53"/>
        <i x="50"/>
        <i x="49"/>
        <i x="19"/>
        <i x="33"/>
        <i x="30"/>
        <i x="34"/>
        <i x="0"/>
        <i x="46"/>
        <i x="6"/>
        <i x="10"/>
        <i x="55"/>
        <i x="25"/>
        <i x="26"/>
        <i x="31"/>
        <i x="3"/>
        <i x="27"/>
        <i x="43"/>
        <i x="29"/>
        <i x="42"/>
        <i x="16"/>
        <i x="11"/>
        <i x="40"/>
        <i x="51"/>
        <i x="48"/>
        <i x="20"/>
        <i x="44"/>
        <i x="45"/>
        <i x="41"/>
        <i x="4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9081506-E285-4B5E-A1CB-320428C69D78}" sourceName="Product">
  <pivotTables>
    <pivotTable tabId="4" name="PivotTable10"/>
    <pivotTable tabId="3" name="PivotTable5"/>
    <pivotTable tabId="3" name="PivotTable6"/>
    <pivotTable tabId="3" name="PivotTable7"/>
    <pivotTable tabId="4" name="PivotTable1"/>
    <pivotTable tabId="4" name="PivotTable8"/>
    <pivotTable tabId="4" name="PivotTable9"/>
    <pivotTable tabId="1" name="PivotTable1"/>
    <pivotTable tabId="1" name="PivotTable2"/>
    <pivotTable tabId="1" name="PivotTable3"/>
    <pivotTable tabId="1" name="PivotTable4"/>
    <pivotTable tabId="1" name="PivotTable5"/>
    <pivotTable tabId="1" name="PivotTable6"/>
  </pivotTables>
  <data>
    <tabular pivotCacheId="343859159">
      <items count="13">
        <i x="11" s="1"/>
        <i x="12" s="1"/>
        <i x="8" s="1"/>
        <i x="5" s="1"/>
        <i x="0" s="1"/>
        <i x="2" s="1"/>
        <i x="6" s="1"/>
        <i x="7" s="1"/>
        <i x="1" s="1"/>
        <i x="4" s="1"/>
        <i x="10" s="1"/>
        <i x="9"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3808E0-3CF0-4642-AC25-C16C72AEC235}" sourceName="Gender">
  <pivotTables>
    <pivotTable tabId="1" name="PivotTable3"/>
    <pivotTable tabId="3" name="PivotTable5"/>
    <pivotTable tabId="3" name="PivotTable6"/>
    <pivotTable tabId="3" name="PivotTable7"/>
    <pivotTable tabId="4" name="PivotTable1"/>
    <pivotTable tabId="4" name="PivotTable10"/>
    <pivotTable tabId="4" name="PivotTable11"/>
    <pivotTable tabId="4" name="PivotTable8"/>
    <pivotTable tabId="4" name="PivotTable9"/>
    <pivotTable tabId="1" name="PivotTable1"/>
    <pivotTable tabId="1" name="PivotTable2"/>
    <pivotTable tabId="1" name="PivotTable4"/>
    <pivotTable tabId="1" name="PivotTable5"/>
    <pivotTable tabId="1" name="PivotTable6"/>
    <pivotTable tabId="4" name="PivotTable2"/>
  </pivotTables>
  <data>
    <tabular pivotCacheId="34385915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01EA2CA-B497-4EC9-B811-ED5E8FD06153}" sourceName="Payment_Mode">
  <pivotTables>
    <pivotTable tabId="1" name="PivotTable1"/>
    <pivotTable tabId="3" name="PivotTable5"/>
    <pivotTable tabId="3" name="PivotTable6"/>
    <pivotTable tabId="3" name="PivotTable7"/>
    <pivotTable tabId="4" name="PivotTable1"/>
    <pivotTable tabId="4" name="PivotTable10"/>
    <pivotTable tabId="4" name="PivotTable11"/>
    <pivotTable tabId="4" name="PivotTable8"/>
    <pivotTable tabId="4" name="PivotTable9"/>
    <pivotTable tabId="1" name="PivotTable2"/>
    <pivotTable tabId="1" name="PivotTable3"/>
    <pivotTable tabId="1" name="PivotTable4"/>
    <pivotTable tabId="1" name="PivotTable5"/>
    <pivotTable tabId="1" name="PivotTable6"/>
    <pivotTable tabId="4" name="PivotTable2"/>
  </pivotTables>
  <data>
    <tabular pivotCacheId="343859159">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4ACB092-41DA-413D-B97E-E0CB17772766}" sourceName="State">
  <pivotTables>
    <pivotTable tabId="3" name="PivotTable1"/>
  </pivotTables>
  <data>
    <tabular pivotCacheId="343859159">
      <items count="19">
        <i x="18" s="1"/>
        <i x="15" s="1"/>
        <i x="9" s="1"/>
        <i x="2" s="1"/>
        <i x="8" s="1"/>
        <i x="3" s="1"/>
        <i x="16" s="1"/>
        <i x="1" s="1"/>
        <i x="13" s="1"/>
        <i x="10" s="1"/>
        <i x="0" s="1"/>
        <i x="17" s="1"/>
        <i x="14" s="1"/>
        <i x="5" s="1"/>
        <i x="7" s="1"/>
        <i x="4" s="1"/>
        <i x="12" s="1"/>
        <i x="1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513AC9D-50AE-4F31-A0DB-A2E890986F46}" cache="Slicer_Gender" caption="Gender" rowHeight="257175"/>
  <slicer name="Payment_Mode" xr10:uid="{A8BC6D54-5BE5-4756-ABB8-B3723C62CF7D}" cache="Slicer_Payment_Mode" caption="Payment_Mod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EC27F6D-2A2E-4D43-87C4-BC2595F090D4}" cache="Slicer_State" caption="State" startItem="1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91A0AD6-120E-442A-B944-4B7526FF343C}" cache="Slicer_City" caption="City" rowHeight="257175"/>
  <slicer name="Product" xr10:uid="{64D6D319-A3A5-4354-B349-A255B94539DB}" cache="Slicer_Product" caption="Produc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83899EF-26BB-4AA4-B100-0CAACBF252F1}" cache="Slicer_Product" caption="Product" style="SlicerStyleDark1" rowHeight="257175"/>
  <slicer name="Gender 1" xr10:uid="{7F2B663A-EEAE-4A6D-88B9-AB04C415106A}" cache="Slicer_Gender" caption="Gender" style="SlicerStyleDark1" rowHeight="257175"/>
  <slicer name="Payment_Mode 1" xr10:uid="{B0B380F6-58AC-443E-B5EA-270899D733A8}" cache="Slicer_Payment_Mode" caption="Payment_Mode" style="SlicerStyleDark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8F4B0DD-7FC7-45C8-9867-310CA56F07D3}" cache="Slicer_Product" caption="Product" style="SlicerStyleLight6" rowHeight="257175"/>
  <slicer name="Gender 2" xr10:uid="{22EF0CA3-F6BA-4951-A67F-320CBC7245A3}" cache="Slicer_Gender" caption="Gender" style="SlicerStyleLight6" rowHeight="257175"/>
  <slicer name="Payment_Mode 2" xr10:uid="{E19972D3-16D3-4002-B5B2-302D00E5E12C}" cache="Slicer_Payment_Mode" caption="Payment_Mode" style="SlicerStyleLight6" rowHeight="257175"/>
  <slicer name="State 1" xr10:uid="{F8AD862C-A66D-4E5F-BBFA-602F05669BE4}" cache="Slicer_State" caption="State" style="SlicerStyleLight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BACC517-AD47-4DD2-999F-81EC803128C1}" sourceName="Order_Date">
  <pivotTables>
    <pivotTable tabId="4" name="PivotTable9"/>
    <pivotTable tabId="3" name="PivotTable5"/>
    <pivotTable tabId="3" name="PivotTable6"/>
    <pivotTable tabId="3" name="PivotTable7"/>
    <pivotTable tabId="4" name="PivotTable1"/>
    <pivotTable tabId="4" name="PivotTable10"/>
    <pivotTable tabId="4" name="PivotTable11"/>
    <pivotTable tabId="4" name="PivotTable8"/>
    <pivotTable tabId="1" name="PivotTable1"/>
    <pivotTable tabId="1" name="PivotTable2"/>
    <pivotTable tabId="1" name="PivotTable3"/>
    <pivotTable tabId="1" name="PivotTable4"/>
    <pivotTable tabId="1" name="PivotTable5"/>
    <pivotTable tabId="1" name="PivotTable6"/>
  </pivotTables>
  <state minimalRefreshVersion="6" lastRefreshVersion="6" pivotCacheId="343859159" filterType="unknown">
    <bounds startDate="2025-01-01T00:00:00" endDate="204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A3DD831-CA0B-4862-8E0D-31FF7C1EB93D}" cache="NativeTimeline_Order_Date" caption="Order_Date" level="2" selectionLevel="2" scrollPosition="204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41F1BE9-F6A0-4534-8061-9277275028BE}" cache="NativeTimeline_Order_Date" caption="Order_Date" level="2" selectionLevel="2" scrollPosition="2046-11-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7A54-6727-4D4C-B036-4A6F00208CF1}">
  <dimension ref="A1:Z1201"/>
  <sheetViews>
    <sheetView workbookViewId="0">
      <selection activeCell="L21" sqref="L21"/>
    </sheetView>
  </sheetViews>
  <sheetFormatPr defaultRowHeight="15" x14ac:dyDescent="0.25"/>
  <cols>
    <col min="1" max="1" width="11.28515625" bestFit="1" customWidth="1"/>
    <col min="2" max="2" width="13.5703125" bestFit="1" customWidth="1"/>
    <col min="3" max="3" width="13.7109375" bestFit="1" customWidth="1"/>
    <col min="4" max="4" width="12.85546875" bestFit="1" customWidth="1"/>
    <col min="5" max="5" width="16.5703125" bestFit="1" customWidth="1"/>
    <col min="6" max="6" width="10" bestFit="1" customWidth="1"/>
    <col min="7" max="7" width="20" bestFit="1" customWidth="1"/>
    <col min="8" max="8" width="15.85546875" bestFit="1" customWidth="1"/>
    <col min="9" max="9" width="9.5703125" bestFit="1" customWidth="1"/>
    <col min="10" max="10" width="11.28515625" bestFit="1" customWidth="1"/>
    <col min="11" max="11" width="14.28515625" bestFit="1" customWidth="1"/>
    <col min="12" max="12" width="15.85546875" bestFit="1" customWidth="1"/>
    <col min="13" max="13" width="16.28515625" bestFit="1" customWidth="1"/>
    <col min="14" max="14" width="8.140625" bestFit="1" customWidth="1"/>
    <col min="15" max="15" width="11" bestFit="1" customWidth="1"/>
    <col min="16" max="16" width="11.42578125" style="19" bestFit="1" customWidth="1"/>
    <col min="17" max="17" width="8.28515625" bestFit="1" customWidth="1"/>
    <col min="18" max="19" width="17.140625" bestFit="1" customWidth="1"/>
    <col min="20" max="20" width="15" bestFit="1" customWidth="1"/>
    <col min="21" max="21" width="19" bestFit="1" customWidth="1"/>
    <col min="22" max="22" width="10.28515625" bestFit="1" customWidth="1"/>
    <col min="23" max="23" width="18.7109375" bestFit="1" customWidth="1"/>
    <col min="24" max="24" width="18.85546875" bestFit="1" customWidth="1"/>
    <col min="26" max="26" width="19.5703125" bestFit="1" customWidth="1"/>
  </cols>
  <sheetData>
    <row r="1" spans="1:26" x14ac:dyDescent="0.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15" t="s">
        <v>15</v>
      </c>
      <c r="Q1" s="3" t="s">
        <v>16</v>
      </c>
      <c r="R1" s="3" t="s">
        <v>17</v>
      </c>
      <c r="S1" s="3" t="s">
        <v>18</v>
      </c>
      <c r="T1" s="3" t="s">
        <v>19</v>
      </c>
      <c r="U1" s="3" t="s">
        <v>20</v>
      </c>
      <c r="V1" s="3" t="s">
        <v>1805</v>
      </c>
      <c r="W1" s="4" t="s">
        <v>1806</v>
      </c>
      <c r="X1" s="20" t="s">
        <v>1807</v>
      </c>
      <c r="Y1" s="20" t="s">
        <v>1808</v>
      </c>
      <c r="Z1" s="20" t="s">
        <v>1809</v>
      </c>
    </row>
    <row r="2" spans="1:26" x14ac:dyDescent="0.25">
      <c r="A2" s="5" t="s">
        <v>21</v>
      </c>
      <c r="B2" s="6">
        <v>45662</v>
      </c>
      <c r="C2" s="7" t="s">
        <v>22</v>
      </c>
      <c r="D2" s="7" t="s">
        <v>23</v>
      </c>
      <c r="E2" s="7">
        <v>28</v>
      </c>
      <c r="F2" s="7" t="s">
        <v>24</v>
      </c>
      <c r="G2" s="7" t="s">
        <v>25</v>
      </c>
      <c r="H2" s="7" t="s">
        <v>26</v>
      </c>
      <c r="I2" s="7" t="s">
        <v>27</v>
      </c>
      <c r="J2" s="7" t="s">
        <v>28</v>
      </c>
      <c r="K2" s="7" t="s">
        <v>29</v>
      </c>
      <c r="L2" s="7" t="s">
        <v>30</v>
      </c>
      <c r="M2" s="7" t="s">
        <v>31</v>
      </c>
      <c r="N2" s="7">
        <v>55000</v>
      </c>
      <c r="O2" s="7">
        <v>1</v>
      </c>
      <c r="P2" s="16">
        <v>0.05</v>
      </c>
      <c r="Q2" s="7">
        <v>7000</v>
      </c>
      <c r="R2" s="7" t="s">
        <v>32</v>
      </c>
      <c r="S2" s="7" t="s">
        <v>33</v>
      </c>
      <c r="T2" s="7" t="s">
        <v>34</v>
      </c>
      <c r="U2" s="7">
        <v>5</v>
      </c>
      <c r="V2" s="7" t="str">
        <f>TEXT('E-Commerce Sales Data'!$B2,"mmmm")</f>
        <v>January</v>
      </c>
      <c r="W2" s="8">
        <f>SUM(Q2:Q1201)</f>
        <v>4919470</v>
      </c>
      <c r="X2">
        <f>COUNT(E2:E1201)</f>
        <v>1200</v>
      </c>
      <c r="Y2">
        <f>AVERAGE(N2:N1201)</f>
        <v>24114.85</v>
      </c>
      <c r="Z2">
        <f>MAX(E2:E1201)</f>
        <v>55</v>
      </c>
    </row>
    <row r="3" spans="1:26" x14ac:dyDescent="0.25">
      <c r="A3" s="9" t="s">
        <v>35</v>
      </c>
      <c r="B3" s="10">
        <v>45664</v>
      </c>
      <c r="C3" s="11" t="s">
        <v>36</v>
      </c>
      <c r="D3" s="11" t="s">
        <v>37</v>
      </c>
      <c r="E3" s="11">
        <v>34</v>
      </c>
      <c r="F3" s="11" t="s">
        <v>38</v>
      </c>
      <c r="G3" s="11" t="s">
        <v>39</v>
      </c>
      <c r="H3" s="11" t="s">
        <v>40</v>
      </c>
      <c r="I3" s="11" t="s">
        <v>41</v>
      </c>
      <c r="J3" s="11" t="s">
        <v>42</v>
      </c>
      <c r="K3" s="11" t="s">
        <v>43</v>
      </c>
      <c r="L3" s="11" t="s">
        <v>44</v>
      </c>
      <c r="M3" s="11" t="s">
        <v>45</v>
      </c>
      <c r="N3" s="11">
        <v>8500</v>
      </c>
      <c r="O3" s="11">
        <v>2</v>
      </c>
      <c r="P3" s="17">
        <v>0.1</v>
      </c>
      <c r="Q3" s="11">
        <v>1600</v>
      </c>
      <c r="R3" s="11" t="s">
        <v>46</v>
      </c>
      <c r="S3" s="11" t="s">
        <v>47</v>
      </c>
      <c r="T3" s="11" t="s">
        <v>34</v>
      </c>
      <c r="U3" s="11">
        <v>4</v>
      </c>
      <c r="V3" s="11" t="str">
        <f>TEXT('E-Commerce Sales Data'!$B3,"mmmm")</f>
        <v>January</v>
      </c>
      <c r="W3" s="8">
        <f t="shared" ref="W3:W66" si="0">SUM(Q3:Q1202)</f>
        <v>4912470</v>
      </c>
      <c r="X3">
        <f t="shared" ref="X3:X66" si="1">COUNT(E3:E1202)</f>
        <v>1199</v>
      </c>
      <c r="Y3">
        <f t="shared" ref="Y3:Y66" si="2">AVERAGE(N3:N1202)</f>
        <v>24089.090909090908</v>
      </c>
      <c r="Z3">
        <f t="shared" ref="Z3:Z66" si="3">MAX(E3:E1202)</f>
        <v>55</v>
      </c>
    </row>
    <row r="4" spans="1:26" x14ac:dyDescent="0.25">
      <c r="A4" s="5" t="s">
        <v>48</v>
      </c>
      <c r="B4" s="6">
        <v>45669</v>
      </c>
      <c r="C4" s="7" t="s">
        <v>49</v>
      </c>
      <c r="D4" s="7" t="s">
        <v>50</v>
      </c>
      <c r="E4" s="7">
        <v>41</v>
      </c>
      <c r="F4" s="7" t="s">
        <v>24</v>
      </c>
      <c r="G4" s="7" t="s">
        <v>51</v>
      </c>
      <c r="H4" s="7" t="s">
        <v>51</v>
      </c>
      <c r="I4" s="7" t="s">
        <v>52</v>
      </c>
      <c r="J4" s="7" t="s">
        <v>28</v>
      </c>
      <c r="K4" s="7" t="s">
        <v>29</v>
      </c>
      <c r="L4" s="7" t="s">
        <v>53</v>
      </c>
      <c r="M4" s="7" t="s">
        <v>54</v>
      </c>
      <c r="N4" s="7">
        <v>18000</v>
      </c>
      <c r="O4" s="7">
        <v>2</v>
      </c>
      <c r="P4" s="16">
        <v>0.05</v>
      </c>
      <c r="Q4" s="7">
        <v>3200</v>
      </c>
      <c r="R4" s="7" t="s">
        <v>55</v>
      </c>
      <c r="S4" s="7" t="s">
        <v>33</v>
      </c>
      <c r="T4" s="7" t="s">
        <v>34</v>
      </c>
      <c r="U4" s="7">
        <v>4</v>
      </c>
      <c r="V4" s="7" t="str">
        <f>TEXT('E-Commerce Sales Data'!$B4,"mmmm")</f>
        <v>January</v>
      </c>
      <c r="W4" s="8">
        <f t="shared" si="0"/>
        <v>4910870</v>
      </c>
      <c r="X4">
        <f t="shared" si="1"/>
        <v>1198</v>
      </c>
      <c r="Y4">
        <f t="shared" si="2"/>
        <v>24102.103505843072</v>
      </c>
      <c r="Z4">
        <f t="shared" si="3"/>
        <v>55</v>
      </c>
    </row>
    <row r="5" spans="1:26" x14ac:dyDescent="0.25">
      <c r="A5" s="9" t="s">
        <v>56</v>
      </c>
      <c r="B5" s="10">
        <v>45675</v>
      </c>
      <c r="C5" s="11" t="s">
        <v>57</v>
      </c>
      <c r="D5" s="11" t="s">
        <v>58</v>
      </c>
      <c r="E5" s="11">
        <v>26</v>
      </c>
      <c r="F5" s="11" t="s">
        <v>38</v>
      </c>
      <c r="G5" s="11" t="s">
        <v>59</v>
      </c>
      <c r="H5" s="11" t="s">
        <v>26</v>
      </c>
      <c r="I5" s="11" t="s">
        <v>27</v>
      </c>
      <c r="J5" s="11" t="s">
        <v>28</v>
      </c>
      <c r="K5" s="11" t="s">
        <v>60</v>
      </c>
      <c r="L5" s="11" t="s">
        <v>61</v>
      </c>
      <c r="M5" s="11" t="s">
        <v>62</v>
      </c>
      <c r="N5" s="11">
        <v>3200</v>
      </c>
      <c r="O5" s="11">
        <v>10</v>
      </c>
      <c r="P5" s="17">
        <v>0.02</v>
      </c>
      <c r="Q5" s="11">
        <v>900</v>
      </c>
      <c r="R5" s="11" t="s">
        <v>32</v>
      </c>
      <c r="S5" s="11" t="s">
        <v>33</v>
      </c>
      <c r="T5" s="11" t="s">
        <v>34</v>
      </c>
      <c r="U5" s="11">
        <v>5</v>
      </c>
      <c r="V5" s="11" t="str">
        <f>TEXT('E-Commerce Sales Data'!$B5,"mmmm")</f>
        <v>January</v>
      </c>
      <c r="W5" s="8">
        <f t="shared" si="0"/>
        <v>4907670</v>
      </c>
      <c r="X5">
        <f t="shared" si="1"/>
        <v>1197</v>
      </c>
      <c r="Y5">
        <f t="shared" si="2"/>
        <v>24107.201336675022</v>
      </c>
      <c r="Z5">
        <f t="shared" si="3"/>
        <v>55</v>
      </c>
    </row>
    <row r="6" spans="1:26" x14ac:dyDescent="0.25">
      <c r="A6" s="5" t="s">
        <v>63</v>
      </c>
      <c r="B6" s="6">
        <v>45682</v>
      </c>
      <c r="C6" s="7" t="s">
        <v>64</v>
      </c>
      <c r="D6" s="7" t="s">
        <v>65</v>
      </c>
      <c r="E6" s="7">
        <v>39</v>
      </c>
      <c r="F6" s="7" t="s">
        <v>24</v>
      </c>
      <c r="G6" s="7" t="s">
        <v>66</v>
      </c>
      <c r="H6" s="7" t="s">
        <v>67</v>
      </c>
      <c r="I6" s="7" t="s">
        <v>27</v>
      </c>
      <c r="J6" s="7" t="s">
        <v>42</v>
      </c>
      <c r="K6" s="7" t="s">
        <v>43</v>
      </c>
      <c r="L6" s="7" t="s">
        <v>68</v>
      </c>
      <c r="M6" s="7" t="s">
        <v>69</v>
      </c>
      <c r="N6" s="7">
        <v>15000</v>
      </c>
      <c r="O6" s="7">
        <v>2</v>
      </c>
      <c r="P6" s="16">
        <v>0.08</v>
      </c>
      <c r="Q6" s="7">
        <v>2500</v>
      </c>
      <c r="R6" s="7" t="s">
        <v>46</v>
      </c>
      <c r="S6" s="7" t="s">
        <v>47</v>
      </c>
      <c r="T6" s="7" t="s">
        <v>34</v>
      </c>
      <c r="U6" s="7">
        <v>4</v>
      </c>
      <c r="V6" s="7" t="str">
        <f>TEXT('E-Commerce Sales Data'!$B6,"mmmm")</f>
        <v>January</v>
      </c>
      <c r="W6" s="8">
        <f t="shared" si="0"/>
        <v>4906770</v>
      </c>
      <c r="X6">
        <f t="shared" si="1"/>
        <v>1196</v>
      </c>
      <c r="Y6">
        <f t="shared" si="2"/>
        <v>24124.682274247491</v>
      </c>
      <c r="Z6">
        <f t="shared" si="3"/>
        <v>55</v>
      </c>
    </row>
    <row r="7" spans="1:26" x14ac:dyDescent="0.25">
      <c r="A7" s="9" t="s">
        <v>70</v>
      </c>
      <c r="B7" s="10">
        <v>45690</v>
      </c>
      <c r="C7" s="11" t="s">
        <v>71</v>
      </c>
      <c r="D7" s="11" t="s">
        <v>72</v>
      </c>
      <c r="E7" s="11">
        <v>31</v>
      </c>
      <c r="F7" s="11" t="s">
        <v>38</v>
      </c>
      <c r="G7" s="11" t="s">
        <v>73</v>
      </c>
      <c r="H7" s="11" t="s">
        <v>74</v>
      </c>
      <c r="I7" s="11" t="s">
        <v>41</v>
      </c>
      <c r="J7" s="11" t="s">
        <v>28</v>
      </c>
      <c r="K7" s="11" t="s">
        <v>29</v>
      </c>
      <c r="L7" s="11" t="s">
        <v>53</v>
      </c>
      <c r="M7" s="11" t="s">
        <v>75</v>
      </c>
      <c r="N7" s="11">
        <v>2500</v>
      </c>
      <c r="O7" s="11">
        <v>3</v>
      </c>
      <c r="P7" s="17">
        <v>0.05</v>
      </c>
      <c r="Q7" s="11">
        <v>600</v>
      </c>
      <c r="R7" s="11" t="s">
        <v>32</v>
      </c>
      <c r="S7" s="11" t="s">
        <v>33</v>
      </c>
      <c r="T7" s="11" t="s">
        <v>34</v>
      </c>
      <c r="U7" s="11">
        <v>4</v>
      </c>
      <c r="V7" s="11" t="str">
        <f>TEXT('E-Commerce Sales Data'!$B7,"mmmm")</f>
        <v>February</v>
      </c>
      <c r="W7" s="8">
        <f t="shared" si="0"/>
        <v>4904270</v>
      </c>
      <c r="X7">
        <f t="shared" si="1"/>
        <v>1195</v>
      </c>
      <c r="Y7">
        <f t="shared" si="2"/>
        <v>24132.3179916318</v>
      </c>
      <c r="Z7">
        <f t="shared" si="3"/>
        <v>55</v>
      </c>
    </row>
    <row r="8" spans="1:26" x14ac:dyDescent="0.25">
      <c r="A8" s="5" t="s">
        <v>76</v>
      </c>
      <c r="B8" s="6">
        <v>45693</v>
      </c>
      <c r="C8" s="7" t="s">
        <v>77</v>
      </c>
      <c r="D8" s="7" t="s">
        <v>23</v>
      </c>
      <c r="E8" s="7">
        <v>29</v>
      </c>
      <c r="F8" s="7" t="s">
        <v>24</v>
      </c>
      <c r="G8" s="7" t="s">
        <v>78</v>
      </c>
      <c r="H8" s="7" t="s">
        <v>26</v>
      </c>
      <c r="I8" s="7" t="s">
        <v>27</v>
      </c>
      <c r="J8" s="7" t="s">
        <v>28</v>
      </c>
      <c r="K8" s="7" t="s">
        <v>29</v>
      </c>
      <c r="L8" s="7" t="s">
        <v>53</v>
      </c>
      <c r="M8" s="7" t="s">
        <v>79</v>
      </c>
      <c r="N8" s="7">
        <v>1200</v>
      </c>
      <c r="O8" s="7">
        <v>5</v>
      </c>
      <c r="P8" s="16">
        <v>0</v>
      </c>
      <c r="Q8" s="7">
        <v>350</v>
      </c>
      <c r="R8" s="7" t="s">
        <v>80</v>
      </c>
      <c r="S8" s="7" t="s">
        <v>33</v>
      </c>
      <c r="T8" s="7" t="s">
        <v>34</v>
      </c>
      <c r="U8" s="7">
        <v>3</v>
      </c>
      <c r="V8" s="7" t="str">
        <f>TEXT('E-Commerce Sales Data'!$B8,"mmmm")</f>
        <v>February</v>
      </c>
      <c r="W8" s="8">
        <f t="shared" si="0"/>
        <v>4903670</v>
      </c>
      <c r="X8">
        <f t="shared" si="1"/>
        <v>1194</v>
      </c>
      <c r="Y8">
        <f t="shared" si="2"/>
        <v>24150.435510887772</v>
      </c>
      <c r="Z8">
        <f t="shared" si="3"/>
        <v>55</v>
      </c>
    </row>
    <row r="9" spans="1:26" x14ac:dyDescent="0.25">
      <c r="A9" s="9" t="s">
        <v>81</v>
      </c>
      <c r="B9" s="10">
        <v>45699</v>
      </c>
      <c r="C9" s="11" t="s">
        <v>82</v>
      </c>
      <c r="D9" s="11" t="s">
        <v>83</v>
      </c>
      <c r="E9" s="11">
        <v>37</v>
      </c>
      <c r="F9" s="11" t="s">
        <v>38</v>
      </c>
      <c r="G9" s="11" t="s">
        <v>84</v>
      </c>
      <c r="H9" s="11" t="s">
        <v>85</v>
      </c>
      <c r="I9" s="11" t="s">
        <v>52</v>
      </c>
      <c r="J9" s="11" t="s">
        <v>42</v>
      </c>
      <c r="K9" s="11" t="s">
        <v>60</v>
      </c>
      <c r="L9" s="11" t="s">
        <v>61</v>
      </c>
      <c r="M9" s="11" t="s">
        <v>86</v>
      </c>
      <c r="N9" s="11">
        <v>450</v>
      </c>
      <c r="O9" s="11">
        <v>15</v>
      </c>
      <c r="P9" s="17">
        <v>0.02</v>
      </c>
      <c r="Q9" s="11">
        <v>120</v>
      </c>
      <c r="R9" s="11" t="s">
        <v>32</v>
      </c>
      <c r="S9" s="11" t="s">
        <v>33</v>
      </c>
      <c r="T9" s="11" t="s">
        <v>34</v>
      </c>
      <c r="U9" s="11">
        <v>5</v>
      </c>
      <c r="V9" s="11" t="str">
        <f>TEXT('E-Commerce Sales Data'!$B9,"mmmm")</f>
        <v>February</v>
      </c>
      <c r="W9" s="8">
        <f t="shared" si="0"/>
        <v>4903320</v>
      </c>
      <c r="X9">
        <f t="shared" si="1"/>
        <v>1193</v>
      </c>
      <c r="Y9">
        <f t="shared" si="2"/>
        <v>24169.673093042751</v>
      </c>
      <c r="Z9">
        <f t="shared" si="3"/>
        <v>55</v>
      </c>
    </row>
    <row r="10" spans="1:26" x14ac:dyDescent="0.25">
      <c r="A10" s="5" t="s">
        <v>87</v>
      </c>
      <c r="B10" s="6">
        <v>45707</v>
      </c>
      <c r="C10" s="7" t="s">
        <v>88</v>
      </c>
      <c r="D10" s="7" t="s">
        <v>37</v>
      </c>
      <c r="E10" s="7">
        <v>45</v>
      </c>
      <c r="F10" s="7" t="s">
        <v>24</v>
      </c>
      <c r="G10" s="7" t="s">
        <v>89</v>
      </c>
      <c r="H10" s="7" t="s">
        <v>90</v>
      </c>
      <c r="I10" s="7" t="s">
        <v>91</v>
      </c>
      <c r="J10" s="7" t="s">
        <v>42</v>
      </c>
      <c r="K10" s="7" t="s">
        <v>43</v>
      </c>
      <c r="L10" s="7" t="s">
        <v>92</v>
      </c>
      <c r="M10" s="7" t="s">
        <v>93</v>
      </c>
      <c r="N10" s="7">
        <v>12500</v>
      </c>
      <c r="O10" s="7">
        <v>1</v>
      </c>
      <c r="P10" s="16">
        <v>0.1</v>
      </c>
      <c r="Q10" s="7">
        <v>2100</v>
      </c>
      <c r="R10" s="7" t="s">
        <v>46</v>
      </c>
      <c r="S10" s="7" t="s">
        <v>47</v>
      </c>
      <c r="T10" s="7" t="s">
        <v>34</v>
      </c>
      <c r="U10" s="7">
        <v>4</v>
      </c>
      <c r="V10" s="7" t="str">
        <f>TEXT('E-Commerce Sales Data'!$B10,"mmmm")</f>
        <v>February</v>
      </c>
      <c r="W10" s="8">
        <f t="shared" si="0"/>
        <v>4903200</v>
      </c>
      <c r="X10">
        <f t="shared" si="1"/>
        <v>1192</v>
      </c>
      <c r="Y10">
        <f t="shared" si="2"/>
        <v>24189.572147651008</v>
      </c>
      <c r="Z10">
        <f t="shared" si="3"/>
        <v>55</v>
      </c>
    </row>
    <row r="11" spans="1:26" x14ac:dyDescent="0.25">
      <c r="A11" s="9" t="s">
        <v>94</v>
      </c>
      <c r="B11" s="10">
        <v>45716</v>
      </c>
      <c r="C11" s="11" t="s">
        <v>95</v>
      </c>
      <c r="D11" s="11" t="s">
        <v>65</v>
      </c>
      <c r="E11" s="11">
        <v>25</v>
      </c>
      <c r="F11" s="11" t="s">
        <v>38</v>
      </c>
      <c r="G11" s="11" t="s">
        <v>25</v>
      </c>
      <c r="H11" s="11" t="s">
        <v>26</v>
      </c>
      <c r="I11" s="11" t="s">
        <v>27</v>
      </c>
      <c r="J11" s="11" t="s">
        <v>28</v>
      </c>
      <c r="K11" s="11" t="s">
        <v>29</v>
      </c>
      <c r="L11" s="11" t="s">
        <v>96</v>
      </c>
      <c r="M11" s="11" t="s">
        <v>97</v>
      </c>
      <c r="N11" s="11">
        <v>14500</v>
      </c>
      <c r="O11" s="11">
        <v>2</v>
      </c>
      <c r="P11" s="17">
        <v>0.05</v>
      </c>
      <c r="Q11" s="11">
        <v>2700</v>
      </c>
      <c r="R11" s="11" t="s">
        <v>32</v>
      </c>
      <c r="S11" s="11" t="s">
        <v>33</v>
      </c>
      <c r="T11" s="11" t="s">
        <v>34</v>
      </c>
      <c r="U11" s="11">
        <v>4</v>
      </c>
      <c r="V11" s="11" t="str">
        <f>TEXT('E-Commerce Sales Data'!$B11,"mmmm")</f>
        <v>February</v>
      </c>
      <c r="W11" s="8">
        <f t="shared" si="0"/>
        <v>4901100</v>
      </c>
      <c r="X11">
        <f t="shared" si="1"/>
        <v>1191</v>
      </c>
      <c r="Y11">
        <f t="shared" si="2"/>
        <v>24199.387069689335</v>
      </c>
      <c r="Z11">
        <f t="shared" si="3"/>
        <v>55</v>
      </c>
    </row>
    <row r="12" spans="1:26" x14ac:dyDescent="0.25">
      <c r="A12" s="5" t="s">
        <v>98</v>
      </c>
      <c r="B12" s="6">
        <v>45719</v>
      </c>
      <c r="C12" s="7" t="s">
        <v>99</v>
      </c>
      <c r="D12" s="7" t="s">
        <v>100</v>
      </c>
      <c r="E12" s="7">
        <v>33</v>
      </c>
      <c r="F12" s="7" t="s">
        <v>24</v>
      </c>
      <c r="G12" s="7" t="s">
        <v>101</v>
      </c>
      <c r="H12" s="7" t="s">
        <v>102</v>
      </c>
      <c r="I12" s="7" t="s">
        <v>41</v>
      </c>
      <c r="J12" s="7" t="s">
        <v>28</v>
      </c>
      <c r="K12" s="7" t="s">
        <v>60</v>
      </c>
      <c r="L12" s="7" t="s">
        <v>53</v>
      </c>
      <c r="M12" s="7" t="s">
        <v>103</v>
      </c>
      <c r="N12" s="7">
        <v>650</v>
      </c>
      <c r="O12" s="7">
        <v>20</v>
      </c>
      <c r="P12" s="16">
        <v>0</v>
      </c>
      <c r="Q12" s="7">
        <v>180</v>
      </c>
      <c r="R12" s="7" t="s">
        <v>55</v>
      </c>
      <c r="S12" s="7" t="s">
        <v>33</v>
      </c>
      <c r="T12" s="7" t="s">
        <v>34</v>
      </c>
      <c r="U12" s="7">
        <v>5</v>
      </c>
      <c r="V12" s="7" t="str">
        <f>TEXT('E-Commerce Sales Data'!$B12,"mmmm")</f>
        <v>March</v>
      </c>
      <c r="W12" s="8">
        <f t="shared" si="0"/>
        <v>4898400</v>
      </c>
      <c r="X12">
        <f t="shared" si="1"/>
        <v>1190</v>
      </c>
      <c r="Y12">
        <f t="shared" si="2"/>
        <v>24207.537815126052</v>
      </c>
      <c r="Z12">
        <f t="shared" si="3"/>
        <v>55</v>
      </c>
    </row>
    <row r="13" spans="1:26" x14ac:dyDescent="0.25">
      <c r="A13" s="9" t="s">
        <v>104</v>
      </c>
      <c r="B13" s="10">
        <v>45724</v>
      </c>
      <c r="C13" s="11" t="s">
        <v>105</v>
      </c>
      <c r="D13" s="11" t="s">
        <v>58</v>
      </c>
      <c r="E13" s="11">
        <v>42</v>
      </c>
      <c r="F13" s="11" t="s">
        <v>38</v>
      </c>
      <c r="G13" s="11" t="s">
        <v>51</v>
      </c>
      <c r="H13" s="11" t="s">
        <v>51</v>
      </c>
      <c r="I13" s="11" t="s">
        <v>52</v>
      </c>
      <c r="J13" s="11" t="s">
        <v>42</v>
      </c>
      <c r="K13" s="11" t="s">
        <v>43</v>
      </c>
      <c r="L13" s="11" t="s">
        <v>68</v>
      </c>
      <c r="M13" s="11" t="s">
        <v>106</v>
      </c>
      <c r="N13" s="11">
        <v>22000</v>
      </c>
      <c r="O13" s="11">
        <v>1</v>
      </c>
      <c r="P13" s="17">
        <v>0.08</v>
      </c>
      <c r="Q13" s="11">
        <v>4200</v>
      </c>
      <c r="R13" s="11" t="s">
        <v>46</v>
      </c>
      <c r="S13" s="11" t="s">
        <v>47</v>
      </c>
      <c r="T13" s="11" t="s">
        <v>34</v>
      </c>
      <c r="U13" s="11">
        <v>4</v>
      </c>
      <c r="V13" s="11" t="str">
        <f>TEXT('E-Commerce Sales Data'!$B13,"mmmm")</f>
        <v>March</v>
      </c>
      <c r="W13" s="8">
        <f t="shared" si="0"/>
        <v>4898220</v>
      </c>
      <c r="X13">
        <f t="shared" si="1"/>
        <v>1189</v>
      </c>
      <c r="Y13">
        <f t="shared" si="2"/>
        <v>24227.350714886459</v>
      </c>
      <c r="Z13">
        <f t="shared" si="3"/>
        <v>55</v>
      </c>
    </row>
    <row r="14" spans="1:26" x14ac:dyDescent="0.25">
      <c r="A14" s="5" t="s">
        <v>107</v>
      </c>
      <c r="B14" s="6">
        <v>45731</v>
      </c>
      <c r="C14" s="7" t="s">
        <v>108</v>
      </c>
      <c r="D14" s="7" t="s">
        <v>23</v>
      </c>
      <c r="E14" s="7">
        <v>30</v>
      </c>
      <c r="F14" s="7" t="s">
        <v>24</v>
      </c>
      <c r="G14" s="7" t="s">
        <v>59</v>
      </c>
      <c r="H14" s="7" t="s">
        <v>26</v>
      </c>
      <c r="I14" s="7" t="s">
        <v>27</v>
      </c>
      <c r="J14" s="7" t="s">
        <v>28</v>
      </c>
      <c r="K14" s="7" t="s">
        <v>29</v>
      </c>
      <c r="L14" s="7" t="s">
        <v>30</v>
      </c>
      <c r="M14" s="7" t="s">
        <v>31</v>
      </c>
      <c r="N14" s="7">
        <v>62000</v>
      </c>
      <c r="O14" s="7">
        <v>1</v>
      </c>
      <c r="P14" s="16">
        <v>0.1</v>
      </c>
      <c r="Q14" s="7">
        <v>6800</v>
      </c>
      <c r="R14" s="7" t="s">
        <v>32</v>
      </c>
      <c r="S14" s="7" t="s">
        <v>47</v>
      </c>
      <c r="T14" s="7" t="s">
        <v>34</v>
      </c>
      <c r="U14" s="7">
        <v>5</v>
      </c>
      <c r="V14" s="7" t="str">
        <f>TEXT('E-Commerce Sales Data'!$B14,"mmmm")</f>
        <v>March</v>
      </c>
      <c r="W14" s="8">
        <f t="shared" si="0"/>
        <v>4894020</v>
      </c>
      <c r="X14">
        <f t="shared" si="1"/>
        <v>1188</v>
      </c>
      <c r="Y14">
        <f t="shared" si="2"/>
        <v>24229.225589225589</v>
      </c>
      <c r="Z14">
        <f t="shared" si="3"/>
        <v>55</v>
      </c>
    </row>
    <row r="15" spans="1:26" x14ac:dyDescent="0.25">
      <c r="A15" s="9" t="s">
        <v>109</v>
      </c>
      <c r="B15" s="10">
        <v>45737</v>
      </c>
      <c r="C15" s="11" t="s">
        <v>110</v>
      </c>
      <c r="D15" s="11" t="s">
        <v>37</v>
      </c>
      <c r="E15" s="11">
        <v>36</v>
      </c>
      <c r="F15" s="11" t="s">
        <v>38</v>
      </c>
      <c r="G15" s="11" t="s">
        <v>66</v>
      </c>
      <c r="H15" s="11" t="s">
        <v>67</v>
      </c>
      <c r="I15" s="11" t="s">
        <v>27</v>
      </c>
      <c r="J15" s="11" t="s">
        <v>28</v>
      </c>
      <c r="K15" s="11" t="s">
        <v>60</v>
      </c>
      <c r="L15" s="11" t="s">
        <v>92</v>
      </c>
      <c r="M15" s="11" t="s">
        <v>111</v>
      </c>
      <c r="N15" s="11">
        <v>900</v>
      </c>
      <c r="O15" s="11">
        <v>12</v>
      </c>
      <c r="P15" s="17">
        <v>0.05</v>
      </c>
      <c r="Q15" s="11">
        <v>250</v>
      </c>
      <c r="R15" s="11" t="s">
        <v>80</v>
      </c>
      <c r="S15" s="11" t="s">
        <v>33</v>
      </c>
      <c r="T15" s="11" t="s">
        <v>34</v>
      </c>
      <c r="U15" s="11">
        <v>4</v>
      </c>
      <c r="V15" s="11" t="str">
        <f>TEXT('E-Commerce Sales Data'!$B15,"mmmm")</f>
        <v>March</v>
      </c>
      <c r="W15" s="8">
        <f t="shared" si="0"/>
        <v>4887220</v>
      </c>
      <c r="X15">
        <f t="shared" si="1"/>
        <v>1187</v>
      </c>
      <c r="Y15">
        <f t="shared" si="2"/>
        <v>24197.405223251895</v>
      </c>
      <c r="Z15">
        <f t="shared" si="3"/>
        <v>55</v>
      </c>
    </row>
    <row r="16" spans="1:26" x14ac:dyDescent="0.25">
      <c r="A16" s="5" t="s">
        <v>112</v>
      </c>
      <c r="B16" s="6">
        <v>45745</v>
      </c>
      <c r="C16" s="7" t="s">
        <v>113</v>
      </c>
      <c r="D16" s="7" t="s">
        <v>114</v>
      </c>
      <c r="E16" s="7">
        <v>40</v>
      </c>
      <c r="F16" s="7" t="s">
        <v>24</v>
      </c>
      <c r="G16" s="7" t="s">
        <v>73</v>
      </c>
      <c r="H16" s="7" t="s">
        <v>74</v>
      </c>
      <c r="I16" s="7" t="s">
        <v>41</v>
      </c>
      <c r="J16" s="7" t="s">
        <v>42</v>
      </c>
      <c r="K16" s="7" t="s">
        <v>43</v>
      </c>
      <c r="L16" s="7" t="s">
        <v>44</v>
      </c>
      <c r="M16" s="7" t="s">
        <v>45</v>
      </c>
      <c r="N16" s="7">
        <v>9200</v>
      </c>
      <c r="O16" s="7">
        <v>3</v>
      </c>
      <c r="P16" s="16">
        <v>7.0000000000000007E-2</v>
      </c>
      <c r="Q16" s="7">
        <v>1900</v>
      </c>
      <c r="R16" s="7" t="s">
        <v>46</v>
      </c>
      <c r="S16" s="7" t="s">
        <v>33</v>
      </c>
      <c r="T16" s="7" t="s">
        <v>34</v>
      </c>
      <c r="U16" s="7">
        <v>4</v>
      </c>
      <c r="V16" s="7" t="str">
        <f>TEXT('E-Commerce Sales Data'!$B16,"mmmm")</f>
        <v>March</v>
      </c>
      <c r="W16" s="8">
        <f t="shared" si="0"/>
        <v>4886970</v>
      </c>
      <c r="X16">
        <f t="shared" si="1"/>
        <v>1186</v>
      </c>
      <c r="Y16">
        <f t="shared" si="2"/>
        <v>24217.048903878582</v>
      </c>
      <c r="Z16">
        <f t="shared" si="3"/>
        <v>55</v>
      </c>
    </row>
    <row r="17" spans="1:26" x14ac:dyDescent="0.25">
      <c r="A17" s="9" t="s">
        <v>115</v>
      </c>
      <c r="B17" s="10">
        <v>45751</v>
      </c>
      <c r="C17" s="11" t="s">
        <v>116</v>
      </c>
      <c r="D17" s="11" t="s">
        <v>83</v>
      </c>
      <c r="E17" s="11">
        <v>27</v>
      </c>
      <c r="F17" s="11" t="s">
        <v>38</v>
      </c>
      <c r="G17" s="11" t="s">
        <v>39</v>
      </c>
      <c r="H17" s="11" t="s">
        <v>40</v>
      </c>
      <c r="I17" s="11" t="s">
        <v>41</v>
      </c>
      <c r="J17" s="11" t="s">
        <v>28</v>
      </c>
      <c r="K17" s="11" t="s">
        <v>29</v>
      </c>
      <c r="L17" s="11" t="s">
        <v>53</v>
      </c>
      <c r="M17" s="11" t="s">
        <v>54</v>
      </c>
      <c r="N17" s="11">
        <v>19500</v>
      </c>
      <c r="O17" s="11">
        <v>2</v>
      </c>
      <c r="P17" s="17">
        <v>0.05</v>
      </c>
      <c r="Q17" s="11">
        <v>3400</v>
      </c>
      <c r="R17" s="11" t="s">
        <v>32</v>
      </c>
      <c r="S17" s="11" t="s">
        <v>47</v>
      </c>
      <c r="T17" s="11" t="s">
        <v>34</v>
      </c>
      <c r="U17" s="11">
        <v>5</v>
      </c>
      <c r="V17" s="11" t="str">
        <f>TEXT('E-Commerce Sales Data'!$B17,"mmmm")</f>
        <v>April</v>
      </c>
      <c r="W17" s="8">
        <f t="shared" si="0"/>
        <v>4885070</v>
      </c>
      <c r="X17">
        <f t="shared" si="1"/>
        <v>1185</v>
      </c>
      <c r="Y17">
        <f t="shared" si="2"/>
        <v>24229.721518987342</v>
      </c>
      <c r="Z17">
        <f t="shared" si="3"/>
        <v>55</v>
      </c>
    </row>
    <row r="18" spans="1:26" x14ac:dyDescent="0.25">
      <c r="A18" s="5" t="s">
        <v>117</v>
      </c>
      <c r="B18" s="6">
        <v>45756</v>
      </c>
      <c r="C18" s="7" t="s">
        <v>118</v>
      </c>
      <c r="D18" s="7" t="s">
        <v>72</v>
      </c>
      <c r="E18" s="7">
        <v>35</v>
      </c>
      <c r="F18" s="7" t="s">
        <v>24</v>
      </c>
      <c r="G18" s="7" t="s">
        <v>84</v>
      </c>
      <c r="H18" s="7" t="s">
        <v>85</v>
      </c>
      <c r="I18" s="7" t="s">
        <v>52</v>
      </c>
      <c r="J18" s="7" t="s">
        <v>42</v>
      </c>
      <c r="K18" s="7" t="s">
        <v>60</v>
      </c>
      <c r="L18" s="7" t="s">
        <v>61</v>
      </c>
      <c r="M18" s="7" t="s">
        <v>62</v>
      </c>
      <c r="N18" s="7">
        <v>3500</v>
      </c>
      <c r="O18" s="7">
        <v>8</v>
      </c>
      <c r="P18" s="16">
        <v>0.03</v>
      </c>
      <c r="Q18" s="7">
        <v>850</v>
      </c>
      <c r="R18" s="7" t="s">
        <v>55</v>
      </c>
      <c r="S18" s="7" t="s">
        <v>33</v>
      </c>
      <c r="T18" s="7" t="s">
        <v>34</v>
      </c>
      <c r="U18" s="7">
        <v>4</v>
      </c>
      <c r="V18" s="7" t="str">
        <f>TEXT('E-Commerce Sales Data'!$B18,"mmmm")</f>
        <v>April</v>
      </c>
      <c r="W18" s="8">
        <f t="shared" si="0"/>
        <v>4881670</v>
      </c>
      <c r="X18">
        <f t="shared" si="1"/>
        <v>1184</v>
      </c>
      <c r="Y18">
        <f t="shared" si="2"/>
        <v>24233.716216216217</v>
      </c>
      <c r="Z18">
        <f t="shared" si="3"/>
        <v>55</v>
      </c>
    </row>
    <row r="19" spans="1:26" x14ac:dyDescent="0.25">
      <c r="A19" s="9" t="s">
        <v>119</v>
      </c>
      <c r="B19" s="10">
        <v>45763</v>
      </c>
      <c r="C19" s="11" t="s">
        <v>120</v>
      </c>
      <c r="D19" s="11" t="s">
        <v>23</v>
      </c>
      <c r="E19" s="11">
        <v>24</v>
      </c>
      <c r="F19" s="11" t="s">
        <v>38</v>
      </c>
      <c r="G19" s="11" t="s">
        <v>25</v>
      </c>
      <c r="H19" s="11" t="s">
        <v>26</v>
      </c>
      <c r="I19" s="11" t="s">
        <v>27</v>
      </c>
      <c r="J19" s="11" t="s">
        <v>28</v>
      </c>
      <c r="K19" s="11" t="s">
        <v>43</v>
      </c>
      <c r="L19" s="11" t="s">
        <v>68</v>
      </c>
      <c r="M19" s="11" t="s">
        <v>69</v>
      </c>
      <c r="N19" s="11">
        <v>16500</v>
      </c>
      <c r="O19" s="11">
        <v>2</v>
      </c>
      <c r="P19" s="17">
        <v>0.1</v>
      </c>
      <c r="Q19" s="11">
        <v>2300</v>
      </c>
      <c r="R19" s="11" t="s">
        <v>32</v>
      </c>
      <c r="S19" s="11" t="s">
        <v>47</v>
      </c>
      <c r="T19" s="11" t="s">
        <v>34</v>
      </c>
      <c r="U19" s="11">
        <v>5</v>
      </c>
      <c r="V19" s="11" t="str">
        <f>TEXT('E-Commerce Sales Data'!$B19,"mmmm")</f>
        <v>April</v>
      </c>
      <c r="W19" s="8">
        <f t="shared" si="0"/>
        <v>4880820</v>
      </c>
      <c r="X19">
        <f t="shared" si="1"/>
        <v>1183</v>
      </c>
      <c r="Y19">
        <f t="shared" si="2"/>
        <v>24251.242603550298</v>
      </c>
      <c r="Z19">
        <f t="shared" si="3"/>
        <v>55</v>
      </c>
    </row>
    <row r="20" spans="1:26" x14ac:dyDescent="0.25">
      <c r="A20" s="5" t="s">
        <v>121</v>
      </c>
      <c r="B20" s="6">
        <v>45770</v>
      </c>
      <c r="C20" s="7" t="s">
        <v>122</v>
      </c>
      <c r="D20" s="7" t="s">
        <v>50</v>
      </c>
      <c r="E20" s="7">
        <v>43</v>
      </c>
      <c r="F20" s="7" t="s">
        <v>24</v>
      </c>
      <c r="G20" s="7" t="s">
        <v>101</v>
      </c>
      <c r="H20" s="7" t="s">
        <v>102</v>
      </c>
      <c r="I20" s="7" t="s">
        <v>41</v>
      </c>
      <c r="J20" s="7" t="s">
        <v>42</v>
      </c>
      <c r="K20" s="7" t="s">
        <v>29</v>
      </c>
      <c r="L20" s="7" t="s">
        <v>53</v>
      </c>
      <c r="M20" s="7" t="s">
        <v>75</v>
      </c>
      <c r="N20" s="7">
        <v>2800</v>
      </c>
      <c r="O20" s="7">
        <v>4</v>
      </c>
      <c r="P20" s="16">
        <v>0.05</v>
      </c>
      <c r="Q20" s="7">
        <v>650</v>
      </c>
      <c r="R20" s="7" t="s">
        <v>46</v>
      </c>
      <c r="S20" s="7" t="s">
        <v>33</v>
      </c>
      <c r="T20" s="7" t="s">
        <v>34</v>
      </c>
      <c r="U20" s="7">
        <v>3</v>
      </c>
      <c r="V20" s="7" t="str">
        <f>TEXT('E-Commerce Sales Data'!$B20,"mmmm")</f>
        <v>April</v>
      </c>
      <c r="W20" s="8">
        <f t="shared" si="0"/>
        <v>4878520</v>
      </c>
      <c r="X20">
        <f t="shared" si="1"/>
        <v>1182</v>
      </c>
      <c r="Y20">
        <f t="shared" si="2"/>
        <v>24257.800338409477</v>
      </c>
      <c r="Z20">
        <f t="shared" si="3"/>
        <v>55</v>
      </c>
    </row>
    <row r="21" spans="1:26" x14ac:dyDescent="0.25">
      <c r="A21" s="9" t="s">
        <v>123</v>
      </c>
      <c r="B21" s="10">
        <v>45777</v>
      </c>
      <c r="C21" s="11" t="s">
        <v>124</v>
      </c>
      <c r="D21" s="11" t="s">
        <v>100</v>
      </c>
      <c r="E21" s="11">
        <v>32</v>
      </c>
      <c r="F21" s="11" t="s">
        <v>38</v>
      </c>
      <c r="G21" s="11" t="s">
        <v>78</v>
      </c>
      <c r="H21" s="11" t="s">
        <v>26</v>
      </c>
      <c r="I21" s="11" t="s">
        <v>27</v>
      </c>
      <c r="J21" s="11" t="s">
        <v>28</v>
      </c>
      <c r="K21" s="11" t="s">
        <v>29</v>
      </c>
      <c r="L21" s="11" t="s">
        <v>53</v>
      </c>
      <c r="M21" s="11" t="s">
        <v>79</v>
      </c>
      <c r="N21" s="11">
        <v>1350</v>
      </c>
      <c r="O21" s="11">
        <v>6</v>
      </c>
      <c r="P21" s="17">
        <v>0</v>
      </c>
      <c r="Q21" s="11">
        <v>390</v>
      </c>
      <c r="R21" s="11" t="s">
        <v>32</v>
      </c>
      <c r="S21" s="11" t="s">
        <v>33</v>
      </c>
      <c r="T21" s="11" t="s">
        <v>34</v>
      </c>
      <c r="U21" s="11">
        <v>4</v>
      </c>
      <c r="V21" s="11" t="str">
        <f>TEXT('E-Commerce Sales Data'!$B21,"mmmm")</f>
        <v>April</v>
      </c>
      <c r="W21" s="8">
        <f t="shared" si="0"/>
        <v>4877870</v>
      </c>
      <c r="X21">
        <f t="shared" si="1"/>
        <v>1181</v>
      </c>
      <c r="Y21">
        <f t="shared" si="2"/>
        <v>24275.969517358171</v>
      </c>
      <c r="Z21">
        <f t="shared" si="3"/>
        <v>55</v>
      </c>
    </row>
    <row r="22" spans="1:26" x14ac:dyDescent="0.25">
      <c r="A22" s="5" t="s">
        <v>125</v>
      </c>
      <c r="B22" s="6">
        <v>45782</v>
      </c>
      <c r="C22" s="7" t="s">
        <v>22</v>
      </c>
      <c r="D22" s="7" t="s">
        <v>23</v>
      </c>
      <c r="E22" s="7">
        <v>28</v>
      </c>
      <c r="F22" s="7" t="s">
        <v>24</v>
      </c>
      <c r="G22" s="7" t="s">
        <v>25</v>
      </c>
      <c r="H22" s="7" t="s">
        <v>26</v>
      </c>
      <c r="I22" s="7" t="s">
        <v>27</v>
      </c>
      <c r="J22" s="7" t="s">
        <v>28</v>
      </c>
      <c r="K22" s="7" t="s">
        <v>29</v>
      </c>
      <c r="L22" s="7" t="s">
        <v>30</v>
      </c>
      <c r="M22" s="7" t="s">
        <v>31</v>
      </c>
      <c r="N22" s="7">
        <v>58000</v>
      </c>
      <c r="O22" s="7">
        <v>1</v>
      </c>
      <c r="P22" s="16">
        <v>0.05</v>
      </c>
      <c r="Q22" s="7">
        <v>7500</v>
      </c>
      <c r="R22" s="7" t="s">
        <v>32</v>
      </c>
      <c r="S22" s="7" t="s">
        <v>47</v>
      </c>
      <c r="T22" s="7" t="s">
        <v>34</v>
      </c>
      <c r="U22" s="7">
        <v>5</v>
      </c>
      <c r="V22" s="7" t="str">
        <f>TEXT('E-Commerce Sales Data'!$B22,"mmmm")</f>
        <v>May</v>
      </c>
      <c r="W22" s="8">
        <f t="shared" si="0"/>
        <v>4877480</v>
      </c>
      <c r="X22">
        <f t="shared" si="1"/>
        <v>1180</v>
      </c>
      <c r="Y22">
        <f t="shared" si="2"/>
        <v>24295.398305084746</v>
      </c>
      <c r="Z22">
        <f t="shared" si="3"/>
        <v>55</v>
      </c>
    </row>
    <row r="23" spans="1:26" x14ac:dyDescent="0.25">
      <c r="A23" s="9" t="s">
        <v>126</v>
      </c>
      <c r="B23" s="10">
        <v>45789</v>
      </c>
      <c r="C23" s="11" t="s">
        <v>36</v>
      </c>
      <c r="D23" s="11" t="s">
        <v>37</v>
      </c>
      <c r="E23" s="11">
        <v>34</v>
      </c>
      <c r="F23" s="11" t="s">
        <v>38</v>
      </c>
      <c r="G23" s="11" t="s">
        <v>39</v>
      </c>
      <c r="H23" s="11" t="s">
        <v>40</v>
      </c>
      <c r="I23" s="11" t="s">
        <v>41</v>
      </c>
      <c r="J23" s="11" t="s">
        <v>42</v>
      </c>
      <c r="K23" s="11" t="s">
        <v>43</v>
      </c>
      <c r="L23" s="11" t="s">
        <v>44</v>
      </c>
      <c r="M23" s="11" t="s">
        <v>45</v>
      </c>
      <c r="N23" s="11">
        <v>7800</v>
      </c>
      <c r="O23" s="11">
        <v>3</v>
      </c>
      <c r="P23" s="17">
        <v>0.1</v>
      </c>
      <c r="Q23" s="11">
        <v>1600</v>
      </c>
      <c r="R23" s="11" t="s">
        <v>46</v>
      </c>
      <c r="S23" s="11" t="s">
        <v>33</v>
      </c>
      <c r="T23" s="11" t="s">
        <v>34</v>
      </c>
      <c r="U23" s="11">
        <v>4</v>
      </c>
      <c r="V23" s="11" t="str">
        <f>TEXT('E-Commerce Sales Data'!$B23,"mmmm")</f>
        <v>May</v>
      </c>
      <c r="W23" s="8">
        <f t="shared" si="0"/>
        <v>4869980</v>
      </c>
      <c r="X23">
        <f t="shared" si="1"/>
        <v>1179</v>
      </c>
      <c r="Y23">
        <f t="shared" si="2"/>
        <v>24266.810856658183</v>
      </c>
      <c r="Z23">
        <f t="shared" si="3"/>
        <v>55</v>
      </c>
    </row>
    <row r="24" spans="1:26" x14ac:dyDescent="0.25">
      <c r="A24" s="5" t="s">
        <v>127</v>
      </c>
      <c r="B24" s="6">
        <v>45795</v>
      </c>
      <c r="C24" s="7" t="s">
        <v>49</v>
      </c>
      <c r="D24" s="7" t="s">
        <v>50</v>
      </c>
      <c r="E24" s="7">
        <v>41</v>
      </c>
      <c r="F24" s="7" t="s">
        <v>24</v>
      </c>
      <c r="G24" s="7" t="s">
        <v>51</v>
      </c>
      <c r="H24" s="7" t="s">
        <v>51</v>
      </c>
      <c r="I24" s="7" t="s">
        <v>52</v>
      </c>
      <c r="J24" s="7" t="s">
        <v>28</v>
      </c>
      <c r="K24" s="7" t="s">
        <v>29</v>
      </c>
      <c r="L24" s="7" t="s">
        <v>53</v>
      </c>
      <c r="M24" s="7" t="s">
        <v>54</v>
      </c>
      <c r="N24" s="7">
        <v>17500</v>
      </c>
      <c r="O24" s="7">
        <v>2</v>
      </c>
      <c r="P24" s="16">
        <v>0.05</v>
      </c>
      <c r="Q24" s="7">
        <v>3000</v>
      </c>
      <c r="R24" s="7" t="s">
        <v>55</v>
      </c>
      <c r="S24" s="7" t="s">
        <v>33</v>
      </c>
      <c r="T24" s="7" t="s">
        <v>34</v>
      </c>
      <c r="U24" s="7">
        <v>4</v>
      </c>
      <c r="V24" s="7" t="str">
        <f>TEXT('E-Commerce Sales Data'!$B24,"mmmm")</f>
        <v>May</v>
      </c>
      <c r="W24" s="8">
        <f t="shared" si="0"/>
        <v>4868380</v>
      </c>
      <c r="X24">
        <f t="shared" si="1"/>
        <v>1178</v>
      </c>
      <c r="Y24">
        <f t="shared" si="2"/>
        <v>24280.78947368421</v>
      </c>
      <c r="Z24">
        <f t="shared" si="3"/>
        <v>55</v>
      </c>
    </row>
    <row r="25" spans="1:26" x14ac:dyDescent="0.25">
      <c r="A25" s="9" t="s">
        <v>128</v>
      </c>
      <c r="B25" s="10">
        <v>45802</v>
      </c>
      <c r="C25" s="11" t="s">
        <v>57</v>
      </c>
      <c r="D25" s="11" t="s">
        <v>58</v>
      </c>
      <c r="E25" s="11">
        <v>26</v>
      </c>
      <c r="F25" s="11" t="s">
        <v>38</v>
      </c>
      <c r="G25" s="11" t="s">
        <v>59</v>
      </c>
      <c r="H25" s="11" t="s">
        <v>26</v>
      </c>
      <c r="I25" s="11" t="s">
        <v>27</v>
      </c>
      <c r="J25" s="11" t="s">
        <v>28</v>
      </c>
      <c r="K25" s="11" t="s">
        <v>60</v>
      </c>
      <c r="L25" s="11" t="s">
        <v>61</v>
      </c>
      <c r="M25" s="11" t="s">
        <v>86</v>
      </c>
      <c r="N25" s="11">
        <v>520</v>
      </c>
      <c r="O25" s="11">
        <v>20</v>
      </c>
      <c r="P25" s="17">
        <v>0.02</v>
      </c>
      <c r="Q25" s="11">
        <v>140</v>
      </c>
      <c r="R25" s="11" t="s">
        <v>32</v>
      </c>
      <c r="S25" s="11" t="s">
        <v>33</v>
      </c>
      <c r="T25" s="11" t="s">
        <v>34</v>
      </c>
      <c r="U25" s="11">
        <v>5</v>
      </c>
      <c r="V25" s="11" t="str">
        <f>TEXT('E-Commerce Sales Data'!$B25,"mmmm")</f>
        <v>May</v>
      </c>
      <c r="W25" s="8">
        <f t="shared" si="0"/>
        <v>4865380</v>
      </c>
      <c r="X25">
        <f t="shared" si="1"/>
        <v>1177</v>
      </c>
      <c r="Y25">
        <f t="shared" si="2"/>
        <v>24286.550552251487</v>
      </c>
      <c r="Z25">
        <f t="shared" si="3"/>
        <v>55</v>
      </c>
    </row>
    <row r="26" spans="1:26" x14ac:dyDescent="0.25">
      <c r="A26" s="5" t="s">
        <v>129</v>
      </c>
      <c r="B26" s="6">
        <v>45808</v>
      </c>
      <c r="C26" s="7" t="s">
        <v>64</v>
      </c>
      <c r="D26" s="7" t="s">
        <v>65</v>
      </c>
      <c r="E26" s="7">
        <v>39</v>
      </c>
      <c r="F26" s="7" t="s">
        <v>24</v>
      </c>
      <c r="G26" s="7" t="s">
        <v>66</v>
      </c>
      <c r="H26" s="7" t="s">
        <v>67</v>
      </c>
      <c r="I26" s="7" t="s">
        <v>27</v>
      </c>
      <c r="J26" s="7" t="s">
        <v>42</v>
      </c>
      <c r="K26" s="7" t="s">
        <v>43</v>
      </c>
      <c r="L26" s="7" t="s">
        <v>68</v>
      </c>
      <c r="M26" s="7" t="s">
        <v>69</v>
      </c>
      <c r="N26" s="7">
        <v>15200</v>
      </c>
      <c r="O26" s="7">
        <v>2</v>
      </c>
      <c r="P26" s="16">
        <v>0.08</v>
      </c>
      <c r="Q26" s="7">
        <v>2600</v>
      </c>
      <c r="R26" s="7" t="s">
        <v>46</v>
      </c>
      <c r="S26" s="7" t="s">
        <v>47</v>
      </c>
      <c r="T26" s="7" t="s">
        <v>34</v>
      </c>
      <c r="U26" s="7">
        <v>4</v>
      </c>
      <c r="V26" s="7" t="str">
        <f>TEXT('E-Commerce Sales Data'!$B26,"mmmm")</f>
        <v>May</v>
      </c>
      <c r="W26" s="8">
        <f t="shared" si="0"/>
        <v>4865240</v>
      </c>
      <c r="X26">
        <f t="shared" si="1"/>
        <v>1176</v>
      </c>
      <c r="Y26">
        <f t="shared" si="2"/>
        <v>24306.760204081631</v>
      </c>
      <c r="Z26">
        <f t="shared" si="3"/>
        <v>55</v>
      </c>
    </row>
    <row r="27" spans="1:26" x14ac:dyDescent="0.25">
      <c r="A27" s="9" t="s">
        <v>130</v>
      </c>
      <c r="B27" s="10">
        <v>45814</v>
      </c>
      <c r="C27" s="11" t="s">
        <v>71</v>
      </c>
      <c r="D27" s="11" t="s">
        <v>72</v>
      </c>
      <c r="E27" s="11">
        <v>31</v>
      </c>
      <c r="F27" s="11" t="s">
        <v>38</v>
      </c>
      <c r="G27" s="11" t="s">
        <v>73</v>
      </c>
      <c r="H27" s="11" t="s">
        <v>74</v>
      </c>
      <c r="I27" s="11" t="s">
        <v>41</v>
      </c>
      <c r="J27" s="11" t="s">
        <v>28</v>
      </c>
      <c r="K27" s="11" t="s">
        <v>29</v>
      </c>
      <c r="L27" s="11" t="s">
        <v>53</v>
      </c>
      <c r="M27" s="11" t="s">
        <v>75</v>
      </c>
      <c r="N27" s="11">
        <v>2600</v>
      </c>
      <c r="O27" s="11">
        <v>3</v>
      </c>
      <c r="P27" s="17">
        <v>0.05</v>
      </c>
      <c r="Q27" s="11">
        <v>620</v>
      </c>
      <c r="R27" s="11" t="s">
        <v>32</v>
      </c>
      <c r="S27" s="11" t="s">
        <v>33</v>
      </c>
      <c r="T27" s="11" t="s">
        <v>34</v>
      </c>
      <c r="U27" s="11">
        <v>4</v>
      </c>
      <c r="V27" s="11" t="str">
        <f>TEXT('E-Commerce Sales Data'!$B27,"mmmm")</f>
        <v>June</v>
      </c>
      <c r="W27" s="8">
        <f t="shared" si="0"/>
        <v>4862640</v>
      </c>
      <c r="X27">
        <f t="shared" si="1"/>
        <v>1175</v>
      </c>
      <c r="Y27">
        <f t="shared" si="2"/>
        <v>24314.510638297874</v>
      </c>
      <c r="Z27">
        <f t="shared" si="3"/>
        <v>55</v>
      </c>
    </row>
    <row r="28" spans="1:26" x14ac:dyDescent="0.25">
      <c r="A28" s="5" t="s">
        <v>131</v>
      </c>
      <c r="B28" s="6">
        <v>45821</v>
      </c>
      <c r="C28" s="7" t="s">
        <v>77</v>
      </c>
      <c r="D28" s="7" t="s">
        <v>23</v>
      </c>
      <c r="E28" s="7">
        <v>29</v>
      </c>
      <c r="F28" s="7" t="s">
        <v>24</v>
      </c>
      <c r="G28" s="7" t="s">
        <v>78</v>
      </c>
      <c r="H28" s="7" t="s">
        <v>26</v>
      </c>
      <c r="I28" s="7" t="s">
        <v>27</v>
      </c>
      <c r="J28" s="7" t="s">
        <v>28</v>
      </c>
      <c r="K28" s="7" t="s">
        <v>29</v>
      </c>
      <c r="L28" s="7" t="s">
        <v>53</v>
      </c>
      <c r="M28" s="7" t="s">
        <v>79</v>
      </c>
      <c r="N28" s="7">
        <v>1100</v>
      </c>
      <c r="O28" s="7">
        <v>5</v>
      </c>
      <c r="P28" s="16">
        <v>0</v>
      </c>
      <c r="Q28" s="7">
        <v>300</v>
      </c>
      <c r="R28" s="7" t="s">
        <v>80</v>
      </c>
      <c r="S28" s="7" t="s">
        <v>33</v>
      </c>
      <c r="T28" s="7" t="s">
        <v>34</v>
      </c>
      <c r="U28" s="7">
        <v>3</v>
      </c>
      <c r="V28" s="7" t="str">
        <f>TEXT('E-Commerce Sales Data'!$B28,"mmmm")</f>
        <v>June</v>
      </c>
      <c r="W28" s="8">
        <f t="shared" si="0"/>
        <v>4862020</v>
      </c>
      <c r="X28">
        <f t="shared" si="1"/>
        <v>1174</v>
      </c>
      <c r="Y28">
        <f t="shared" si="2"/>
        <v>24333.006814310051</v>
      </c>
      <c r="Z28">
        <f t="shared" si="3"/>
        <v>55</v>
      </c>
    </row>
    <row r="29" spans="1:26" x14ac:dyDescent="0.25">
      <c r="A29" s="9" t="s">
        <v>132</v>
      </c>
      <c r="B29" s="10">
        <v>45828</v>
      </c>
      <c r="C29" s="11" t="s">
        <v>82</v>
      </c>
      <c r="D29" s="11" t="s">
        <v>83</v>
      </c>
      <c r="E29" s="11">
        <v>37</v>
      </c>
      <c r="F29" s="11" t="s">
        <v>38</v>
      </c>
      <c r="G29" s="11" t="s">
        <v>84</v>
      </c>
      <c r="H29" s="11" t="s">
        <v>85</v>
      </c>
      <c r="I29" s="11" t="s">
        <v>52</v>
      </c>
      <c r="J29" s="11" t="s">
        <v>42</v>
      </c>
      <c r="K29" s="11" t="s">
        <v>60</v>
      </c>
      <c r="L29" s="11" t="s">
        <v>61</v>
      </c>
      <c r="M29" s="11" t="s">
        <v>62</v>
      </c>
      <c r="N29" s="11">
        <v>3300</v>
      </c>
      <c r="O29" s="11">
        <v>10</v>
      </c>
      <c r="P29" s="17">
        <v>0.02</v>
      </c>
      <c r="Q29" s="11">
        <v>920</v>
      </c>
      <c r="R29" s="11" t="s">
        <v>32</v>
      </c>
      <c r="S29" s="11" t="s">
        <v>33</v>
      </c>
      <c r="T29" s="11" t="s">
        <v>34</v>
      </c>
      <c r="U29" s="11">
        <v>5</v>
      </c>
      <c r="V29" s="11" t="str">
        <f>TEXT('E-Commerce Sales Data'!$B29,"mmmm")</f>
        <v>June</v>
      </c>
      <c r="W29" s="8">
        <f t="shared" si="0"/>
        <v>4861720</v>
      </c>
      <c r="X29">
        <f t="shared" si="1"/>
        <v>1173</v>
      </c>
      <c r="Y29">
        <f t="shared" si="2"/>
        <v>24352.813299232737</v>
      </c>
      <c r="Z29">
        <f t="shared" si="3"/>
        <v>55</v>
      </c>
    </row>
    <row r="30" spans="1:26" x14ac:dyDescent="0.25">
      <c r="A30" s="5" t="s">
        <v>133</v>
      </c>
      <c r="B30" s="6">
        <v>45835</v>
      </c>
      <c r="C30" s="7" t="s">
        <v>88</v>
      </c>
      <c r="D30" s="7" t="s">
        <v>37</v>
      </c>
      <c r="E30" s="7">
        <v>45</v>
      </c>
      <c r="F30" s="7" t="s">
        <v>24</v>
      </c>
      <c r="G30" s="7" t="s">
        <v>89</v>
      </c>
      <c r="H30" s="7" t="s">
        <v>90</v>
      </c>
      <c r="I30" s="7" t="s">
        <v>91</v>
      </c>
      <c r="J30" s="7" t="s">
        <v>42</v>
      </c>
      <c r="K30" s="7" t="s">
        <v>43</v>
      </c>
      <c r="L30" s="7" t="s">
        <v>92</v>
      </c>
      <c r="M30" s="7" t="s">
        <v>93</v>
      </c>
      <c r="N30" s="7">
        <v>13200</v>
      </c>
      <c r="O30" s="7">
        <v>1</v>
      </c>
      <c r="P30" s="16">
        <v>0.1</v>
      </c>
      <c r="Q30" s="7">
        <v>2200</v>
      </c>
      <c r="R30" s="7" t="s">
        <v>46</v>
      </c>
      <c r="S30" s="7" t="s">
        <v>47</v>
      </c>
      <c r="T30" s="7" t="s">
        <v>34</v>
      </c>
      <c r="U30" s="7">
        <v>4</v>
      </c>
      <c r="V30" s="7" t="str">
        <f>TEXT('E-Commerce Sales Data'!$B30,"mmmm")</f>
        <v>June</v>
      </c>
      <c r="W30" s="8">
        <f t="shared" si="0"/>
        <v>4860800</v>
      </c>
      <c r="X30">
        <f t="shared" si="1"/>
        <v>1172</v>
      </c>
      <c r="Y30">
        <f t="shared" si="2"/>
        <v>24370.776450511945</v>
      </c>
      <c r="Z30">
        <f t="shared" si="3"/>
        <v>55</v>
      </c>
    </row>
    <row r="31" spans="1:26" x14ac:dyDescent="0.25">
      <c r="A31" s="9" t="s">
        <v>134</v>
      </c>
      <c r="B31" s="10">
        <v>45841</v>
      </c>
      <c r="C31" s="11" t="s">
        <v>95</v>
      </c>
      <c r="D31" s="11" t="s">
        <v>65</v>
      </c>
      <c r="E31" s="11">
        <v>25</v>
      </c>
      <c r="F31" s="11" t="s">
        <v>38</v>
      </c>
      <c r="G31" s="11" t="s">
        <v>25</v>
      </c>
      <c r="H31" s="11" t="s">
        <v>26</v>
      </c>
      <c r="I31" s="11" t="s">
        <v>27</v>
      </c>
      <c r="J31" s="11" t="s">
        <v>28</v>
      </c>
      <c r="K31" s="11" t="s">
        <v>29</v>
      </c>
      <c r="L31" s="11" t="s">
        <v>96</v>
      </c>
      <c r="M31" s="11" t="s">
        <v>97</v>
      </c>
      <c r="N31" s="11">
        <v>15100</v>
      </c>
      <c r="O31" s="11">
        <v>2</v>
      </c>
      <c r="P31" s="17">
        <v>0.05</v>
      </c>
      <c r="Q31" s="11">
        <v>2800</v>
      </c>
      <c r="R31" s="11" t="s">
        <v>32</v>
      </c>
      <c r="S31" s="11" t="s">
        <v>33</v>
      </c>
      <c r="T31" s="11" t="s">
        <v>34</v>
      </c>
      <c r="U31" s="11">
        <v>4</v>
      </c>
      <c r="V31" s="11" t="str">
        <f>TEXT('E-Commerce Sales Data'!$B31,"mmmm")</f>
        <v>July</v>
      </c>
      <c r="W31" s="8">
        <f t="shared" si="0"/>
        <v>4858600</v>
      </c>
      <c r="X31">
        <f t="shared" si="1"/>
        <v>1171</v>
      </c>
      <c r="Y31">
        <f t="shared" si="2"/>
        <v>24380.315969257044</v>
      </c>
      <c r="Z31">
        <f t="shared" si="3"/>
        <v>55</v>
      </c>
    </row>
    <row r="32" spans="1:26" x14ac:dyDescent="0.25">
      <c r="A32" s="5" t="s">
        <v>135</v>
      </c>
      <c r="B32" s="6">
        <v>45847</v>
      </c>
      <c r="C32" s="7" t="s">
        <v>99</v>
      </c>
      <c r="D32" s="7" t="s">
        <v>100</v>
      </c>
      <c r="E32" s="7">
        <v>33</v>
      </c>
      <c r="F32" s="7" t="s">
        <v>24</v>
      </c>
      <c r="G32" s="7" t="s">
        <v>101</v>
      </c>
      <c r="H32" s="7" t="s">
        <v>102</v>
      </c>
      <c r="I32" s="7" t="s">
        <v>41</v>
      </c>
      <c r="J32" s="7" t="s">
        <v>28</v>
      </c>
      <c r="K32" s="7" t="s">
        <v>60</v>
      </c>
      <c r="L32" s="7" t="s">
        <v>53</v>
      </c>
      <c r="M32" s="7" t="s">
        <v>103</v>
      </c>
      <c r="N32" s="7">
        <v>700</v>
      </c>
      <c r="O32" s="7">
        <v>25</v>
      </c>
      <c r="P32" s="16">
        <v>0</v>
      </c>
      <c r="Q32" s="7">
        <v>200</v>
      </c>
      <c r="R32" s="7" t="s">
        <v>55</v>
      </c>
      <c r="S32" s="7" t="s">
        <v>33</v>
      </c>
      <c r="T32" s="7" t="s">
        <v>34</v>
      </c>
      <c r="U32" s="7">
        <v>5</v>
      </c>
      <c r="V32" s="7" t="str">
        <f>TEXT('E-Commerce Sales Data'!$B32,"mmmm")</f>
        <v>July</v>
      </c>
      <c r="W32" s="8">
        <f t="shared" si="0"/>
        <v>4855800</v>
      </c>
      <c r="X32">
        <f t="shared" si="1"/>
        <v>1170</v>
      </c>
      <c r="Y32">
        <f t="shared" si="2"/>
        <v>24388.247863247863</v>
      </c>
      <c r="Z32">
        <f t="shared" si="3"/>
        <v>55</v>
      </c>
    </row>
    <row r="33" spans="1:26" x14ac:dyDescent="0.25">
      <c r="A33" s="9" t="s">
        <v>136</v>
      </c>
      <c r="B33" s="10">
        <v>45854</v>
      </c>
      <c r="C33" s="11" t="s">
        <v>105</v>
      </c>
      <c r="D33" s="11" t="s">
        <v>58</v>
      </c>
      <c r="E33" s="11">
        <v>42</v>
      </c>
      <c r="F33" s="11" t="s">
        <v>38</v>
      </c>
      <c r="G33" s="11" t="s">
        <v>51</v>
      </c>
      <c r="H33" s="11" t="s">
        <v>51</v>
      </c>
      <c r="I33" s="11" t="s">
        <v>52</v>
      </c>
      <c r="J33" s="11" t="s">
        <v>42</v>
      </c>
      <c r="K33" s="11" t="s">
        <v>43</v>
      </c>
      <c r="L33" s="11" t="s">
        <v>68</v>
      </c>
      <c r="M33" s="11" t="s">
        <v>106</v>
      </c>
      <c r="N33" s="11">
        <v>21500</v>
      </c>
      <c r="O33" s="11">
        <v>1</v>
      </c>
      <c r="P33" s="17">
        <v>0.08</v>
      </c>
      <c r="Q33" s="11">
        <v>4000</v>
      </c>
      <c r="R33" s="11" t="s">
        <v>46</v>
      </c>
      <c r="S33" s="11" t="s">
        <v>47</v>
      </c>
      <c r="T33" s="11" t="s">
        <v>34</v>
      </c>
      <c r="U33" s="11">
        <v>4</v>
      </c>
      <c r="V33" s="11" t="str">
        <f>TEXT('E-Commerce Sales Data'!$B33,"mmmm")</f>
        <v>July</v>
      </c>
      <c r="W33" s="8">
        <f t="shared" si="0"/>
        <v>4855600</v>
      </c>
      <c r="X33">
        <f t="shared" si="1"/>
        <v>1169</v>
      </c>
      <c r="Y33">
        <f t="shared" si="2"/>
        <v>24408.511548331906</v>
      </c>
      <c r="Z33">
        <f t="shared" si="3"/>
        <v>55</v>
      </c>
    </row>
    <row r="34" spans="1:26" x14ac:dyDescent="0.25">
      <c r="A34" s="5" t="s">
        <v>137</v>
      </c>
      <c r="B34" s="6">
        <v>45860</v>
      </c>
      <c r="C34" s="7" t="s">
        <v>108</v>
      </c>
      <c r="D34" s="7" t="s">
        <v>23</v>
      </c>
      <c r="E34" s="7">
        <v>30</v>
      </c>
      <c r="F34" s="7" t="s">
        <v>24</v>
      </c>
      <c r="G34" s="7" t="s">
        <v>59</v>
      </c>
      <c r="H34" s="7" t="s">
        <v>26</v>
      </c>
      <c r="I34" s="7" t="s">
        <v>27</v>
      </c>
      <c r="J34" s="7" t="s">
        <v>28</v>
      </c>
      <c r="K34" s="7" t="s">
        <v>29</v>
      </c>
      <c r="L34" s="7" t="s">
        <v>30</v>
      </c>
      <c r="M34" s="7" t="s">
        <v>31</v>
      </c>
      <c r="N34" s="7">
        <v>64000</v>
      </c>
      <c r="O34" s="7">
        <v>1</v>
      </c>
      <c r="P34" s="16">
        <v>0.1</v>
      </c>
      <c r="Q34" s="7">
        <v>7100</v>
      </c>
      <c r="R34" s="7" t="s">
        <v>32</v>
      </c>
      <c r="S34" s="7" t="s">
        <v>47</v>
      </c>
      <c r="T34" s="7" t="s">
        <v>34</v>
      </c>
      <c r="U34" s="7">
        <v>5</v>
      </c>
      <c r="V34" s="7" t="str">
        <f>TEXT('E-Commerce Sales Data'!$B34,"mmmm")</f>
        <v>July</v>
      </c>
      <c r="W34" s="8">
        <f t="shared" si="0"/>
        <v>4851600</v>
      </c>
      <c r="X34">
        <f t="shared" si="1"/>
        <v>1168</v>
      </c>
      <c r="Y34">
        <f t="shared" si="2"/>
        <v>24411.001712328769</v>
      </c>
      <c r="Z34">
        <f t="shared" si="3"/>
        <v>55</v>
      </c>
    </row>
    <row r="35" spans="1:26" x14ac:dyDescent="0.25">
      <c r="A35" s="9" t="s">
        <v>138</v>
      </c>
      <c r="B35" s="10">
        <v>45867</v>
      </c>
      <c r="C35" s="11" t="s">
        <v>110</v>
      </c>
      <c r="D35" s="11" t="s">
        <v>37</v>
      </c>
      <c r="E35" s="11">
        <v>36</v>
      </c>
      <c r="F35" s="11" t="s">
        <v>38</v>
      </c>
      <c r="G35" s="11" t="s">
        <v>66</v>
      </c>
      <c r="H35" s="11" t="s">
        <v>67</v>
      </c>
      <c r="I35" s="11" t="s">
        <v>27</v>
      </c>
      <c r="J35" s="11" t="s">
        <v>28</v>
      </c>
      <c r="K35" s="11" t="s">
        <v>60</v>
      </c>
      <c r="L35" s="11" t="s">
        <v>92</v>
      </c>
      <c r="M35" s="11" t="s">
        <v>111</v>
      </c>
      <c r="N35" s="11">
        <v>950</v>
      </c>
      <c r="O35" s="11">
        <v>15</v>
      </c>
      <c r="P35" s="17">
        <v>0.05</v>
      </c>
      <c r="Q35" s="11">
        <v>280</v>
      </c>
      <c r="R35" s="11" t="s">
        <v>80</v>
      </c>
      <c r="S35" s="11" t="s">
        <v>33</v>
      </c>
      <c r="T35" s="11" t="s">
        <v>34</v>
      </c>
      <c r="U35" s="11">
        <v>4</v>
      </c>
      <c r="V35" s="11" t="str">
        <f>TEXT('E-Commerce Sales Data'!$B35,"mmmm")</f>
        <v>July</v>
      </c>
      <c r="W35" s="8">
        <f t="shared" si="0"/>
        <v>4844500</v>
      </c>
      <c r="X35">
        <f t="shared" si="1"/>
        <v>1167</v>
      </c>
      <c r="Y35">
        <f t="shared" si="2"/>
        <v>24377.077977720652</v>
      </c>
      <c r="Z35">
        <f t="shared" si="3"/>
        <v>55</v>
      </c>
    </row>
    <row r="36" spans="1:26" x14ac:dyDescent="0.25">
      <c r="A36" s="5" t="s">
        <v>139</v>
      </c>
      <c r="B36" s="6">
        <v>45873</v>
      </c>
      <c r="C36" s="7" t="s">
        <v>113</v>
      </c>
      <c r="D36" s="7" t="s">
        <v>114</v>
      </c>
      <c r="E36" s="7">
        <v>40</v>
      </c>
      <c r="F36" s="7" t="s">
        <v>24</v>
      </c>
      <c r="G36" s="7" t="s">
        <v>73</v>
      </c>
      <c r="H36" s="7" t="s">
        <v>74</v>
      </c>
      <c r="I36" s="7" t="s">
        <v>41</v>
      </c>
      <c r="J36" s="7" t="s">
        <v>42</v>
      </c>
      <c r="K36" s="7" t="s">
        <v>43</v>
      </c>
      <c r="L36" s="7" t="s">
        <v>44</v>
      </c>
      <c r="M36" s="7" t="s">
        <v>45</v>
      </c>
      <c r="N36" s="7">
        <v>8800</v>
      </c>
      <c r="O36" s="7">
        <v>4</v>
      </c>
      <c r="P36" s="16">
        <v>7.0000000000000007E-2</v>
      </c>
      <c r="Q36" s="7">
        <v>1850</v>
      </c>
      <c r="R36" s="7" t="s">
        <v>46</v>
      </c>
      <c r="S36" s="7" t="s">
        <v>33</v>
      </c>
      <c r="T36" s="7" t="s">
        <v>34</v>
      </c>
      <c r="U36" s="7">
        <v>4</v>
      </c>
      <c r="V36" s="7" t="str">
        <f>TEXT('E-Commerce Sales Data'!$B36,"mmmm")</f>
        <v>August</v>
      </c>
      <c r="W36" s="8">
        <f t="shared" si="0"/>
        <v>4844220</v>
      </c>
      <c r="X36">
        <f t="shared" si="1"/>
        <v>1166</v>
      </c>
      <c r="Y36">
        <f t="shared" si="2"/>
        <v>24397.169811320753</v>
      </c>
      <c r="Z36">
        <f t="shared" si="3"/>
        <v>55</v>
      </c>
    </row>
    <row r="37" spans="1:26" x14ac:dyDescent="0.25">
      <c r="A37" s="9" t="s">
        <v>140</v>
      </c>
      <c r="B37" s="10">
        <v>45880</v>
      </c>
      <c r="C37" s="11" t="s">
        <v>116</v>
      </c>
      <c r="D37" s="11" t="s">
        <v>83</v>
      </c>
      <c r="E37" s="11">
        <v>27</v>
      </c>
      <c r="F37" s="11" t="s">
        <v>38</v>
      </c>
      <c r="G37" s="11" t="s">
        <v>39</v>
      </c>
      <c r="H37" s="11" t="s">
        <v>40</v>
      </c>
      <c r="I37" s="11" t="s">
        <v>41</v>
      </c>
      <c r="J37" s="11" t="s">
        <v>28</v>
      </c>
      <c r="K37" s="11" t="s">
        <v>29</v>
      </c>
      <c r="L37" s="11" t="s">
        <v>53</v>
      </c>
      <c r="M37" s="11" t="s">
        <v>54</v>
      </c>
      <c r="N37" s="11">
        <v>20500</v>
      </c>
      <c r="O37" s="11">
        <v>2</v>
      </c>
      <c r="P37" s="17">
        <v>0.05</v>
      </c>
      <c r="Q37" s="11">
        <v>3600</v>
      </c>
      <c r="R37" s="11" t="s">
        <v>32</v>
      </c>
      <c r="S37" s="11" t="s">
        <v>47</v>
      </c>
      <c r="T37" s="11" t="s">
        <v>34</v>
      </c>
      <c r="U37" s="11">
        <v>5</v>
      </c>
      <c r="V37" s="11" t="str">
        <f>TEXT('E-Commerce Sales Data'!$B37,"mmmm")</f>
        <v>August</v>
      </c>
      <c r="W37" s="8">
        <f t="shared" si="0"/>
        <v>4842370</v>
      </c>
      <c r="X37">
        <f t="shared" si="1"/>
        <v>1165</v>
      </c>
      <c r="Y37">
        <f t="shared" si="2"/>
        <v>24410.557939914164</v>
      </c>
      <c r="Z37">
        <f t="shared" si="3"/>
        <v>55</v>
      </c>
    </row>
    <row r="38" spans="1:26" x14ac:dyDescent="0.25">
      <c r="A38" s="5" t="s">
        <v>141</v>
      </c>
      <c r="B38" s="6">
        <v>45887</v>
      </c>
      <c r="C38" s="7" t="s">
        <v>118</v>
      </c>
      <c r="D38" s="7" t="s">
        <v>72</v>
      </c>
      <c r="E38" s="7">
        <v>35</v>
      </c>
      <c r="F38" s="7" t="s">
        <v>24</v>
      </c>
      <c r="G38" s="7" t="s">
        <v>84</v>
      </c>
      <c r="H38" s="7" t="s">
        <v>85</v>
      </c>
      <c r="I38" s="7" t="s">
        <v>52</v>
      </c>
      <c r="J38" s="7" t="s">
        <v>42</v>
      </c>
      <c r="K38" s="7" t="s">
        <v>60</v>
      </c>
      <c r="L38" s="7" t="s">
        <v>61</v>
      </c>
      <c r="M38" s="7" t="s">
        <v>62</v>
      </c>
      <c r="N38" s="7">
        <v>3700</v>
      </c>
      <c r="O38" s="7">
        <v>10</v>
      </c>
      <c r="P38" s="16">
        <v>0.03</v>
      </c>
      <c r="Q38" s="7">
        <v>900</v>
      </c>
      <c r="R38" s="7" t="s">
        <v>55</v>
      </c>
      <c r="S38" s="7" t="s">
        <v>33</v>
      </c>
      <c r="T38" s="7" t="s">
        <v>34</v>
      </c>
      <c r="U38" s="7">
        <v>4</v>
      </c>
      <c r="V38" s="7" t="str">
        <f>TEXT('E-Commerce Sales Data'!$B38,"mmmm")</f>
        <v>August</v>
      </c>
      <c r="W38" s="8">
        <f t="shared" si="0"/>
        <v>4838770</v>
      </c>
      <c r="X38">
        <f t="shared" si="1"/>
        <v>1164</v>
      </c>
      <c r="Y38">
        <f t="shared" si="2"/>
        <v>24413.917525773195</v>
      </c>
      <c r="Z38">
        <f t="shared" si="3"/>
        <v>55</v>
      </c>
    </row>
    <row r="39" spans="1:26" x14ac:dyDescent="0.25">
      <c r="A39" s="9" t="s">
        <v>142</v>
      </c>
      <c r="B39" s="10">
        <v>45894</v>
      </c>
      <c r="C39" s="11" t="s">
        <v>120</v>
      </c>
      <c r="D39" s="11" t="s">
        <v>23</v>
      </c>
      <c r="E39" s="11">
        <v>24</v>
      </c>
      <c r="F39" s="11" t="s">
        <v>38</v>
      </c>
      <c r="G39" s="11" t="s">
        <v>25</v>
      </c>
      <c r="H39" s="11" t="s">
        <v>26</v>
      </c>
      <c r="I39" s="11" t="s">
        <v>27</v>
      </c>
      <c r="J39" s="11" t="s">
        <v>28</v>
      </c>
      <c r="K39" s="11" t="s">
        <v>43</v>
      </c>
      <c r="L39" s="11" t="s">
        <v>68</v>
      </c>
      <c r="M39" s="11" t="s">
        <v>69</v>
      </c>
      <c r="N39" s="11">
        <v>15800</v>
      </c>
      <c r="O39" s="11">
        <v>2</v>
      </c>
      <c r="P39" s="17">
        <v>0.1</v>
      </c>
      <c r="Q39" s="11">
        <v>2400</v>
      </c>
      <c r="R39" s="11" t="s">
        <v>32</v>
      </c>
      <c r="S39" s="11" t="s">
        <v>47</v>
      </c>
      <c r="T39" s="11" t="s">
        <v>34</v>
      </c>
      <c r="U39" s="11">
        <v>5</v>
      </c>
      <c r="V39" s="11" t="str">
        <f>TEXT('E-Commerce Sales Data'!$B39,"mmmm")</f>
        <v>August</v>
      </c>
      <c r="W39" s="8">
        <f t="shared" si="0"/>
        <v>4837870</v>
      </c>
      <c r="X39">
        <f t="shared" si="1"/>
        <v>1163</v>
      </c>
      <c r="Y39">
        <f t="shared" si="2"/>
        <v>24431.728288907998</v>
      </c>
      <c r="Z39">
        <f t="shared" si="3"/>
        <v>55</v>
      </c>
    </row>
    <row r="40" spans="1:26" x14ac:dyDescent="0.25">
      <c r="A40" s="5" t="s">
        <v>143</v>
      </c>
      <c r="B40" s="6">
        <v>45902</v>
      </c>
      <c r="C40" s="7" t="s">
        <v>122</v>
      </c>
      <c r="D40" s="7" t="s">
        <v>50</v>
      </c>
      <c r="E40" s="7">
        <v>43</v>
      </c>
      <c r="F40" s="7" t="s">
        <v>24</v>
      </c>
      <c r="G40" s="7" t="s">
        <v>101</v>
      </c>
      <c r="H40" s="7" t="s">
        <v>102</v>
      </c>
      <c r="I40" s="7" t="s">
        <v>41</v>
      </c>
      <c r="J40" s="7" t="s">
        <v>42</v>
      </c>
      <c r="K40" s="7" t="s">
        <v>29</v>
      </c>
      <c r="L40" s="7" t="s">
        <v>53</v>
      </c>
      <c r="M40" s="7" t="s">
        <v>75</v>
      </c>
      <c r="N40" s="7">
        <v>2900</v>
      </c>
      <c r="O40" s="7">
        <v>4</v>
      </c>
      <c r="P40" s="16">
        <v>0.05</v>
      </c>
      <c r="Q40" s="7">
        <v>700</v>
      </c>
      <c r="R40" s="7" t="s">
        <v>46</v>
      </c>
      <c r="S40" s="7" t="s">
        <v>33</v>
      </c>
      <c r="T40" s="7" t="s">
        <v>34</v>
      </c>
      <c r="U40" s="7">
        <v>3</v>
      </c>
      <c r="V40" s="7" t="str">
        <f>TEXT('E-Commerce Sales Data'!$B40,"mmmm")</f>
        <v>September</v>
      </c>
      <c r="W40" s="8">
        <f t="shared" si="0"/>
        <v>4835470</v>
      </c>
      <c r="X40">
        <f t="shared" si="1"/>
        <v>1162</v>
      </c>
      <c r="Y40">
        <f t="shared" si="2"/>
        <v>24439.156626506025</v>
      </c>
      <c r="Z40">
        <f t="shared" si="3"/>
        <v>55</v>
      </c>
    </row>
    <row r="41" spans="1:26" x14ac:dyDescent="0.25">
      <c r="A41" s="9" t="s">
        <v>144</v>
      </c>
      <c r="B41" s="10">
        <v>45909</v>
      </c>
      <c r="C41" s="11" t="s">
        <v>124</v>
      </c>
      <c r="D41" s="11" t="s">
        <v>100</v>
      </c>
      <c r="E41" s="11">
        <v>32</v>
      </c>
      <c r="F41" s="11" t="s">
        <v>38</v>
      </c>
      <c r="G41" s="11" t="s">
        <v>78</v>
      </c>
      <c r="H41" s="11" t="s">
        <v>26</v>
      </c>
      <c r="I41" s="11" t="s">
        <v>27</v>
      </c>
      <c r="J41" s="11" t="s">
        <v>28</v>
      </c>
      <c r="K41" s="11" t="s">
        <v>29</v>
      </c>
      <c r="L41" s="11" t="s">
        <v>53</v>
      </c>
      <c r="M41" s="11" t="s">
        <v>79</v>
      </c>
      <c r="N41" s="11">
        <v>1250</v>
      </c>
      <c r="O41" s="11">
        <v>7</v>
      </c>
      <c r="P41" s="17">
        <v>0</v>
      </c>
      <c r="Q41" s="11">
        <v>370</v>
      </c>
      <c r="R41" s="11" t="s">
        <v>32</v>
      </c>
      <c r="S41" s="11" t="s">
        <v>33</v>
      </c>
      <c r="T41" s="11" t="s">
        <v>34</v>
      </c>
      <c r="U41" s="11">
        <v>4</v>
      </c>
      <c r="V41" s="11" t="str">
        <f>TEXT('E-Commerce Sales Data'!$B41,"mmmm")</f>
        <v>September</v>
      </c>
      <c r="W41" s="8">
        <f t="shared" si="0"/>
        <v>4834770</v>
      </c>
      <c r="X41">
        <f t="shared" si="1"/>
        <v>1161</v>
      </c>
      <c r="Y41">
        <f t="shared" si="2"/>
        <v>24457.708871662358</v>
      </c>
      <c r="Z41">
        <f t="shared" si="3"/>
        <v>55</v>
      </c>
    </row>
    <row r="42" spans="1:26" x14ac:dyDescent="0.25">
      <c r="A42" s="5" t="s">
        <v>145</v>
      </c>
      <c r="B42" s="6">
        <v>45915</v>
      </c>
      <c r="C42" s="7" t="s">
        <v>22</v>
      </c>
      <c r="D42" s="7" t="s">
        <v>23</v>
      </c>
      <c r="E42" s="7">
        <v>28</v>
      </c>
      <c r="F42" s="7" t="s">
        <v>24</v>
      </c>
      <c r="G42" s="7" t="s">
        <v>25</v>
      </c>
      <c r="H42" s="7" t="s">
        <v>26</v>
      </c>
      <c r="I42" s="7" t="s">
        <v>27</v>
      </c>
      <c r="J42" s="7" t="s">
        <v>28</v>
      </c>
      <c r="K42" s="7" t="s">
        <v>29</v>
      </c>
      <c r="L42" s="7" t="s">
        <v>30</v>
      </c>
      <c r="M42" s="7" t="s">
        <v>31</v>
      </c>
      <c r="N42" s="7">
        <v>61000</v>
      </c>
      <c r="O42" s="7">
        <v>1</v>
      </c>
      <c r="P42" s="16">
        <v>0.05</v>
      </c>
      <c r="Q42" s="7">
        <v>8000</v>
      </c>
      <c r="R42" s="7" t="s">
        <v>32</v>
      </c>
      <c r="S42" s="7" t="s">
        <v>47</v>
      </c>
      <c r="T42" s="7" t="s">
        <v>34</v>
      </c>
      <c r="U42" s="7">
        <v>5</v>
      </c>
      <c r="V42" s="7" t="str">
        <f>TEXT('E-Commerce Sales Data'!$B42,"mmmm")</f>
        <v>September</v>
      </c>
      <c r="W42" s="8">
        <f t="shared" si="0"/>
        <v>4834400</v>
      </c>
      <c r="X42">
        <f t="shared" si="1"/>
        <v>1160</v>
      </c>
      <c r="Y42">
        <f t="shared" si="2"/>
        <v>24477.71551724138</v>
      </c>
      <c r="Z42">
        <f t="shared" si="3"/>
        <v>55</v>
      </c>
    </row>
    <row r="43" spans="1:26" x14ac:dyDescent="0.25">
      <c r="A43" s="9" t="s">
        <v>146</v>
      </c>
      <c r="B43" s="10">
        <v>45922</v>
      </c>
      <c r="C43" s="11" t="s">
        <v>36</v>
      </c>
      <c r="D43" s="11" t="s">
        <v>37</v>
      </c>
      <c r="E43" s="11">
        <v>34</v>
      </c>
      <c r="F43" s="11" t="s">
        <v>38</v>
      </c>
      <c r="G43" s="11" t="s">
        <v>39</v>
      </c>
      <c r="H43" s="11" t="s">
        <v>40</v>
      </c>
      <c r="I43" s="11" t="s">
        <v>41</v>
      </c>
      <c r="J43" s="11" t="s">
        <v>42</v>
      </c>
      <c r="K43" s="11" t="s">
        <v>43</v>
      </c>
      <c r="L43" s="11" t="s">
        <v>44</v>
      </c>
      <c r="M43" s="11" t="s">
        <v>45</v>
      </c>
      <c r="N43" s="11">
        <v>8100</v>
      </c>
      <c r="O43" s="11">
        <v>3</v>
      </c>
      <c r="P43" s="17">
        <v>0.1</v>
      </c>
      <c r="Q43" s="11">
        <v>1750</v>
      </c>
      <c r="R43" s="11" t="s">
        <v>46</v>
      </c>
      <c r="S43" s="11" t="s">
        <v>33</v>
      </c>
      <c r="T43" s="11" t="s">
        <v>34</v>
      </c>
      <c r="U43" s="11">
        <v>4</v>
      </c>
      <c r="V43" s="11" t="str">
        <f>TEXT('E-Commerce Sales Data'!$B43,"mmmm")</f>
        <v>September</v>
      </c>
      <c r="W43" s="8">
        <f t="shared" si="0"/>
        <v>4826400</v>
      </c>
      <c r="X43">
        <f t="shared" si="1"/>
        <v>1159</v>
      </c>
      <c r="Y43">
        <f t="shared" si="2"/>
        <v>24446.203623813632</v>
      </c>
      <c r="Z43">
        <f t="shared" si="3"/>
        <v>55</v>
      </c>
    </row>
    <row r="44" spans="1:26" x14ac:dyDescent="0.25">
      <c r="A44" s="5" t="s">
        <v>147</v>
      </c>
      <c r="B44" s="6">
        <v>45928</v>
      </c>
      <c r="C44" s="7" t="s">
        <v>49</v>
      </c>
      <c r="D44" s="7" t="s">
        <v>50</v>
      </c>
      <c r="E44" s="7">
        <v>41</v>
      </c>
      <c r="F44" s="7" t="s">
        <v>24</v>
      </c>
      <c r="G44" s="7" t="s">
        <v>51</v>
      </c>
      <c r="H44" s="7" t="s">
        <v>51</v>
      </c>
      <c r="I44" s="7" t="s">
        <v>52</v>
      </c>
      <c r="J44" s="7" t="s">
        <v>28</v>
      </c>
      <c r="K44" s="7" t="s">
        <v>29</v>
      </c>
      <c r="L44" s="7" t="s">
        <v>53</v>
      </c>
      <c r="M44" s="7" t="s">
        <v>54</v>
      </c>
      <c r="N44" s="7">
        <v>18200</v>
      </c>
      <c r="O44" s="7">
        <v>2</v>
      </c>
      <c r="P44" s="16">
        <v>0.05</v>
      </c>
      <c r="Q44" s="7">
        <v>3150</v>
      </c>
      <c r="R44" s="7" t="s">
        <v>55</v>
      </c>
      <c r="S44" s="7" t="s">
        <v>33</v>
      </c>
      <c r="T44" s="7" t="s">
        <v>34</v>
      </c>
      <c r="U44" s="7">
        <v>4</v>
      </c>
      <c r="V44" s="7" t="str">
        <f>TEXT('E-Commerce Sales Data'!$B44,"mmmm")</f>
        <v>September</v>
      </c>
      <c r="W44" s="8">
        <f t="shared" si="0"/>
        <v>4824650</v>
      </c>
      <c r="X44">
        <f t="shared" si="1"/>
        <v>1158</v>
      </c>
      <c r="Y44">
        <f t="shared" si="2"/>
        <v>24460.319516407599</v>
      </c>
      <c r="Z44">
        <f t="shared" si="3"/>
        <v>55</v>
      </c>
    </row>
    <row r="45" spans="1:26" x14ac:dyDescent="0.25">
      <c r="A45" s="9" t="s">
        <v>148</v>
      </c>
      <c r="B45" s="10">
        <v>45935</v>
      </c>
      <c r="C45" s="11" t="s">
        <v>57</v>
      </c>
      <c r="D45" s="11" t="s">
        <v>58</v>
      </c>
      <c r="E45" s="11">
        <v>26</v>
      </c>
      <c r="F45" s="11" t="s">
        <v>38</v>
      </c>
      <c r="G45" s="11" t="s">
        <v>59</v>
      </c>
      <c r="H45" s="11" t="s">
        <v>26</v>
      </c>
      <c r="I45" s="11" t="s">
        <v>27</v>
      </c>
      <c r="J45" s="11" t="s">
        <v>28</v>
      </c>
      <c r="K45" s="11" t="s">
        <v>60</v>
      </c>
      <c r="L45" s="11" t="s">
        <v>61</v>
      </c>
      <c r="M45" s="11" t="s">
        <v>86</v>
      </c>
      <c r="N45" s="11">
        <v>480</v>
      </c>
      <c r="O45" s="11">
        <v>18</v>
      </c>
      <c r="P45" s="17">
        <v>0.02</v>
      </c>
      <c r="Q45" s="11">
        <v>130</v>
      </c>
      <c r="R45" s="11" t="s">
        <v>32</v>
      </c>
      <c r="S45" s="11" t="s">
        <v>33</v>
      </c>
      <c r="T45" s="11" t="s">
        <v>34</v>
      </c>
      <c r="U45" s="11">
        <v>5</v>
      </c>
      <c r="V45" s="11" t="str">
        <f>TEXT('E-Commerce Sales Data'!$B45,"mmmm")</f>
        <v>October</v>
      </c>
      <c r="W45" s="8">
        <f t="shared" si="0"/>
        <v>4821500</v>
      </c>
      <c r="X45">
        <f t="shared" si="1"/>
        <v>1157</v>
      </c>
      <c r="Y45">
        <f t="shared" si="2"/>
        <v>24465.73033707865</v>
      </c>
      <c r="Z45">
        <f t="shared" si="3"/>
        <v>55</v>
      </c>
    </row>
    <row r="46" spans="1:26" x14ac:dyDescent="0.25">
      <c r="A46" s="5" t="s">
        <v>149</v>
      </c>
      <c r="B46" s="6">
        <v>45942</v>
      </c>
      <c r="C46" s="7" t="s">
        <v>64</v>
      </c>
      <c r="D46" s="7" t="s">
        <v>65</v>
      </c>
      <c r="E46" s="7">
        <v>39</v>
      </c>
      <c r="F46" s="7" t="s">
        <v>24</v>
      </c>
      <c r="G46" s="7" t="s">
        <v>66</v>
      </c>
      <c r="H46" s="7" t="s">
        <v>67</v>
      </c>
      <c r="I46" s="7" t="s">
        <v>27</v>
      </c>
      <c r="J46" s="7" t="s">
        <v>42</v>
      </c>
      <c r="K46" s="7" t="s">
        <v>43</v>
      </c>
      <c r="L46" s="7" t="s">
        <v>68</v>
      </c>
      <c r="M46" s="7" t="s">
        <v>69</v>
      </c>
      <c r="N46" s="7">
        <v>17000</v>
      </c>
      <c r="O46" s="7">
        <v>2</v>
      </c>
      <c r="P46" s="16">
        <v>0.08</v>
      </c>
      <c r="Q46" s="7">
        <v>2900</v>
      </c>
      <c r="R46" s="7" t="s">
        <v>46</v>
      </c>
      <c r="S46" s="7" t="s">
        <v>47</v>
      </c>
      <c r="T46" s="7" t="s">
        <v>34</v>
      </c>
      <c r="U46" s="7">
        <v>4</v>
      </c>
      <c r="V46" s="7" t="str">
        <f>TEXT('E-Commerce Sales Data'!$B46,"mmmm")</f>
        <v>October</v>
      </c>
      <c r="W46" s="8">
        <f t="shared" si="0"/>
        <v>4821370</v>
      </c>
      <c r="X46">
        <f t="shared" si="1"/>
        <v>1156</v>
      </c>
      <c r="Y46">
        <f t="shared" si="2"/>
        <v>24486.479238754324</v>
      </c>
      <c r="Z46">
        <f t="shared" si="3"/>
        <v>55</v>
      </c>
    </row>
    <row r="47" spans="1:26" x14ac:dyDescent="0.25">
      <c r="A47" s="9" t="s">
        <v>150</v>
      </c>
      <c r="B47" s="10">
        <v>45949</v>
      </c>
      <c r="C47" s="11" t="s">
        <v>71</v>
      </c>
      <c r="D47" s="11" t="s">
        <v>72</v>
      </c>
      <c r="E47" s="11">
        <v>31</v>
      </c>
      <c r="F47" s="11" t="s">
        <v>38</v>
      </c>
      <c r="G47" s="11" t="s">
        <v>73</v>
      </c>
      <c r="H47" s="11" t="s">
        <v>74</v>
      </c>
      <c r="I47" s="11" t="s">
        <v>41</v>
      </c>
      <c r="J47" s="11" t="s">
        <v>28</v>
      </c>
      <c r="K47" s="11" t="s">
        <v>29</v>
      </c>
      <c r="L47" s="11" t="s">
        <v>53</v>
      </c>
      <c r="M47" s="11" t="s">
        <v>75</v>
      </c>
      <c r="N47" s="11">
        <v>2750</v>
      </c>
      <c r="O47" s="11">
        <v>3</v>
      </c>
      <c r="P47" s="17">
        <v>0.05</v>
      </c>
      <c r="Q47" s="11">
        <v>680</v>
      </c>
      <c r="R47" s="11" t="s">
        <v>32</v>
      </c>
      <c r="S47" s="11" t="s">
        <v>33</v>
      </c>
      <c r="T47" s="11" t="s">
        <v>34</v>
      </c>
      <c r="U47" s="11">
        <v>4</v>
      </c>
      <c r="V47" s="11" t="str">
        <f>TEXT('E-Commerce Sales Data'!$B47,"mmmm")</f>
        <v>October</v>
      </c>
      <c r="W47" s="8">
        <f t="shared" si="0"/>
        <v>4818470</v>
      </c>
      <c r="X47">
        <f t="shared" si="1"/>
        <v>1155</v>
      </c>
      <c r="Y47">
        <f t="shared" si="2"/>
        <v>24492.961038961039</v>
      </c>
      <c r="Z47">
        <f t="shared" si="3"/>
        <v>55</v>
      </c>
    </row>
    <row r="48" spans="1:26" x14ac:dyDescent="0.25">
      <c r="A48" s="5" t="s">
        <v>151</v>
      </c>
      <c r="B48" s="6">
        <v>45956</v>
      </c>
      <c r="C48" s="7" t="s">
        <v>77</v>
      </c>
      <c r="D48" s="7" t="s">
        <v>23</v>
      </c>
      <c r="E48" s="7">
        <v>29</v>
      </c>
      <c r="F48" s="7" t="s">
        <v>24</v>
      </c>
      <c r="G48" s="7" t="s">
        <v>78</v>
      </c>
      <c r="H48" s="7" t="s">
        <v>26</v>
      </c>
      <c r="I48" s="7" t="s">
        <v>27</v>
      </c>
      <c r="J48" s="7" t="s">
        <v>28</v>
      </c>
      <c r="K48" s="7" t="s">
        <v>29</v>
      </c>
      <c r="L48" s="7" t="s">
        <v>53</v>
      </c>
      <c r="M48" s="7" t="s">
        <v>79</v>
      </c>
      <c r="N48" s="7">
        <v>1400</v>
      </c>
      <c r="O48" s="7">
        <v>6</v>
      </c>
      <c r="P48" s="16">
        <v>0</v>
      </c>
      <c r="Q48" s="7">
        <v>410</v>
      </c>
      <c r="R48" s="7" t="s">
        <v>80</v>
      </c>
      <c r="S48" s="7" t="s">
        <v>33</v>
      </c>
      <c r="T48" s="7" t="s">
        <v>34</v>
      </c>
      <c r="U48" s="7">
        <v>3</v>
      </c>
      <c r="V48" s="7" t="str">
        <f>TEXT('E-Commerce Sales Data'!$B48,"mmmm")</f>
        <v>October</v>
      </c>
      <c r="W48" s="8">
        <f t="shared" si="0"/>
        <v>4817790</v>
      </c>
      <c r="X48">
        <f t="shared" si="1"/>
        <v>1154</v>
      </c>
      <c r="Y48">
        <f t="shared" si="2"/>
        <v>24511.802426343154</v>
      </c>
      <c r="Z48">
        <f t="shared" si="3"/>
        <v>55</v>
      </c>
    </row>
    <row r="49" spans="1:26" x14ac:dyDescent="0.25">
      <c r="A49" s="9" t="s">
        <v>152</v>
      </c>
      <c r="B49" s="10">
        <v>45963</v>
      </c>
      <c r="C49" s="11" t="s">
        <v>82</v>
      </c>
      <c r="D49" s="11" t="s">
        <v>83</v>
      </c>
      <c r="E49" s="11">
        <v>37</v>
      </c>
      <c r="F49" s="11" t="s">
        <v>38</v>
      </c>
      <c r="G49" s="11" t="s">
        <v>84</v>
      </c>
      <c r="H49" s="11" t="s">
        <v>85</v>
      </c>
      <c r="I49" s="11" t="s">
        <v>52</v>
      </c>
      <c r="J49" s="11" t="s">
        <v>42</v>
      </c>
      <c r="K49" s="11" t="s">
        <v>60</v>
      </c>
      <c r="L49" s="11" t="s">
        <v>61</v>
      </c>
      <c r="M49" s="11" t="s">
        <v>62</v>
      </c>
      <c r="N49" s="11">
        <v>3400</v>
      </c>
      <c r="O49" s="11">
        <v>10</v>
      </c>
      <c r="P49" s="17">
        <v>0.02</v>
      </c>
      <c r="Q49" s="11">
        <v>950</v>
      </c>
      <c r="R49" s="11" t="s">
        <v>32</v>
      </c>
      <c r="S49" s="11" t="s">
        <v>33</v>
      </c>
      <c r="T49" s="11" t="s">
        <v>34</v>
      </c>
      <c r="U49" s="11">
        <v>5</v>
      </c>
      <c r="V49" s="11" t="str">
        <f>TEXT('E-Commerce Sales Data'!$B49,"mmmm")</f>
        <v>November</v>
      </c>
      <c r="W49" s="8">
        <f t="shared" si="0"/>
        <v>4817380</v>
      </c>
      <c r="X49">
        <f t="shared" si="1"/>
        <v>1153</v>
      </c>
      <c r="Y49">
        <f t="shared" si="2"/>
        <v>24531.8473547268</v>
      </c>
      <c r="Z49">
        <f t="shared" si="3"/>
        <v>55</v>
      </c>
    </row>
    <row r="50" spans="1:26" x14ac:dyDescent="0.25">
      <c r="A50" s="5" t="s">
        <v>153</v>
      </c>
      <c r="B50" s="6">
        <v>45970</v>
      </c>
      <c r="C50" s="7" t="s">
        <v>88</v>
      </c>
      <c r="D50" s="7" t="s">
        <v>37</v>
      </c>
      <c r="E50" s="7">
        <v>45</v>
      </c>
      <c r="F50" s="7" t="s">
        <v>24</v>
      </c>
      <c r="G50" s="7" t="s">
        <v>89</v>
      </c>
      <c r="H50" s="7" t="s">
        <v>90</v>
      </c>
      <c r="I50" s="7" t="s">
        <v>91</v>
      </c>
      <c r="J50" s="7" t="s">
        <v>42</v>
      </c>
      <c r="K50" s="7" t="s">
        <v>43</v>
      </c>
      <c r="L50" s="7" t="s">
        <v>92</v>
      </c>
      <c r="M50" s="7" t="s">
        <v>93</v>
      </c>
      <c r="N50" s="7">
        <v>12800</v>
      </c>
      <c r="O50" s="7">
        <v>1</v>
      </c>
      <c r="P50" s="16">
        <v>0.1</v>
      </c>
      <c r="Q50" s="7">
        <v>2150</v>
      </c>
      <c r="R50" s="7" t="s">
        <v>46</v>
      </c>
      <c r="S50" s="7" t="s">
        <v>47</v>
      </c>
      <c r="T50" s="7" t="s">
        <v>34</v>
      </c>
      <c r="U50" s="7">
        <v>4</v>
      </c>
      <c r="V50" s="7" t="str">
        <f>TEXT('E-Commerce Sales Data'!$B50,"mmmm")</f>
        <v>November</v>
      </c>
      <c r="W50" s="8">
        <f t="shared" si="0"/>
        <v>4816430</v>
      </c>
      <c r="X50">
        <f t="shared" si="1"/>
        <v>1152</v>
      </c>
      <c r="Y50">
        <f t="shared" si="2"/>
        <v>24550.190972222223</v>
      </c>
      <c r="Z50">
        <f t="shared" si="3"/>
        <v>55</v>
      </c>
    </row>
    <row r="51" spans="1:26" x14ac:dyDescent="0.25">
      <c r="A51" s="9" t="s">
        <v>154</v>
      </c>
      <c r="B51" s="10">
        <v>45977</v>
      </c>
      <c r="C51" s="11" t="s">
        <v>95</v>
      </c>
      <c r="D51" s="11" t="s">
        <v>65</v>
      </c>
      <c r="E51" s="11">
        <v>25</v>
      </c>
      <c r="F51" s="11" t="s">
        <v>38</v>
      </c>
      <c r="G51" s="11" t="s">
        <v>25</v>
      </c>
      <c r="H51" s="11" t="s">
        <v>26</v>
      </c>
      <c r="I51" s="11" t="s">
        <v>27</v>
      </c>
      <c r="J51" s="11" t="s">
        <v>28</v>
      </c>
      <c r="K51" s="11" t="s">
        <v>29</v>
      </c>
      <c r="L51" s="11" t="s">
        <v>96</v>
      </c>
      <c r="M51" s="11" t="s">
        <v>97</v>
      </c>
      <c r="N51" s="11">
        <v>14800</v>
      </c>
      <c r="O51" s="11">
        <v>2</v>
      </c>
      <c r="P51" s="17">
        <v>0.05</v>
      </c>
      <c r="Q51" s="11">
        <v>2750</v>
      </c>
      <c r="R51" s="11" t="s">
        <v>32</v>
      </c>
      <c r="S51" s="11" t="s">
        <v>33</v>
      </c>
      <c r="T51" s="11" t="s">
        <v>34</v>
      </c>
      <c r="U51" s="11">
        <v>4</v>
      </c>
      <c r="V51" s="11" t="str">
        <f>TEXT('E-Commerce Sales Data'!$B51,"mmmm")</f>
        <v>November</v>
      </c>
      <c r="W51" s="8">
        <f t="shared" si="0"/>
        <v>4814280</v>
      </c>
      <c r="X51">
        <f t="shared" si="1"/>
        <v>1151</v>
      </c>
      <c r="Y51">
        <f t="shared" si="2"/>
        <v>24560.399652476106</v>
      </c>
      <c r="Z51">
        <f t="shared" si="3"/>
        <v>55</v>
      </c>
    </row>
    <row r="52" spans="1:26" x14ac:dyDescent="0.25">
      <c r="A52" s="5" t="s">
        <v>155</v>
      </c>
      <c r="B52" s="6">
        <v>45983</v>
      </c>
      <c r="C52" s="7" t="s">
        <v>22</v>
      </c>
      <c r="D52" s="7" t="s">
        <v>23</v>
      </c>
      <c r="E52" s="7">
        <v>28</v>
      </c>
      <c r="F52" s="7" t="s">
        <v>24</v>
      </c>
      <c r="G52" s="7" t="s">
        <v>25</v>
      </c>
      <c r="H52" s="7" t="s">
        <v>26</v>
      </c>
      <c r="I52" s="7" t="s">
        <v>27</v>
      </c>
      <c r="J52" s="7" t="s">
        <v>28</v>
      </c>
      <c r="K52" s="7" t="s">
        <v>29</v>
      </c>
      <c r="L52" s="7" t="s">
        <v>30</v>
      </c>
      <c r="M52" s="7" t="s">
        <v>31</v>
      </c>
      <c r="N52" s="7">
        <v>59000</v>
      </c>
      <c r="O52" s="7">
        <v>1</v>
      </c>
      <c r="P52" s="16">
        <v>0.05</v>
      </c>
      <c r="Q52" s="7">
        <v>7600</v>
      </c>
      <c r="R52" s="7" t="s">
        <v>32</v>
      </c>
      <c r="S52" s="7" t="s">
        <v>47</v>
      </c>
      <c r="T52" s="7" t="s">
        <v>34</v>
      </c>
      <c r="U52" s="7">
        <v>5</v>
      </c>
      <c r="V52" s="7" t="str">
        <f>TEXT('E-Commerce Sales Data'!$B52,"mmmm")</f>
        <v>November</v>
      </c>
      <c r="W52" s="8">
        <f t="shared" si="0"/>
        <v>4811530</v>
      </c>
      <c r="X52">
        <f t="shared" si="1"/>
        <v>1150</v>
      </c>
      <c r="Y52">
        <f t="shared" si="2"/>
        <v>24568.886956521739</v>
      </c>
      <c r="Z52">
        <f t="shared" si="3"/>
        <v>55</v>
      </c>
    </row>
    <row r="53" spans="1:26" x14ac:dyDescent="0.25">
      <c r="A53" s="9" t="s">
        <v>156</v>
      </c>
      <c r="B53" s="10">
        <v>45990</v>
      </c>
      <c r="C53" s="11" t="s">
        <v>36</v>
      </c>
      <c r="D53" s="11" t="s">
        <v>37</v>
      </c>
      <c r="E53" s="11">
        <v>34</v>
      </c>
      <c r="F53" s="11" t="s">
        <v>38</v>
      </c>
      <c r="G53" s="11" t="s">
        <v>39</v>
      </c>
      <c r="H53" s="11" t="s">
        <v>40</v>
      </c>
      <c r="I53" s="11" t="s">
        <v>41</v>
      </c>
      <c r="J53" s="11" t="s">
        <v>42</v>
      </c>
      <c r="K53" s="11" t="s">
        <v>43</v>
      </c>
      <c r="L53" s="11" t="s">
        <v>44</v>
      </c>
      <c r="M53" s="11" t="s">
        <v>45</v>
      </c>
      <c r="N53" s="11">
        <v>8300</v>
      </c>
      <c r="O53" s="11">
        <v>3</v>
      </c>
      <c r="P53" s="17">
        <v>0.1</v>
      </c>
      <c r="Q53" s="11">
        <v>1700</v>
      </c>
      <c r="R53" s="11" t="s">
        <v>46</v>
      </c>
      <c r="S53" s="11" t="s">
        <v>33</v>
      </c>
      <c r="T53" s="11" t="s">
        <v>34</v>
      </c>
      <c r="U53" s="11">
        <v>4</v>
      </c>
      <c r="V53" s="11" t="str">
        <f>TEXT('E-Commerce Sales Data'!$B53,"mmmm")</f>
        <v>November</v>
      </c>
      <c r="W53" s="8">
        <f t="shared" si="0"/>
        <v>4803930</v>
      </c>
      <c r="X53">
        <f t="shared" si="1"/>
        <v>1149</v>
      </c>
      <c r="Y53">
        <f t="shared" si="2"/>
        <v>24538.920800696258</v>
      </c>
      <c r="Z53">
        <f t="shared" si="3"/>
        <v>55</v>
      </c>
    </row>
    <row r="54" spans="1:26" x14ac:dyDescent="0.25">
      <c r="A54" s="5" t="s">
        <v>157</v>
      </c>
      <c r="B54" s="6">
        <v>45996</v>
      </c>
      <c r="C54" s="7" t="s">
        <v>49</v>
      </c>
      <c r="D54" s="7" t="s">
        <v>50</v>
      </c>
      <c r="E54" s="7">
        <v>41</v>
      </c>
      <c r="F54" s="7" t="s">
        <v>24</v>
      </c>
      <c r="G54" s="7" t="s">
        <v>51</v>
      </c>
      <c r="H54" s="7" t="s">
        <v>51</v>
      </c>
      <c r="I54" s="7" t="s">
        <v>52</v>
      </c>
      <c r="J54" s="7" t="s">
        <v>28</v>
      </c>
      <c r="K54" s="7" t="s">
        <v>29</v>
      </c>
      <c r="L54" s="7" t="s">
        <v>53</v>
      </c>
      <c r="M54" s="7" t="s">
        <v>54</v>
      </c>
      <c r="N54" s="7">
        <v>17600</v>
      </c>
      <c r="O54" s="7">
        <v>2</v>
      </c>
      <c r="P54" s="16">
        <v>0.05</v>
      </c>
      <c r="Q54" s="7">
        <v>3050</v>
      </c>
      <c r="R54" s="7" t="s">
        <v>55</v>
      </c>
      <c r="S54" s="7" t="s">
        <v>33</v>
      </c>
      <c r="T54" s="7" t="s">
        <v>34</v>
      </c>
      <c r="U54" s="7">
        <v>4</v>
      </c>
      <c r="V54" s="7" t="str">
        <f>TEXT('E-Commerce Sales Data'!$B54,"mmmm")</f>
        <v>December</v>
      </c>
      <c r="W54" s="8">
        <f t="shared" si="0"/>
        <v>4802230</v>
      </c>
      <c r="X54">
        <f t="shared" si="1"/>
        <v>1148</v>
      </c>
      <c r="Y54">
        <f t="shared" si="2"/>
        <v>24553.066202090591</v>
      </c>
      <c r="Z54">
        <f t="shared" si="3"/>
        <v>55</v>
      </c>
    </row>
    <row r="55" spans="1:26" x14ac:dyDescent="0.25">
      <c r="A55" s="9" t="s">
        <v>158</v>
      </c>
      <c r="B55" s="10">
        <v>46003</v>
      </c>
      <c r="C55" s="11" t="s">
        <v>57</v>
      </c>
      <c r="D55" s="11" t="s">
        <v>58</v>
      </c>
      <c r="E55" s="11">
        <v>26</v>
      </c>
      <c r="F55" s="11" t="s">
        <v>38</v>
      </c>
      <c r="G55" s="11" t="s">
        <v>59</v>
      </c>
      <c r="H55" s="11" t="s">
        <v>26</v>
      </c>
      <c r="I55" s="11" t="s">
        <v>27</v>
      </c>
      <c r="J55" s="11" t="s">
        <v>28</v>
      </c>
      <c r="K55" s="11" t="s">
        <v>60</v>
      </c>
      <c r="L55" s="11" t="s">
        <v>61</v>
      </c>
      <c r="M55" s="11" t="s">
        <v>86</v>
      </c>
      <c r="N55" s="11">
        <v>500</v>
      </c>
      <c r="O55" s="11">
        <v>20</v>
      </c>
      <c r="P55" s="17">
        <v>0.02</v>
      </c>
      <c r="Q55" s="11">
        <v>135</v>
      </c>
      <c r="R55" s="11" t="s">
        <v>32</v>
      </c>
      <c r="S55" s="11" t="s">
        <v>33</v>
      </c>
      <c r="T55" s="11" t="s">
        <v>34</v>
      </c>
      <c r="U55" s="11">
        <v>5</v>
      </c>
      <c r="V55" s="11" t="str">
        <f>TEXT('E-Commerce Sales Data'!$B55,"mmmm")</f>
        <v>December</v>
      </c>
      <c r="W55" s="8">
        <f t="shared" si="0"/>
        <v>4799180</v>
      </c>
      <c r="X55">
        <f t="shared" si="1"/>
        <v>1147</v>
      </c>
      <c r="Y55">
        <f t="shared" si="2"/>
        <v>24559.128160418484</v>
      </c>
      <c r="Z55">
        <f t="shared" si="3"/>
        <v>55</v>
      </c>
    </row>
    <row r="56" spans="1:26" x14ac:dyDescent="0.25">
      <c r="A56" s="5" t="s">
        <v>159</v>
      </c>
      <c r="B56" s="6">
        <v>46010</v>
      </c>
      <c r="C56" s="7" t="s">
        <v>64</v>
      </c>
      <c r="D56" s="7" t="s">
        <v>65</v>
      </c>
      <c r="E56" s="7">
        <v>39</v>
      </c>
      <c r="F56" s="7" t="s">
        <v>24</v>
      </c>
      <c r="G56" s="7" t="s">
        <v>66</v>
      </c>
      <c r="H56" s="7" t="s">
        <v>67</v>
      </c>
      <c r="I56" s="7" t="s">
        <v>27</v>
      </c>
      <c r="J56" s="7" t="s">
        <v>42</v>
      </c>
      <c r="K56" s="7" t="s">
        <v>43</v>
      </c>
      <c r="L56" s="7" t="s">
        <v>68</v>
      </c>
      <c r="M56" s="7" t="s">
        <v>69</v>
      </c>
      <c r="N56" s="7">
        <v>16200</v>
      </c>
      <c r="O56" s="7">
        <v>2</v>
      </c>
      <c r="P56" s="16">
        <v>0.08</v>
      </c>
      <c r="Q56" s="7">
        <v>2750</v>
      </c>
      <c r="R56" s="7" t="s">
        <v>46</v>
      </c>
      <c r="S56" s="7" t="s">
        <v>47</v>
      </c>
      <c r="T56" s="7" t="s">
        <v>34</v>
      </c>
      <c r="U56" s="7">
        <v>4</v>
      </c>
      <c r="V56" s="7" t="str">
        <f>TEXT('E-Commerce Sales Data'!$B56,"mmmm")</f>
        <v>December</v>
      </c>
      <c r="W56" s="8">
        <f t="shared" si="0"/>
        <v>4799045</v>
      </c>
      <c r="X56">
        <f t="shared" si="1"/>
        <v>1146</v>
      </c>
      <c r="Y56">
        <f t="shared" si="2"/>
        <v>24580.122164048866</v>
      </c>
      <c r="Z56">
        <f t="shared" si="3"/>
        <v>55</v>
      </c>
    </row>
    <row r="57" spans="1:26" x14ac:dyDescent="0.25">
      <c r="A57" s="9" t="s">
        <v>160</v>
      </c>
      <c r="B57" s="10">
        <v>46017</v>
      </c>
      <c r="C57" s="11" t="s">
        <v>71</v>
      </c>
      <c r="D57" s="11" t="s">
        <v>72</v>
      </c>
      <c r="E57" s="11">
        <v>31</v>
      </c>
      <c r="F57" s="11" t="s">
        <v>38</v>
      </c>
      <c r="G57" s="11" t="s">
        <v>73</v>
      </c>
      <c r="H57" s="11" t="s">
        <v>74</v>
      </c>
      <c r="I57" s="11" t="s">
        <v>41</v>
      </c>
      <c r="J57" s="11" t="s">
        <v>28</v>
      </c>
      <c r="K57" s="11" t="s">
        <v>29</v>
      </c>
      <c r="L57" s="11" t="s">
        <v>53</v>
      </c>
      <c r="M57" s="11" t="s">
        <v>75</v>
      </c>
      <c r="N57" s="11">
        <v>2550</v>
      </c>
      <c r="O57" s="11">
        <v>3</v>
      </c>
      <c r="P57" s="17">
        <v>0.05</v>
      </c>
      <c r="Q57" s="11">
        <v>610</v>
      </c>
      <c r="R57" s="11" t="s">
        <v>32</v>
      </c>
      <c r="S57" s="11" t="s">
        <v>33</v>
      </c>
      <c r="T57" s="11" t="s">
        <v>34</v>
      </c>
      <c r="U57" s="11">
        <v>4</v>
      </c>
      <c r="V57" s="11" t="str">
        <f>TEXT('E-Commerce Sales Data'!$B57,"mmmm")</f>
        <v>December</v>
      </c>
      <c r="W57" s="8">
        <f t="shared" si="0"/>
        <v>4796295</v>
      </c>
      <c r="X57">
        <f t="shared" si="1"/>
        <v>1145</v>
      </c>
      <c r="Y57">
        <f t="shared" si="2"/>
        <v>24587.441048034936</v>
      </c>
      <c r="Z57">
        <f t="shared" si="3"/>
        <v>55</v>
      </c>
    </row>
    <row r="58" spans="1:26" x14ac:dyDescent="0.25">
      <c r="A58" s="5" t="s">
        <v>161</v>
      </c>
      <c r="B58" s="6">
        <v>46024</v>
      </c>
      <c r="C58" s="7" t="s">
        <v>77</v>
      </c>
      <c r="D58" s="7" t="s">
        <v>23</v>
      </c>
      <c r="E58" s="7">
        <v>29</v>
      </c>
      <c r="F58" s="7" t="s">
        <v>24</v>
      </c>
      <c r="G58" s="7" t="s">
        <v>78</v>
      </c>
      <c r="H58" s="7" t="s">
        <v>26</v>
      </c>
      <c r="I58" s="7" t="s">
        <v>27</v>
      </c>
      <c r="J58" s="7" t="s">
        <v>28</v>
      </c>
      <c r="K58" s="7" t="s">
        <v>29</v>
      </c>
      <c r="L58" s="7" t="s">
        <v>53</v>
      </c>
      <c r="M58" s="7" t="s">
        <v>79</v>
      </c>
      <c r="N58" s="7">
        <v>1300</v>
      </c>
      <c r="O58" s="7">
        <v>5</v>
      </c>
      <c r="P58" s="16">
        <v>0</v>
      </c>
      <c r="Q58" s="7">
        <v>360</v>
      </c>
      <c r="R58" s="7" t="s">
        <v>80</v>
      </c>
      <c r="S58" s="7" t="s">
        <v>33</v>
      </c>
      <c r="T58" s="7" t="s">
        <v>34</v>
      </c>
      <c r="U58" s="7">
        <v>3</v>
      </c>
      <c r="V58" s="7" t="str">
        <f>TEXT('E-Commerce Sales Data'!$B58,"mmmm")</f>
        <v>January</v>
      </c>
      <c r="W58" s="8">
        <f t="shared" si="0"/>
        <v>4795685</v>
      </c>
      <c r="X58">
        <f t="shared" si="1"/>
        <v>1144</v>
      </c>
      <c r="Y58">
        <f t="shared" si="2"/>
        <v>24606.704545454544</v>
      </c>
      <c r="Z58">
        <f t="shared" si="3"/>
        <v>55</v>
      </c>
    </row>
    <row r="59" spans="1:26" x14ac:dyDescent="0.25">
      <c r="A59" s="9" t="s">
        <v>162</v>
      </c>
      <c r="B59" s="10">
        <v>46031</v>
      </c>
      <c r="C59" s="11" t="s">
        <v>82</v>
      </c>
      <c r="D59" s="11" t="s">
        <v>83</v>
      </c>
      <c r="E59" s="11">
        <v>37</v>
      </c>
      <c r="F59" s="11" t="s">
        <v>38</v>
      </c>
      <c r="G59" s="11" t="s">
        <v>84</v>
      </c>
      <c r="H59" s="11" t="s">
        <v>85</v>
      </c>
      <c r="I59" s="11" t="s">
        <v>52</v>
      </c>
      <c r="J59" s="11" t="s">
        <v>42</v>
      </c>
      <c r="K59" s="11" t="s">
        <v>60</v>
      </c>
      <c r="L59" s="11" t="s">
        <v>61</v>
      </c>
      <c r="M59" s="11" t="s">
        <v>62</v>
      </c>
      <c r="N59" s="11">
        <v>3600</v>
      </c>
      <c r="O59" s="11">
        <v>10</v>
      </c>
      <c r="P59" s="17">
        <v>0.02</v>
      </c>
      <c r="Q59" s="11">
        <v>980</v>
      </c>
      <c r="R59" s="11" t="s">
        <v>32</v>
      </c>
      <c r="S59" s="11" t="s">
        <v>33</v>
      </c>
      <c r="T59" s="11" t="s">
        <v>34</v>
      </c>
      <c r="U59" s="11">
        <v>5</v>
      </c>
      <c r="V59" s="11" t="str">
        <f>TEXT('E-Commerce Sales Data'!$B59,"mmmm")</f>
        <v>January</v>
      </c>
      <c r="W59" s="8">
        <f t="shared" si="0"/>
        <v>4795325</v>
      </c>
      <c r="X59">
        <f t="shared" si="1"/>
        <v>1143</v>
      </c>
      <c r="Y59">
        <f t="shared" si="2"/>
        <v>24627.095363079614</v>
      </c>
      <c r="Z59">
        <f t="shared" si="3"/>
        <v>55</v>
      </c>
    </row>
    <row r="60" spans="1:26" x14ac:dyDescent="0.25">
      <c r="A60" s="5" t="s">
        <v>163</v>
      </c>
      <c r="B60" s="6">
        <v>46038</v>
      </c>
      <c r="C60" s="7" t="s">
        <v>88</v>
      </c>
      <c r="D60" s="7" t="s">
        <v>37</v>
      </c>
      <c r="E60" s="7">
        <v>45</v>
      </c>
      <c r="F60" s="7" t="s">
        <v>24</v>
      </c>
      <c r="G60" s="7" t="s">
        <v>89</v>
      </c>
      <c r="H60" s="7" t="s">
        <v>90</v>
      </c>
      <c r="I60" s="7" t="s">
        <v>91</v>
      </c>
      <c r="J60" s="7" t="s">
        <v>42</v>
      </c>
      <c r="K60" s="7" t="s">
        <v>43</v>
      </c>
      <c r="L60" s="7" t="s">
        <v>92</v>
      </c>
      <c r="M60" s="7" t="s">
        <v>93</v>
      </c>
      <c r="N60" s="7">
        <v>12900</v>
      </c>
      <c r="O60" s="7">
        <v>1</v>
      </c>
      <c r="P60" s="16">
        <v>0.1</v>
      </c>
      <c r="Q60" s="7">
        <v>2180</v>
      </c>
      <c r="R60" s="7" t="s">
        <v>46</v>
      </c>
      <c r="S60" s="7" t="s">
        <v>47</v>
      </c>
      <c r="T60" s="7" t="s">
        <v>34</v>
      </c>
      <c r="U60" s="7">
        <v>4</v>
      </c>
      <c r="V60" s="7" t="str">
        <f>TEXT('E-Commerce Sales Data'!$B60,"mmmm")</f>
        <v>January</v>
      </c>
      <c r="W60" s="8">
        <f t="shared" si="0"/>
        <v>4794345</v>
      </c>
      <c r="X60">
        <f t="shared" si="1"/>
        <v>1142</v>
      </c>
      <c r="Y60">
        <f t="shared" si="2"/>
        <v>24645.507880910682</v>
      </c>
      <c r="Z60">
        <f t="shared" si="3"/>
        <v>55</v>
      </c>
    </row>
    <row r="61" spans="1:26" x14ac:dyDescent="0.25">
      <c r="A61" s="9" t="s">
        <v>164</v>
      </c>
      <c r="B61" s="10">
        <v>46045</v>
      </c>
      <c r="C61" s="11" t="s">
        <v>95</v>
      </c>
      <c r="D61" s="11" t="s">
        <v>65</v>
      </c>
      <c r="E61" s="11">
        <v>25</v>
      </c>
      <c r="F61" s="11" t="s">
        <v>38</v>
      </c>
      <c r="G61" s="11" t="s">
        <v>25</v>
      </c>
      <c r="H61" s="11" t="s">
        <v>26</v>
      </c>
      <c r="I61" s="11" t="s">
        <v>27</v>
      </c>
      <c r="J61" s="11" t="s">
        <v>28</v>
      </c>
      <c r="K61" s="11" t="s">
        <v>29</v>
      </c>
      <c r="L61" s="11" t="s">
        <v>96</v>
      </c>
      <c r="M61" s="11" t="s">
        <v>97</v>
      </c>
      <c r="N61" s="11">
        <v>15300</v>
      </c>
      <c r="O61" s="11">
        <v>2</v>
      </c>
      <c r="P61" s="17">
        <v>0.05</v>
      </c>
      <c r="Q61" s="11">
        <v>2850</v>
      </c>
      <c r="R61" s="11" t="s">
        <v>32</v>
      </c>
      <c r="S61" s="11" t="s">
        <v>33</v>
      </c>
      <c r="T61" s="11" t="s">
        <v>34</v>
      </c>
      <c r="U61" s="11">
        <v>4</v>
      </c>
      <c r="V61" s="11" t="str">
        <f>TEXT('E-Commerce Sales Data'!$B61,"mmmm")</f>
        <v>January</v>
      </c>
      <c r="W61" s="8">
        <f t="shared" si="0"/>
        <v>4792165</v>
      </c>
      <c r="X61">
        <f t="shared" si="1"/>
        <v>1141</v>
      </c>
      <c r="Y61">
        <f t="shared" si="2"/>
        <v>24655.801928133216</v>
      </c>
      <c r="Z61">
        <f t="shared" si="3"/>
        <v>55</v>
      </c>
    </row>
    <row r="62" spans="1:26" x14ac:dyDescent="0.25">
      <c r="A62" s="5" t="s">
        <v>165</v>
      </c>
      <c r="B62" s="6">
        <v>46052</v>
      </c>
      <c r="C62" s="7" t="s">
        <v>99</v>
      </c>
      <c r="D62" s="7" t="s">
        <v>100</v>
      </c>
      <c r="E62" s="7">
        <v>33</v>
      </c>
      <c r="F62" s="7" t="s">
        <v>24</v>
      </c>
      <c r="G62" s="7" t="s">
        <v>101</v>
      </c>
      <c r="H62" s="7" t="s">
        <v>102</v>
      </c>
      <c r="I62" s="7" t="s">
        <v>41</v>
      </c>
      <c r="J62" s="7" t="s">
        <v>28</v>
      </c>
      <c r="K62" s="7" t="s">
        <v>60</v>
      </c>
      <c r="L62" s="7" t="s">
        <v>53</v>
      </c>
      <c r="M62" s="7" t="s">
        <v>103</v>
      </c>
      <c r="N62" s="7">
        <v>680</v>
      </c>
      <c r="O62" s="7">
        <v>20</v>
      </c>
      <c r="P62" s="16">
        <v>0</v>
      </c>
      <c r="Q62" s="7">
        <v>190</v>
      </c>
      <c r="R62" s="7" t="s">
        <v>55</v>
      </c>
      <c r="S62" s="7" t="s">
        <v>33</v>
      </c>
      <c r="T62" s="7" t="s">
        <v>34</v>
      </c>
      <c r="U62" s="7">
        <v>5</v>
      </c>
      <c r="V62" s="7" t="str">
        <f>TEXT('E-Commerce Sales Data'!$B62,"mmmm")</f>
        <v>January</v>
      </c>
      <c r="W62" s="8">
        <f t="shared" si="0"/>
        <v>4789315</v>
      </c>
      <c r="X62">
        <f t="shared" si="1"/>
        <v>1140</v>
      </c>
      <c r="Y62">
        <f t="shared" si="2"/>
        <v>24664.008771929824</v>
      </c>
      <c r="Z62">
        <f t="shared" si="3"/>
        <v>55</v>
      </c>
    </row>
    <row r="63" spans="1:26" x14ac:dyDescent="0.25">
      <c r="A63" s="9" t="s">
        <v>166</v>
      </c>
      <c r="B63" s="10">
        <v>46059</v>
      </c>
      <c r="C63" s="11" t="s">
        <v>105</v>
      </c>
      <c r="D63" s="11" t="s">
        <v>58</v>
      </c>
      <c r="E63" s="11">
        <v>42</v>
      </c>
      <c r="F63" s="11" t="s">
        <v>38</v>
      </c>
      <c r="G63" s="11" t="s">
        <v>51</v>
      </c>
      <c r="H63" s="11" t="s">
        <v>51</v>
      </c>
      <c r="I63" s="11" t="s">
        <v>52</v>
      </c>
      <c r="J63" s="11" t="s">
        <v>42</v>
      </c>
      <c r="K63" s="11" t="s">
        <v>43</v>
      </c>
      <c r="L63" s="11" t="s">
        <v>68</v>
      </c>
      <c r="M63" s="11" t="s">
        <v>106</v>
      </c>
      <c r="N63" s="11">
        <v>22500</v>
      </c>
      <c r="O63" s="11">
        <v>1</v>
      </c>
      <c r="P63" s="17">
        <v>0.08</v>
      </c>
      <c r="Q63" s="11">
        <v>4300</v>
      </c>
      <c r="R63" s="11" t="s">
        <v>46</v>
      </c>
      <c r="S63" s="11" t="s">
        <v>47</v>
      </c>
      <c r="T63" s="11" t="s">
        <v>34</v>
      </c>
      <c r="U63" s="11">
        <v>4</v>
      </c>
      <c r="V63" s="11" t="str">
        <f>TEXT('E-Commerce Sales Data'!$B63,"mmmm")</f>
        <v>February</v>
      </c>
      <c r="W63" s="8">
        <f t="shared" si="0"/>
        <v>4789125</v>
      </c>
      <c r="X63">
        <f t="shared" si="1"/>
        <v>1139</v>
      </c>
      <c r="Y63">
        <f t="shared" si="2"/>
        <v>24685.065847234415</v>
      </c>
      <c r="Z63">
        <f t="shared" si="3"/>
        <v>55</v>
      </c>
    </row>
    <row r="64" spans="1:26" x14ac:dyDescent="0.25">
      <c r="A64" s="5" t="s">
        <v>167</v>
      </c>
      <c r="B64" s="6">
        <v>46066</v>
      </c>
      <c r="C64" s="7" t="s">
        <v>108</v>
      </c>
      <c r="D64" s="7" t="s">
        <v>23</v>
      </c>
      <c r="E64" s="7">
        <v>30</v>
      </c>
      <c r="F64" s="7" t="s">
        <v>24</v>
      </c>
      <c r="G64" s="7" t="s">
        <v>59</v>
      </c>
      <c r="H64" s="7" t="s">
        <v>26</v>
      </c>
      <c r="I64" s="7" t="s">
        <v>27</v>
      </c>
      <c r="J64" s="7" t="s">
        <v>28</v>
      </c>
      <c r="K64" s="7" t="s">
        <v>29</v>
      </c>
      <c r="L64" s="7" t="s">
        <v>30</v>
      </c>
      <c r="M64" s="7" t="s">
        <v>31</v>
      </c>
      <c r="N64" s="7">
        <v>63500</v>
      </c>
      <c r="O64" s="7">
        <v>1</v>
      </c>
      <c r="P64" s="16">
        <v>0.1</v>
      </c>
      <c r="Q64" s="7">
        <v>7200</v>
      </c>
      <c r="R64" s="7" t="s">
        <v>32</v>
      </c>
      <c r="S64" s="7" t="s">
        <v>47</v>
      </c>
      <c r="T64" s="7" t="s">
        <v>34</v>
      </c>
      <c r="U64" s="7">
        <v>5</v>
      </c>
      <c r="V64" s="7" t="str">
        <f>TEXT('E-Commerce Sales Data'!$B64,"mmmm")</f>
        <v>February</v>
      </c>
      <c r="W64" s="8">
        <f t="shared" si="0"/>
        <v>4784825</v>
      </c>
      <c r="X64">
        <f t="shared" si="1"/>
        <v>1138</v>
      </c>
      <c r="Y64">
        <f t="shared" si="2"/>
        <v>24686.985940246046</v>
      </c>
      <c r="Z64">
        <f t="shared" si="3"/>
        <v>55</v>
      </c>
    </row>
    <row r="65" spans="1:26" x14ac:dyDescent="0.25">
      <c r="A65" s="9" t="s">
        <v>168</v>
      </c>
      <c r="B65" s="10">
        <v>46073</v>
      </c>
      <c r="C65" s="11" t="s">
        <v>110</v>
      </c>
      <c r="D65" s="11" t="s">
        <v>37</v>
      </c>
      <c r="E65" s="11">
        <v>36</v>
      </c>
      <c r="F65" s="11" t="s">
        <v>38</v>
      </c>
      <c r="G65" s="11" t="s">
        <v>66</v>
      </c>
      <c r="H65" s="11" t="s">
        <v>67</v>
      </c>
      <c r="I65" s="11" t="s">
        <v>27</v>
      </c>
      <c r="J65" s="11" t="s">
        <v>28</v>
      </c>
      <c r="K65" s="11" t="s">
        <v>60</v>
      </c>
      <c r="L65" s="11" t="s">
        <v>92</v>
      </c>
      <c r="M65" s="11" t="s">
        <v>111</v>
      </c>
      <c r="N65" s="11">
        <v>880</v>
      </c>
      <c r="O65" s="11">
        <v>12</v>
      </c>
      <c r="P65" s="17">
        <v>0.05</v>
      </c>
      <c r="Q65" s="11">
        <v>240</v>
      </c>
      <c r="R65" s="11" t="s">
        <v>80</v>
      </c>
      <c r="S65" s="11" t="s">
        <v>33</v>
      </c>
      <c r="T65" s="11" t="s">
        <v>34</v>
      </c>
      <c r="U65" s="11">
        <v>4</v>
      </c>
      <c r="V65" s="11" t="str">
        <f>TEXT('E-Commerce Sales Data'!$B65,"mmmm")</f>
        <v>February</v>
      </c>
      <c r="W65" s="8">
        <f t="shared" si="0"/>
        <v>4777625</v>
      </c>
      <c r="X65">
        <f t="shared" si="1"/>
        <v>1137</v>
      </c>
      <c r="Y65">
        <f t="shared" si="2"/>
        <v>24652.849604221636</v>
      </c>
      <c r="Z65">
        <f t="shared" si="3"/>
        <v>55</v>
      </c>
    </row>
    <row r="66" spans="1:26" x14ac:dyDescent="0.25">
      <c r="A66" s="5" t="s">
        <v>169</v>
      </c>
      <c r="B66" s="6">
        <v>46080</v>
      </c>
      <c r="C66" s="7" t="s">
        <v>113</v>
      </c>
      <c r="D66" s="7" t="s">
        <v>114</v>
      </c>
      <c r="E66" s="7">
        <v>40</v>
      </c>
      <c r="F66" s="7" t="s">
        <v>24</v>
      </c>
      <c r="G66" s="7" t="s">
        <v>73</v>
      </c>
      <c r="H66" s="7" t="s">
        <v>74</v>
      </c>
      <c r="I66" s="7" t="s">
        <v>41</v>
      </c>
      <c r="J66" s="7" t="s">
        <v>42</v>
      </c>
      <c r="K66" s="7" t="s">
        <v>43</v>
      </c>
      <c r="L66" s="7" t="s">
        <v>44</v>
      </c>
      <c r="M66" s="7" t="s">
        <v>45</v>
      </c>
      <c r="N66" s="7">
        <v>9000</v>
      </c>
      <c r="O66" s="7">
        <v>4</v>
      </c>
      <c r="P66" s="16">
        <v>7.0000000000000007E-2</v>
      </c>
      <c r="Q66" s="7">
        <v>1950</v>
      </c>
      <c r="R66" s="7" t="s">
        <v>46</v>
      </c>
      <c r="S66" s="7" t="s">
        <v>33</v>
      </c>
      <c r="T66" s="7" t="s">
        <v>34</v>
      </c>
      <c r="U66" s="7">
        <v>4</v>
      </c>
      <c r="V66" s="7" t="str">
        <f>TEXT('E-Commerce Sales Data'!$B66,"mmmm")</f>
        <v>February</v>
      </c>
      <c r="W66" s="8">
        <f t="shared" si="0"/>
        <v>4777385</v>
      </c>
      <c r="X66">
        <f t="shared" si="1"/>
        <v>1136</v>
      </c>
      <c r="Y66">
        <f t="shared" si="2"/>
        <v>24673.776408450703</v>
      </c>
      <c r="Z66">
        <f t="shared" si="3"/>
        <v>55</v>
      </c>
    </row>
    <row r="67" spans="1:26" x14ac:dyDescent="0.25">
      <c r="A67" s="9" t="s">
        <v>170</v>
      </c>
      <c r="B67" s="10">
        <v>46087</v>
      </c>
      <c r="C67" s="11" t="s">
        <v>116</v>
      </c>
      <c r="D67" s="11" t="s">
        <v>83</v>
      </c>
      <c r="E67" s="11">
        <v>27</v>
      </c>
      <c r="F67" s="11" t="s">
        <v>38</v>
      </c>
      <c r="G67" s="11" t="s">
        <v>39</v>
      </c>
      <c r="H67" s="11" t="s">
        <v>40</v>
      </c>
      <c r="I67" s="11" t="s">
        <v>41</v>
      </c>
      <c r="J67" s="11" t="s">
        <v>28</v>
      </c>
      <c r="K67" s="11" t="s">
        <v>29</v>
      </c>
      <c r="L67" s="11" t="s">
        <v>53</v>
      </c>
      <c r="M67" s="11" t="s">
        <v>54</v>
      </c>
      <c r="N67" s="11">
        <v>19800</v>
      </c>
      <c r="O67" s="11">
        <v>2</v>
      </c>
      <c r="P67" s="17">
        <v>0.05</v>
      </c>
      <c r="Q67" s="11">
        <v>3500</v>
      </c>
      <c r="R67" s="11" t="s">
        <v>32</v>
      </c>
      <c r="S67" s="11" t="s">
        <v>47</v>
      </c>
      <c r="T67" s="11" t="s">
        <v>34</v>
      </c>
      <c r="U67" s="11">
        <v>5</v>
      </c>
      <c r="V67" s="11" t="str">
        <f>TEXT('E-Commerce Sales Data'!$B67,"mmmm")</f>
        <v>March</v>
      </c>
      <c r="W67" s="8">
        <f t="shared" ref="W67:W130" si="4">SUM(Q67:Q1266)</f>
        <v>4775435</v>
      </c>
      <c r="X67">
        <f t="shared" ref="X67:X130" si="5">COUNT(E67:E1266)</f>
        <v>1135</v>
      </c>
      <c r="Y67">
        <f t="shared" ref="Y67:Y130" si="6">AVERAGE(N67:N1266)</f>
        <v>24687.585903083702</v>
      </c>
      <c r="Z67">
        <f t="shared" ref="Z67:Z130" si="7">MAX(E67:E1266)</f>
        <v>55</v>
      </c>
    </row>
    <row r="68" spans="1:26" x14ac:dyDescent="0.25">
      <c r="A68" s="5" t="s">
        <v>171</v>
      </c>
      <c r="B68" s="6">
        <v>46094</v>
      </c>
      <c r="C68" s="7" t="s">
        <v>118</v>
      </c>
      <c r="D68" s="7" t="s">
        <v>72</v>
      </c>
      <c r="E68" s="7">
        <v>35</v>
      </c>
      <c r="F68" s="7" t="s">
        <v>24</v>
      </c>
      <c r="G68" s="7" t="s">
        <v>84</v>
      </c>
      <c r="H68" s="7" t="s">
        <v>85</v>
      </c>
      <c r="I68" s="7" t="s">
        <v>52</v>
      </c>
      <c r="J68" s="7" t="s">
        <v>42</v>
      </c>
      <c r="K68" s="7" t="s">
        <v>60</v>
      </c>
      <c r="L68" s="7" t="s">
        <v>61</v>
      </c>
      <c r="M68" s="7" t="s">
        <v>62</v>
      </c>
      <c r="N68" s="7">
        <v>3550</v>
      </c>
      <c r="O68" s="7">
        <v>8</v>
      </c>
      <c r="P68" s="16">
        <v>0.03</v>
      </c>
      <c r="Q68" s="7">
        <v>870</v>
      </c>
      <c r="R68" s="7" t="s">
        <v>55</v>
      </c>
      <c r="S68" s="7" t="s">
        <v>33</v>
      </c>
      <c r="T68" s="7" t="s">
        <v>34</v>
      </c>
      <c r="U68" s="7">
        <v>4</v>
      </c>
      <c r="V68" s="7" t="str">
        <f>TEXT('E-Commerce Sales Data'!$B68,"mmmm")</f>
        <v>March</v>
      </c>
      <c r="W68" s="8">
        <f t="shared" si="4"/>
        <v>4771935</v>
      </c>
      <c r="X68">
        <f t="shared" si="5"/>
        <v>1134</v>
      </c>
      <c r="Y68">
        <f t="shared" si="6"/>
        <v>24691.895943562609</v>
      </c>
      <c r="Z68">
        <f t="shared" si="7"/>
        <v>55</v>
      </c>
    </row>
    <row r="69" spans="1:26" x14ac:dyDescent="0.25">
      <c r="A69" s="9" t="s">
        <v>172</v>
      </c>
      <c r="B69" s="10">
        <v>46101</v>
      </c>
      <c r="C69" s="11" t="s">
        <v>120</v>
      </c>
      <c r="D69" s="11" t="s">
        <v>23</v>
      </c>
      <c r="E69" s="11">
        <v>24</v>
      </c>
      <c r="F69" s="11" t="s">
        <v>38</v>
      </c>
      <c r="G69" s="11" t="s">
        <v>25</v>
      </c>
      <c r="H69" s="11" t="s">
        <v>26</v>
      </c>
      <c r="I69" s="11" t="s">
        <v>27</v>
      </c>
      <c r="J69" s="11" t="s">
        <v>28</v>
      </c>
      <c r="K69" s="11" t="s">
        <v>43</v>
      </c>
      <c r="L69" s="11" t="s">
        <v>68</v>
      </c>
      <c r="M69" s="11" t="s">
        <v>69</v>
      </c>
      <c r="N69" s="11">
        <v>16000</v>
      </c>
      <c r="O69" s="11">
        <v>2</v>
      </c>
      <c r="P69" s="17">
        <v>0.1</v>
      </c>
      <c r="Q69" s="11">
        <v>2500</v>
      </c>
      <c r="R69" s="11" t="s">
        <v>32</v>
      </c>
      <c r="S69" s="11" t="s">
        <v>47</v>
      </c>
      <c r="T69" s="11" t="s">
        <v>34</v>
      </c>
      <c r="U69" s="11">
        <v>5</v>
      </c>
      <c r="V69" s="11" t="str">
        <f>TEXT('E-Commerce Sales Data'!$B69,"mmmm")</f>
        <v>March</v>
      </c>
      <c r="W69" s="8">
        <f t="shared" si="4"/>
        <v>4771065</v>
      </c>
      <c r="X69">
        <f t="shared" si="5"/>
        <v>1133</v>
      </c>
      <c r="Y69">
        <f t="shared" si="6"/>
        <v>24710.556045895853</v>
      </c>
      <c r="Z69">
        <f t="shared" si="7"/>
        <v>55</v>
      </c>
    </row>
    <row r="70" spans="1:26" x14ac:dyDescent="0.25">
      <c r="A70" s="5" t="s">
        <v>173</v>
      </c>
      <c r="B70" s="6">
        <v>46108</v>
      </c>
      <c r="C70" s="7" t="s">
        <v>122</v>
      </c>
      <c r="D70" s="7" t="s">
        <v>50</v>
      </c>
      <c r="E70" s="7">
        <v>43</v>
      </c>
      <c r="F70" s="7" t="s">
        <v>24</v>
      </c>
      <c r="G70" s="7" t="s">
        <v>101</v>
      </c>
      <c r="H70" s="7" t="s">
        <v>102</v>
      </c>
      <c r="I70" s="7" t="s">
        <v>41</v>
      </c>
      <c r="J70" s="7" t="s">
        <v>42</v>
      </c>
      <c r="K70" s="7" t="s">
        <v>29</v>
      </c>
      <c r="L70" s="7" t="s">
        <v>53</v>
      </c>
      <c r="M70" s="7" t="s">
        <v>75</v>
      </c>
      <c r="N70" s="7">
        <v>2850</v>
      </c>
      <c r="O70" s="7">
        <v>4</v>
      </c>
      <c r="P70" s="16">
        <v>0.05</v>
      </c>
      <c r="Q70" s="7">
        <v>690</v>
      </c>
      <c r="R70" s="7" t="s">
        <v>46</v>
      </c>
      <c r="S70" s="7" t="s">
        <v>33</v>
      </c>
      <c r="T70" s="7" t="s">
        <v>34</v>
      </c>
      <c r="U70" s="7">
        <v>3</v>
      </c>
      <c r="V70" s="7" t="str">
        <f>TEXT('E-Commerce Sales Data'!$B70,"mmmm")</f>
        <v>March</v>
      </c>
      <c r="W70" s="8">
        <f t="shared" si="4"/>
        <v>4768565</v>
      </c>
      <c r="X70">
        <f t="shared" si="5"/>
        <v>1132</v>
      </c>
      <c r="Y70">
        <f t="shared" si="6"/>
        <v>24718.250883392226</v>
      </c>
      <c r="Z70">
        <f t="shared" si="7"/>
        <v>55</v>
      </c>
    </row>
    <row r="71" spans="1:26" x14ac:dyDescent="0.25">
      <c r="A71" s="9" t="s">
        <v>174</v>
      </c>
      <c r="B71" s="10">
        <v>46115</v>
      </c>
      <c r="C71" s="11" t="s">
        <v>124</v>
      </c>
      <c r="D71" s="11" t="s">
        <v>100</v>
      </c>
      <c r="E71" s="11">
        <v>32</v>
      </c>
      <c r="F71" s="11" t="s">
        <v>38</v>
      </c>
      <c r="G71" s="11" t="s">
        <v>78</v>
      </c>
      <c r="H71" s="11" t="s">
        <v>26</v>
      </c>
      <c r="I71" s="11" t="s">
        <v>27</v>
      </c>
      <c r="J71" s="11" t="s">
        <v>28</v>
      </c>
      <c r="K71" s="11" t="s">
        <v>29</v>
      </c>
      <c r="L71" s="11" t="s">
        <v>53</v>
      </c>
      <c r="M71" s="11" t="s">
        <v>79</v>
      </c>
      <c r="N71" s="11">
        <v>1250</v>
      </c>
      <c r="O71" s="11">
        <v>6</v>
      </c>
      <c r="P71" s="17">
        <v>0</v>
      </c>
      <c r="Q71" s="11">
        <v>350</v>
      </c>
      <c r="R71" s="11" t="s">
        <v>32</v>
      </c>
      <c r="S71" s="11" t="s">
        <v>33</v>
      </c>
      <c r="T71" s="11" t="s">
        <v>34</v>
      </c>
      <c r="U71" s="11">
        <v>4</v>
      </c>
      <c r="V71" s="11" t="str">
        <f>TEXT('E-Commerce Sales Data'!$B71,"mmmm")</f>
        <v>April</v>
      </c>
      <c r="W71" s="8">
        <f t="shared" si="4"/>
        <v>4767875</v>
      </c>
      <c r="X71">
        <f t="shared" si="5"/>
        <v>1131</v>
      </c>
      <c r="Y71">
        <f t="shared" si="6"/>
        <v>24737.586206896551</v>
      </c>
      <c r="Z71">
        <f t="shared" si="7"/>
        <v>55</v>
      </c>
    </row>
    <row r="72" spans="1:26" x14ac:dyDescent="0.25">
      <c r="A72" s="5" t="s">
        <v>175</v>
      </c>
      <c r="B72" s="6">
        <v>46122</v>
      </c>
      <c r="C72" s="7" t="s">
        <v>22</v>
      </c>
      <c r="D72" s="7" t="s">
        <v>23</v>
      </c>
      <c r="E72" s="7">
        <v>28</v>
      </c>
      <c r="F72" s="7" t="s">
        <v>24</v>
      </c>
      <c r="G72" s="7" t="s">
        <v>25</v>
      </c>
      <c r="H72" s="7" t="s">
        <v>26</v>
      </c>
      <c r="I72" s="7" t="s">
        <v>27</v>
      </c>
      <c r="J72" s="7" t="s">
        <v>28</v>
      </c>
      <c r="K72" s="7" t="s">
        <v>29</v>
      </c>
      <c r="L72" s="7" t="s">
        <v>30</v>
      </c>
      <c r="M72" s="7" t="s">
        <v>31</v>
      </c>
      <c r="N72" s="7">
        <v>60000</v>
      </c>
      <c r="O72" s="7">
        <v>1</v>
      </c>
      <c r="P72" s="16">
        <v>0.05</v>
      </c>
      <c r="Q72" s="7">
        <v>7800</v>
      </c>
      <c r="R72" s="7" t="s">
        <v>32</v>
      </c>
      <c r="S72" s="7" t="s">
        <v>47</v>
      </c>
      <c r="T72" s="7" t="s">
        <v>34</v>
      </c>
      <c r="U72" s="7">
        <v>5</v>
      </c>
      <c r="V72" s="7" t="str">
        <f>TEXT('E-Commerce Sales Data'!$B72,"mmmm")</f>
        <v>April</v>
      </c>
      <c r="W72" s="8">
        <f t="shared" si="4"/>
        <v>4767525</v>
      </c>
      <c r="X72">
        <f t="shared" si="5"/>
        <v>1130</v>
      </c>
      <c r="Y72">
        <f t="shared" si="6"/>
        <v>24758.371681415931</v>
      </c>
      <c r="Z72">
        <f t="shared" si="7"/>
        <v>55</v>
      </c>
    </row>
    <row r="73" spans="1:26" x14ac:dyDescent="0.25">
      <c r="A73" s="9" t="s">
        <v>176</v>
      </c>
      <c r="B73" s="10">
        <v>46129</v>
      </c>
      <c r="C73" s="11" t="s">
        <v>36</v>
      </c>
      <c r="D73" s="11" t="s">
        <v>37</v>
      </c>
      <c r="E73" s="11">
        <v>34</v>
      </c>
      <c r="F73" s="11" t="s">
        <v>38</v>
      </c>
      <c r="G73" s="11" t="s">
        <v>39</v>
      </c>
      <c r="H73" s="11" t="s">
        <v>40</v>
      </c>
      <c r="I73" s="11" t="s">
        <v>41</v>
      </c>
      <c r="J73" s="11" t="s">
        <v>42</v>
      </c>
      <c r="K73" s="11" t="s">
        <v>43</v>
      </c>
      <c r="L73" s="11" t="s">
        <v>44</v>
      </c>
      <c r="M73" s="11" t="s">
        <v>45</v>
      </c>
      <c r="N73" s="11">
        <v>7900</v>
      </c>
      <c r="O73" s="11">
        <v>3</v>
      </c>
      <c r="P73" s="17">
        <v>0.1</v>
      </c>
      <c r="Q73" s="11">
        <v>1650</v>
      </c>
      <c r="R73" s="11" t="s">
        <v>46</v>
      </c>
      <c r="S73" s="11" t="s">
        <v>33</v>
      </c>
      <c r="T73" s="11" t="s">
        <v>34</v>
      </c>
      <c r="U73" s="11">
        <v>4</v>
      </c>
      <c r="V73" s="11" t="str">
        <f>TEXT('E-Commerce Sales Data'!$B73,"mmmm")</f>
        <v>April</v>
      </c>
      <c r="W73" s="8">
        <f t="shared" si="4"/>
        <v>4759725</v>
      </c>
      <c r="X73">
        <f t="shared" si="5"/>
        <v>1129</v>
      </c>
      <c r="Y73">
        <f t="shared" si="6"/>
        <v>24727.156775907883</v>
      </c>
      <c r="Z73">
        <f t="shared" si="7"/>
        <v>55</v>
      </c>
    </row>
    <row r="74" spans="1:26" x14ac:dyDescent="0.25">
      <c r="A74" s="5" t="s">
        <v>177</v>
      </c>
      <c r="B74" s="6">
        <v>46136</v>
      </c>
      <c r="C74" s="7" t="s">
        <v>49</v>
      </c>
      <c r="D74" s="7" t="s">
        <v>50</v>
      </c>
      <c r="E74" s="7">
        <v>41</v>
      </c>
      <c r="F74" s="7" t="s">
        <v>24</v>
      </c>
      <c r="G74" s="7" t="s">
        <v>51</v>
      </c>
      <c r="H74" s="7" t="s">
        <v>51</v>
      </c>
      <c r="I74" s="7" t="s">
        <v>52</v>
      </c>
      <c r="J74" s="7" t="s">
        <v>28</v>
      </c>
      <c r="K74" s="7" t="s">
        <v>29</v>
      </c>
      <c r="L74" s="7" t="s">
        <v>53</v>
      </c>
      <c r="M74" s="7" t="s">
        <v>54</v>
      </c>
      <c r="N74" s="7">
        <v>18500</v>
      </c>
      <c r="O74" s="7">
        <v>2</v>
      </c>
      <c r="P74" s="16">
        <v>0.05</v>
      </c>
      <c r="Q74" s="7">
        <v>3250</v>
      </c>
      <c r="R74" s="7" t="s">
        <v>55</v>
      </c>
      <c r="S74" s="7" t="s">
        <v>33</v>
      </c>
      <c r="T74" s="7" t="s">
        <v>34</v>
      </c>
      <c r="U74" s="7">
        <v>4</v>
      </c>
      <c r="V74" s="7" t="str">
        <f>TEXT('E-Commerce Sales Data'!$B74,"mmmm")</f>
        <v>April</v>
      </c>
      <c r="W74" s="8">
        <f t="shared" si="4"/>
        <v>4758075</v>
      </c>
      <c r="X74">
        <f t="shared" si="5"/>
        <v>1128</v>
      </c>
      <c r="Y74">
        <f t="shared" si="6"/>
        <v>24742.074468085106</v>
      </c>
      <c r="Z74">
        <f t="shared" si="7"/>
        <v>55</v>
      </c>
    </row>
    <row r="75" spans="1:26" x14ac:dyDescent="0.25">
      <c r="A75" s="9" t="s">
        <v>178</v>
      </c>
      <c r="B75" s="10">
        <v>46143</v>
      </c>
      <c r="C75" s="11" t="s">
        <v>57</v>
      </c>
      <c r="D75" s="11" t="s">
        <v>58</v>
      </c>
      <c r="E75" s="11">
        <v>26</v>
      </c>
      <c r="F75" s="11" t="s">
        <v>38</v>
      </c>
      <c r="G75" s="11" t="s">
        <v>59</v>
      </c>
      <c r="H75" s="11" t="s">
        <v>26</v>
      </c>
      <c r="I75" s="11" t="s">
        <v>27</v>
      </c>
      <c r="J75" s="11" t="s">
        <v>28</v>
      </c>
      <c r="K75" s="11" t="s">
        <v>60</v>
      </c>
      <c r="L75" s="11" t="s">
        <v>61</v>
      </c>
      <c r="M75" s="11" t="s">
        <v>86</v>
      </c>
      <c r="N75" s="11">
        <v>510</v>
      </c>
      <c r="O75" s="11">
        <v>15</v>
      </c>
      <c r="P75" s="17">
        <v>0.02</v>
      </c>
      <c r="Q75" s="11">
        <v>140</v>
      </c>
      <c r="R75" s="11" t="s">
        <v>32</v>
      </c>
      <c r="S75" s="11" t="s">
        <v>33</v>
      </c>
      <c r="T75" s="11" t="s">
        <v>34</v>
      </c>
      <c r="U75" s="11">
        <v>5</v>
      </c>
      <c r="V75" s="11" t="str">
        <f>TEXT('E-Commerce Sales Data'!$B75,"mmmm")</f>
        <v>May</v>
      </c>
      <c r="W75" s="8">
        <f t="shared" si="4"/>
        <v>4754825</v>
      </c>
      <c r="X75">
        <f t="shared" si="5"/>
        <v>1127</v>
      </c>
      <c r="Y75">
        <f t="shared" si="6"/>
        <v>24747.613132209404</v>
      </c>
      <c r="Z75">
        <f t="shared" si="7"/>
        <v>55</v>
      </c>
    </row>
    <row r="76" spans="1:26" x14ac:dyDescent="0.25">
      <c r="A76" s="5" t="s">
        <v>179</v>
      </c>
      <c r="B76" s="6">
        <v>46150</v>
      </c>
      <c r="C76" s="7" t="s">
        <v>64</v>
      </c>
      <c r="D76" s="7" t="s">
        <v>65</v>
      </c>
      <c r="E76" s="7">
        <v>39</v>
      </c>
      <c r="F76" s="7" t="s">
        <v>24</v>
      </c>
      <c r="G76" s="7" t="s">
        <v>66</v>
      </c>
      <c r="H76" s="7" t="s">
        <v>67</v>
      </c>
      <c r="I76" s="7" t="s">
        <v>27</v>
      </c>
      <c r="J76" s="7" t="s">
        <v>42</v>
      </c>
      <c r="K76" s="7" t="s">
        <v>43</v>
      </c>
      <c r="L76" s="7" t="s">
        <v>68</v>
      </c>
      <c r="M76" s="7" t="s">
        <v>69</v>
      </c>
      <c r="N76" s="7">
        <v>15500</v>
      </c>
      <c r="O76" s="7">
        <v>2</v>
      </c>
      <c r="P76" s="16">
        <v>0.08</v>
      </c>
      <c r="Q76" s="7">
        <v>2650</v>
      </c>
      <c r="R76" s="7" t="s">
        <v>46</v>
      </c>
      <c r="S76" s="7" t="s">
        <v>47</v>
      </c>
      <c r="T76" s="7" t="s">
        <v>34</v>
      </c>
      <c r="U76" s="7">
        <v>4</v>
      </c>
      <c r="V76" s="7" t="str">
        <f>TEXT('E-Commerce Sales Data'!$B76,"mmmm")</f>
        <v>May</v>
      </c>
      <c r="W76" s="8">
        <f t="shared" si="4"/>
        <v>4754685</v>
      </c>
      <c r="X76">
        <f t="shared" si="5"/>
        <v>1126</v>
      </c>
      <c r="Y76">
        <f t="shared" si="6"/>
        <v>24769.138543516874</v>
      </c>
      <c r="Z76">
        <f t="shared" si="7"/>
        <v>55</v>
      </c>
    </row>
    <row r="77" spans="1:26" x14ac:dyDescent="0.25">
      <c r="A77" s="9" t="s">
        <v>180</v>
      </c>
      <c r="B77" s="10">
        <v>46157</v>
      </c>
      <c r="C77" s="11" t="s">
        <v>71</v>
      </c>
      <c r="D77" s="11" t="s">
        <v>72</v>
      </c>
      <c r="E77" s="11">
        <v>31</v>
      </c>
      <c r="F77" s="11" t="s">
        <v>38</v>
      </c>
      <c r="G77" s="11" t="s">
        <v>73</v>
      </c>
      <c r="H77" s="11" t="s">
        <v>74</v>
      </c>
      <c r="I77" s="11" t="s">
        <v>41</v>
      </c>
      <c r="J77" s="11" t="s">
        <v>28</v>
      </c>
      <c r="K77" s="11" t="s">
        <v>29</v>
      </c>
      <c r="L77" s="11" t="s">
        <v>53</v>
      </c>
      <c r="M77" s="11" t="s">
        <v>75</v>
      </c>
      <c r="N77" s="11">
        <v>2700</v>
      </c>
      <c r="O77" s="11">
        <v>3</v>
      </c>
      <c r="P77" s="17">
        <v>0.05</v>
      </c>
      <c r="Q77" s="11">
        <v>650</v>
      </c>
      <c r="R77" s="11" t="s">
        <v>32</v>
      </c>
      <c r="S77" s="11" t="s">
        <v>33</v>
      </c>
      <c r="T77" s="11" t="s">
        <v>34</v>
      </c>
      <c r="U77" s="11">
        <v>4</v>
      </c>
      <c r="V77" s="11" t="str">
        <f>TEXT('E-Commerce Sales Data'!$B77,"mmmm")</f>
        <v>May</v>
      </c>
      <c r="W77" s="8">
        <f t="shared" si="4"/>
        <v>4752035</v>
      </c>
      <c r="X77">
        <f t="shared" si="5"/>
        <v>1125</v>
      </c>
      <c r="Y77">
        <f t="shared" si="6"/>
        <v>24777.37777777778</v>
      </c>
      <c r="Z77">
        <f t="shared" si="7"/>
        <v>55</v>
      </c>
    </row>
    <row r="78" spans="1:26" x14ac:dyDescent="0.25">
      <c r="A78" s="5" t="s">
        <v>181</v>
      </c>
      <c r="B78" s="6">
        <v>46164</v>
      </c>
      <c r="C78" s="7" t="s">
        <v>77</v>
      </c>
      <c r="D78" s="7" t="s">
        <v>23</v>
      </c>
      <c r="E78" s="7">
        <v>29</v>
      </c>
      <c r="F78" s="7" t="s">
        <v>24</v>
      </c>
      <c r="G78" s="7" t="s">
        <v>78</v>
      </c>
      <c r="H78" s="7" t="s">
        <v>26</v>
      </c>
      <c r="I78" s="7" t="s">
        <v>27</v>
      </c>
      <c r="J78" s="7" t="s">
        <v>28</v>
      </c>
      <c r="K78" s="7" t="s">
        <v>29</v>
      </c>
      <c r="L78" s="7" t="s">
        <v>53</v>
      </c>
      <c r="M78" s="7" t="s">
        <v>79</v>
      </c>
      <c r="N78" s="7">
        <v>1180</v>
      </c>
      <c r="O78" s="7">
        <v>5</v>
      </c>
      <c r="P78" s="16">
        <v>0</v>
      </c>
      <c r="Q78" s="7">
        <v>330</v>
      </c>
      <c r="R78" s="7" t="s">
        <v>80</v>
      </c>
      <c r="S78" s="7" t="s">
        <v>33</v>
      </c>
      <c r="T78" s="7" t="s">
        <v>34</v>
      </c>
      <c r="U78" s="7">
        <v>3</v>
      </c>
      <c r="V78" s="7" t="str">
        <f>TEXT('E-Commerce Sales Data'!$B78,"mmmm")</f>
        <v>May</v>
      </c>
      <c r="W78" s="8">
        <f t="shared" si="4"/>
        <v>4751385</v>
      </c>
      <c r="X78">
        <f t="shared" si="5"/>
        <v>1124</v>
      </c>
      <c r="Y78">
        <f t="shared" si="6"/>
        <v>24797.019572953737</v>
      </c>
      <c r="Z78">
        <f t="shared" si="7"/>
        <v>55</v>
      </c>
    </row>
    <row r="79" spans="1:26" x14ac:dyDescent="0.25">
      <c r="A79" s="9" t="s">
        <v>182</v>
      </c>
      <c r="B79" s="10">
        <v>46171</v>
      </c>
      <c r="C79" s="11" t="s">
        <v>82</v>
      </c>
      <c r="D79" s="11" t="s">
        <v>83</v>
      </c>
      <c r="E79" s="11">
        <v>37</v>
      </c>
      <c r="F79" s="11" t="s">
        <v>38</v>
      </c>
      <c r="G79" s="11" t="s">
        <v>84</v>
      </c>
      <c r="H79" s="11" t="s">
        <v>85</v>
      </c>
      <c r="I79" s="11" t="s">
        <v>52</v>
      </c>
      <c r="J79" s="11" t="s">
        <v>42</v>
      </c>
      <c r="K79" s="11" t="s">
        <v>60</v>
      </c>
      <c r="L79" s="11" t="s">
        <v>61</v>
      </c>
      <c r="M79" s="11" t="s">
        <v>62</v>
      </c>
      <c r="N79" s="11">
        <v>3450</v>
      </c>
      <c r="O79" s="11">
        <v>10</v>
      </c>
      <c r="P79" s="17">
        <v>0.02</v>
      </c>
      <c r="Q79" s="11">
        <v>940</v>
      </c>
      <c r="R79" s="11" t="s">
        <v>32</v>
      </c>
      <c r="S79" s="11" t="s">
        <v>33</v>
      </c>
      <c r="T79" s="11" t="s">
        <v>34</v>
      </c>
      <c r="U79" s="11">
        <v>5</v>
      </c>
      <c r="V79" s="11" t="str">
        <f>TEXT('E-Commerce Sales Data'!$B79,"mmmm")</f>
        <v>May</v>
      </c>
      <c r="W79" s="8">
        <f t="shared" si="4"/>
        <v>4751055</v>
      </c>
      <c r="X79">
        <f t="shared" si="5"/>
        <v>1123</v>
      </c>
      <c r="Y79">
        <f t="shared" si="6"/>
        <v>24818.049866429206</v>
      </c>
      <c r="Z79">
        <f t="shared" si="7"/>
        <v>55</v>
      </c>
    </row>
    <row r="80" spans="1:26" x14ac:dyDescent="0.25">
      <c r="A80" s="5" t="s">
        <v>183</v>
      </c>
      <c r="B80" s="6">
        <v>46178</v>
      </c>
      <c r="C80" s="7" t="s">
        <v>88</v>
      </c>
      <c r="D80" s="7" t="s">
        <v>37</v>
      </c>
      <c r="E80" s="7">
        <v>45</v>
      </c>
      <c r="F80" s="7" t="s">
        <v>24</v>
      </c>
      <c r="G80" s="7" t="s">
        <v>89</v>
      </c>
      <c r="H80" s="7" t="s">
        <v>90</v>
      </c>
      <c r="I80" s="7" t="s">
        <v>91</v>
      </c>
      <c r="J80" s="7" t="s">
        <v>42</v>
      </c>
      <c r="K80" s="7" t="s">
        <v>43</v>
      </c>
      <c r="L80" s="7" t="s">
        <v>92</v>
      </c>
      <c r="M80" s="7" t="s">
        <v>93</v>
      </c>
      <c r="N80" s="7">
        <v>13500</v>
      </c>
      <c r="O80" s="7">
        <v>1</v>
      </c>
      <c r="P80" s="16">
        <v>0.1</v>
      </c>
      <c r="Q80" s="7">
        <v>2250</v>
      </c>
      <c r="R80" s="7" t="s">
        <v>46</v>
      </c>
      <c r="S80" s="7" t="s">
        <v>47</v>
      </c>
      <c r="T80" s="7" t="s">
        <v>34</v>
      </c>
      <c r="U80" s="7">
        <v>4</v>
      </c>
      <c r="V80" s="7" t="str">
        <f>TEXT('E-Commerce Sales Data'!$B80,"mmmm")</f>
        <v>June</v>
      </c>
      <c r="W80" s="8">
        <f t="shared" si="4"/>
        <v>4750115</v>
      </c>
      <c r="X80">
        <f t="shared" si="5"/>
        <v>1122</v>
      </c>
      <c r="Y80">
        <f t="shared" si="6"/>
        <v>24837.094474153299</v>
      </c>
      <c r="Z80">
        <f t="shared" si="7"/>
        <v>55</v>
      </c>
    </row>
    <row r="81" spans="1:26" x14ac:dyDescent="0.25">
      <c r="A81" s="9" t="s">
        <v>184</v>
      </c>
      <c r="B81" s="10">
        <v>46185</v>
      </c>
      <c r="C81" s="11" t="s">
        <v>95</v>
      </c>
      <c r="D81" s="11" t="s">
        <v>65</v>
      </c>
      <c r="E81" s="11">
        <v>25</v>
      </c>
      <c r="F81" s="11" t="s">
        <v>38</v>
      </c>
      <c r="G81" s="11" t="s">
        <v>25</v>
      </c>
      <c r="H81" s="11" t="s">
        <v>26</v>
      </c>
      <c r="I81" s="11" t="s">
        <v>27</v>
      </c>
      <c r="J81" s="11" t="s">
        <v>28</v>
      </c>
      <c r="K81" s="11" t="s">
        <v>29</v>
      </c>
      <c r="L81" s="11" t="s">
        <v>96</v>
      </c>
      <c r="M81" s="11" t="s">
        <v>97</v>
      </c>
      <c r="N81" s="11">
        <v>14900</v>
      </c>
      <c r="O81" s="11">
        <v>2</v>
      </c>
      <c r="P81" s="17">
        <v>0.05</v>
      </c>
      <c r="Q81" s="11">
        <v>2780</v>
      </c>
      <c r="R81" s="11" t="s">
        <v>32</v>
      </c>
      <c r="S81" s="11" t="s">
        <v>33</v>
      </c>
      <c r="T81" s="11" t="s">
        <v>34</v>
      </c>
      <c r="U81" s="11">
        <v>4</v>
      </c>
      <c r="V81" s="11" t="str">
        <f>TEXT('E-Commerce Sales Data'!$B81,"mmmm")</f>
        <v>June</v>
      </c>
      <c r="W81" s="8">
        <f t="shared" si="4"/>
        <v>4747865</v>
      </c>
      <c r="X81">
        <f t="shared" si="5"/>
        <v>1121</v>
      </c>
      <c r="Y81">
        <f t="shared" si="6"/>
        <v>24847.207850133807</v>
      </c>
      <c r="Z81">
        <f t="shared" si="7"/>
        <v>55</v>
      </c>
    </row>
    <row r="82" spans="1:26" x14ac:dyDescent="0.25">
      <c r="A82" s="5" t="s">
        <v>185</v>
      </c>
      <c r="B82" s="6">
        <v>46192</v>
      </c>
      <c r="C82" s="7" t="s">
        <v>99</v>
      </c>
      <c r="D82" s="7" t="s">
        <v>100</v>
      </c>
      <c r="E82" s="7">
        <v>33</v>
      </c>
      <c r="F82" s="7" t="s">
        <v>24</v>
      </c>
      <c r="G82" s="7" t="s">
        <v>101</v>
      </c>
      <c r="H82" s="7" t="s">
        <v>102</v>
      </c>
      <c r="I82" s="7" t="s">
        <v>41</v>
      </c>
      <c r="J82" s="7" t="s">
        <v>28</v>
      </c>
      <c r="K82" s="7" t="s">
        <v>60</v>
      </c>
      <c r="L82" s="7" t="s">
        <v>53</v>
      </c>
      <c r="M82" s="7" t="s">
        <v>103</v>
      </c>
      <c r="N82" s="7">
        <v>720</v>
      </c>
      <c r="O82" s="7">
        <v>25</v>
      </c>
      <c r="P82" s="16">
        <v>0</v>
      </c>
      <c r="Q82" s="7">
        <v>210</v>
      </c>
      <c r="R82" s="7" t="s">
        <v>55</v>
      </c>
      <c r="S82" s="7" t="s">
        <v>33</v>
      </c>
      <c r="T82" s="7" t="s">
        <v>34</v>
      </c>
      <c r="U82" s="7">
        <v>5</v>
      </c>
      <c r="V82" s="7" t="str">
        <f>TEXT('E-Commerce Sales Data'!$B82,"mmmm")</f>
        <v>June</v>
      </c>
      <c r="W82" s="8">
        <f t="shared" si="4"/>
        <v>4745085</v>
      </c>
      <c r="X82">
        <f t="shared" si="5"/>
        <v>1120</v>
      </c>
      <c r="Y82">
        <f t="shared" si="6"/>
        <v>24856.089285714286</v>
      </c>
      <c r="Z82">
        <f t="shared" si="7"/>
        <v>55</v>
      </c>
    </row>
    <row r="83" spans="1:26" x14ac:dyDescent="0.25">
      <c r="A83" s="9" t="s">
        <v>186</v>
      </c>
      <c r="B83" s="10">
        <v>46199</v>
      </c>
      <c r="C83" s="11" t="s">
        <v>105</v>
      </c>
      <c r="D83" s="11" t="s">
        <v>58</v>
      </c>
      <c r="E83" s="11">
        <v>42</v>
      </c>
      <c r="F83" s="11" t="s">
        <v>38</v>
      </c>
      <c r="G83" s="11" t="s">
        <v>51</v>
      </c>
      <c r="H83" s="11" t="s">
        <v>51</v>
      </c>
      <c r="I83" s="11" t="s">
        <v>52</v>
      </c>
      <c r="J83" s="11" t="s">
        <v>42</v>
      </c>
      <c r="K83" s="11" t="s">
        <v>43</v>
      </c>
      <c r="L83" s="11" t="s">
        <v>68</v>
      </c>
      <c r="M83" s="11" t="s">
        <v>106</v>
      </c>
      <c r="N83" s="11">
        <v>21800</v>
      </c>
      <c r="O83" s="11">
        <v>1</v>
      </c>
      <c r="P83" s="17">
        <v>0.08</v>
      </c>
      <c r="Q83" s="11">
        <v>4100</v>
      </c>
      <c r="R83" s="11" t="s">
        <v>46</v>
      </c>
      <c r="S83" s="11" t="s">
        <v>47</v>
      </c>
      <c r="T83" s="11" t="s">
        <v>34</v>
      </c>
      <c r="U83" s="11">
        <v>4</v>
      </c>
      <c r="V83" s="11" t="str">
        <f>TEXT('E-Commerce Sales Data'!$B83,"mmmm")</f>
        <v>June</v>
      </c>
      <c r="W83" s="8">
        <f t="shared" si="4"/>
        <v>4744875</v>
      </c>
      <c r="X83">
        <f t="shared" si="5"/>
        <v>1119</v>
      </c>
      <c r="Y83">
        <f t="shared" si="6"/>
        <v>24877.658623771225</v>
      </c>
      <c r="Z83">
        <f t="shared" si="7"/>
        <v>55</v>
      </c>
    </row>
    <row r="84" spans="1:26" x14ac:dyDescent="0.25">
      <c r="A84" s="5" t="s">
        <v>187</v>
      </c>
      <c r="B84" s="6">
        <v>46206</v>
      </c>
      <c r="C84" s="7" t="s">
        <v>108</v>
      </c>
      <c r="D84" s="7" t="s">
        <v>23</v>
      </c>
      <c r="E84" s="7">
        <v>30</v>
      </c>
      <c r="F84" s="7" t="s">
        <v>24</v>
      </c>
      <c r="G84" s="7" t="s">
        <v>59</v>
      </c>
      <c r="H84" s="7" t="s">
        <v>26</v>
      </c>
      <c r="I84" s="7" t="s">
        <v>27</v>
      </c>
      <c r="J84" s="7" t="s">
        <v>28</v>
      </c>
      <c r="K84" s="7" t="s">
        <v>29</v>
      </c>
      <c r="L84" s="7" t="s">
        <v>30</v>
      </c>
      <c r="M84" s="7" t="s">
        <v>31</v>
      </c>
      <c r="N84" s="7">
        <v>65000</v>
      </c>
      <c r="O84" s="7">
        <v>1</v>
      </c>
      <c r="P84" s="16">
        <v>0.1</v>
      </c>
      <c r="Q84" s="7">
        <v>7300</v>
      </c>
      <c r="R84" s="7" t="s">
        <v>32</v>
      </c>
      <c r="S84" s="7" t="s">
        <v>47</v>
      </c>
      <c r="T84" s="7" t="s">
        <v>34</v>
      </c>
      <c r="U84" s="7">
        <v>5</v>
      </c>
      <c r="V84" s="7" t="str">
        <f>TEXT('E-Commerce Sales Data'!$B84,"mmmm")</f>
        <v>July</v>
      </c>
      <c r="W84" s="8">
        <f t="shared" si="4"/>
        <v>4740775</v>
      </c>
      <c r="X84">
        <f t="shared" si="5"/>
        <v>1118</v>
      </c>
      <c r="Y84">
        <f t="shared" si="6"/>
        <v>24880.411449016101</v>
      </c>
      <c r="Z84">
        <f t="shared" si="7"/>
        <v>55</v>
      </c>
    </row>
    <row r="85" spans="1:26" x14ac:dyDescent="0.25">
      <c r="A85" s="9" t="s">
        <v>188</v>
      </c>
      <c r="B85" s="10">
        <v>46213</v>
      </c>
      <c r="C85" s="11" t="s">
        <v>110</v>
      </c>
      <c r="D85" s="11" t="s">
        <v>37</v>
      </c>
      <c r="E85" s="11">
        <v>36</v>
      </c>
      <c r="F85" s="11" t="s">
        <v>38</v>
      </c>
      <c r="G85" s="11" t="s">
        <v>66</v>
      </c>
      <c r="H85" s="11" t="s">
        <v>67</v>
      </c>
      <c r="I85" s="11" t="s">
        <v>27</v>
      </c>
      <c r="J85" s="11" t="s">
        <v>28</v>
      </c>
      <c r="K85" s="11" t="s">
        <v>60</v>
      </c>
      <c r="L85" s="11" t="s">
        <v>92</v>
      </c>
      <c r="M85" s="11" t="s">
        <v>111</v>
      </c>
      <c r="N85" s="11">
        <v>920</v>
      </c>
      <c r="O85" s="11">
        <v>15</v>
      </c>
      <c r="P85" s="17">
        <v>0.05</v>
      </c>
      <c r="Q85" s="11">
        <v>270</v>
      </c>
      <c r="R85" s="11" t="s">
        <v>80</v>
      </c>
      <c r="S85" s="11" t="s">
        <v>33</v>
      </c>
      <c r="T85" s="11" t="s">
        <v>34</v>
      </c>
      <c r="U85" s="11">
        <v>4</v>
      </c>
      <c r="V85" s="11" t="str">
        <f>TEXT('E-Commerce Sales Data'!$B85,"mmmm")</f>
        <v>July</v>
      </c>
      <c r="W85" s="8">
        <f t="shared" si="4"/>
        <v>4733475</v>
      </c>
      <c r="X85">
        <f t="shared" si="5"/>
        <v>1117</v>
      </c>
      <c r="Y85">
        <f t="shared" si="6"/>
        <v>24844.494180841539</v>
      </c>
      <c r="Z85">
        <f t="shared" si="7"/>
        <v>55</v>
      </c>
    </row>
    <row r="86" spans="1:26" x14ac:dyDescent="0.25">
      <c r="A86" s="5" t="s">
        <v>189</v>
      </c>
      <c r="B86" s="6">
        <v>46220</v>
      </c>
      <c r="C86" s="7" t="s">
        <v>113</v>
      </c>
      <c r="D86" s="7" t="s">
        <v>114</v>
      </c>
      <c r="E86" s="7">
        <v>40</v>
      </c>
      <c r="F86" s="7" t="s">
        <v>24</v>
      </c>
      <c r="G86" s="7" t="s">
        <v>73</v>
      </c>
      <c r="H86" s="7" t="s">
        <v>74</v>
      </c>
      <c r="I86" s="7" t="s">
        <v>41</v>
      </c>
      <c r="J86" s="7" t="s">
        <v>42</v>
      </c>
      <c r="K86" s="7" t="s">
        <v>43</v>
      </c>
      <c r="L86" s="7" t="s">
        <v>44</v>
      </c>
      <c r="M86" s="7" t="s">
        <v>45</v>
      </c>
      <c r="N86" s="7">
        <v>8750</v>
      </c>
      <c r="O86" s="7">
        <v>4</v>
      </c>
      <c r="P86" s="16">
        <v>7.0000000000000007E-2</v>
      </c>
      <c r="Q86" s="7">
        <v>1800</v>
      </c>
      <c r="R86" s="7" t="s">
        <v>46</v>
      </c>
      <c r="S86" s="7" t="s">
        <v>33</v>
      </c>
      <c r="T86" s="7" t="s">
        <v>34</v>
      </c>
      <c r="U86" s="7">
        <v>4</v>
      </c>
      <c r="V86" s="7" t="str">
        <f>TEXT('E-Commerce Sales Data'!$B86,"mmmm")</f>
        <v>July</v>
      </c>
      <c r="W86" s="8">
        <f t="shared" si="4"/>
        <v>4733205</v>
      </c>
      <c r="X86">
        <f t="shared" si="5"/>
        <v>1116</v>
      </c>
      <c r="Y86">
        <f t="shared" si="6"/>
        <v>24865.931899641579</v>
      </c>
      <c r="Z86">
        <f t="shared" si="7"/>
        <v>55</v>
      </c>
    </row>
    <row r="87" spans="1:26" x14ac:dyDescent="0.25">
      <c r="A87" s="9" t="s">
        <v>190</v>
      </c>
      <c r="B87" s="10">
        <v>46227</v>
      </c>
      <c r="C87" s="11" t="s">
        <v>116</v>
      </c>
      <c r="D87" s="11" t="s">
        <v>83</v>
      </c>
      <c r="E87" s="11">
        <v>27</v>
      </c>
      <c r="F87" s="11" t="s">
        <v>38</v>
      </c>
      <c r="G87" s="11" t="s">
        <v>39</v>
      </c>
      <c r="H87" s="11" t="s">
        <v>40</v>
      </c>
      <c r="I87" s="11" t="s">
        <v>41</v>
      </c>
      <c r="J87" s="11" t="s">
        <v>28</v>
      </c>
      <c r="K87" s="11" t="s">
        <v>29</v>
      </c>
      <c r="L87" s="11" t="s">
        <v>53</v>
      </c>
      <c r="M87" s="11" t="s">
        <v>54</v>
      </c>
      <c r="N87" s="11">
        <v>20200</v>
      </c>
      <c r="O87" s="11">
        <v>2</v>
      </c>
      <c r="P87" s="17">
        <v>0.05</v>
      </c>
      <c r="Q87" s="11">
        <v>3550</v>
      </c>
      <c r="R87" s="11" t="s">
        <v>32</v>
      </c>
      <c r="S87" s="11" t="s">
        <v>47</v>
      </c>
      <c r="T87" s="11" t="s">
        <v>34</v>
      </c>
      <c r="U87" s="11">
        <v>5</v>
      </c>
      <c r="V87" s="11" t="str">
        <f>TEXT('E-Commerce Sales Data'!$B87,"mmmm")</f>
        <v>July</v>
      </c>
      <c r="W87" s="8">
        <f t="shared" si="4"/>
        <v>4731405</v>
      </c>
      <c r="X87">
        <f t="shared" si="5"/>
        <v>1115</v>
      </c>
      <c r="Y87">
        <f t="shared" si="6"/>
        <v>24880.385650224216</v>
      </c>
      <c r="Z87">
        <f t="shared" si="7"/>
        <v>55</v>
      </c>
    </row>
    <row r="88" spans="1:26" x14ac:dyDescent="0.25">
      <c r="A88" s="5" t="s">
        <v>191</v>
      </c>
      <c r="B88" s="6">
        <v>46234</v>
      </c>
      <c r="C88" s="7" t="s">
        <v>118</v>
      </c>
      <c r="D88" s="7" t="s">
        <v>72</v>
      </c>
      <c r="E88" s="7">
        <v>35</v>
      </c>
      <c r="F88" s="7" t="s">
        <v>24</v>
      </c>
      <c r="G88" s="7" t="s">
        <v>84</v>
      </c>
      <c r="H88" s="7" t="s">
        <v>85</v>
      </c>
      <c r="I88" s="7" t="s">
        <v>52</v>
      </c>
      <c r="J88" s="7" t="s">
        <v>42</v>
      </c>
      <c r="K88" s="7" t="s">
        <v>60</v>
      </c>
      <c r="L88" s="7" t="s">
        <v>61</v>
      </c>
      <c r="M88" s="7" t="s">
        <v>62</v>
      </c>
      <c r="N88" s="7">
        <v>3800</v>
      </c>
      <c r="O88" s="7">
        <v>10</v>
      </c>
      <c r="P88" s="16">
        <v>0.03</v>
      </c>
      <c r="Q88" s="7">
        <v>930</v>
      </c>
      <c r="R88" s="7" t="s">
        <v>55</v>
      </c>
      <c r="S88" s="7" t="s">
        <v>33</v>
      </c>
      <c r="T88" s="7" t="s">
        <v>34</v>
      </c>
      <c r="U88" s="7">
        <v>4</v>
      </c>
      <c r="V88" s="7" t="str">
        <f>TEXT('E-Commerce Sales Data'!$B88,"mmmm")</f>
        <v>July</v>
      </c>
      <c r="W88" s="8">
        <f t="shared" si="4"/>
        <v>4727855</v>
      </c>
      <c r="X88">
        <f t="shared" si="5"/>
        <v>1114</v>
      </c>
      <c r="Y88">
        <f t="shared" si="6"/>
        <v>24884.587073608618</v>
      </c>
      <c r="Z88">
        <f t="shared" si="7"/>
        <v>55</v>
      </c>
    </row>
    <row r="89" spans="1:26" x14ac:dyDescent="0.25">
      <c r="A89" s="9" t="s">
        <v>192</v>
      </c>
      <c r="B89" s="10">
        <v>46241</v>
      </c>
      <c r="C89" s="11" t="s">
        <v>120</v>
      </c>
      <c r="D89" s="11" t="s">
        <v>23</v>
      </c>
      <c r="E89" s="11">
        <v>24</v>
      </c>
      <c r="F89" s="11" t="s">
        <v>38</v>
      </c>
      <c r="G89" s="11" t="s">
        <v>25</v>
      </c>
      <c r="H89" s="11" t="s">
        <v>26</v>
      </c>
      <c r="I89" s="11" t="s">
        <v>27</v>
      </c>
      <c r="J89" s="11" t="s">
        <v>28</v>
      </c>
      <c r="K89" s="11" t="s">
        <v>43</v>
      </c>
      <c r="L89" s="11" t="s">
        <v>68</v>
      </c>
      <c r="M89" s="11" t="s">
        <v>69</v>
      </c>
      <c r="N89" s="11">
        <v>16500</v>
      </c>
      <c r="O89" s="11">
        <v>2</v>
      </c>
      <c r="P89" s="17">
        <v>0.1</v>
      </c>
      <c r="Q89" s="11">
        <v>2550</v>
      </c>
      <c r="R89" s="11" t="s">
        <v>32</v>
      </c>
      <c r="S89" s="11" t="s">
        <v>47</v>
      </c>
      <c r="T89" s="11" t="s">
        <v>34</v>
      </c>
      <c r="U89" s="11">
        <v>5</v>
      </c>
      <c r="V89" s="11" t="str">
        <f>TEXT('E-Commerce Sales Data'!$B89,"mmmm")</f>
        <v>August</v>
      </c>
      <c r="W89" s="8">
        <f t="shared" si="4"/>
        <v>4726925</v>
      </c>
      <c r="X89">
        <f t="shared" si="5"/>
        <v>1113</v>
      </c>
      <c r="Y89">
        <f t="shared" si="6"/>
        <v>24903.530997304581</v>
      </c>
      <c r="Z89">
        <f t="shared" si="7"/>
        <v>55</v>
      </c>
    </row>
    <row r="90" spans="1:26" x14ac:dyDescent="0.25">
      <c r="A90" s="5" t="s">
        <v>193</v>
      </c>
      <c r="B90" s="6">
        <v>46248</v>
      </c>
      <c r="C90" s="7" t="s">
        <v>122</v>
      </c>
      <c r="D90" s="7" t="s">
        <v>50</v>
      </c>
      <c r="E90" s="7">
        <v>43</v>
      </c>
      <c r="F90" s="7" t="s">
        <v>24</v>
      </c>
      <c r="G90" s="7" t="s">
        <v>101</v>
      </c>
      <c r="H90" s="7" t="s">
        <v>102</v>
      </c>
      <c r="I90" s="7" t="s">
        <v>41</v>
      </c>
      <c r="J90" s="7" t="s">
        <v>42</v>
      </c>
      <c r="K90" s="7" t="s">
        <v>29</v>
      </c>
      <c r="L90" s="7" t="s">
        <v>53</v>
      </c>
      <c r="M90" s="7" t="s">
        <v>75</v>
      </c>
      <c r="N90" s="7">
        <v>2950</v>
      </c>
      <c r="O90" s="7">
        <v>4</v>
      </c>
      <c r="P90" s="16">
        <v>0.05</v>
      </c>
      <c r="Q90" s="7">
        <v>720</v>
      </c>
      <c r="R90" s="7" t="s">
        <v>46</v>
      </c>
      <c r="S90" s="7" t="s">
        <v>33</v>
      </c>
      <c r="T90" s="7" t="s">
        <v>34</v>
      </c>
      <c r="U90" s="7">
        <v>3</v>
      </c>
      <c r="V90" s="7" t="str">
        <f>TEXT('E-Commerce Sales Data'!$B90,"mmmm")</f>
        <v>August</v>
      </c>
      <c r="W90" s="8">
        <f t="shared" si="4"/>
        <v>4724375</v>
      </c>
      <c r="X90">
        <f t="shared" si="5"/>
        <v>1112</v>
      </c>
      <c r="Y90">
        <f t="shared" si="6"/>
        <v>24911.088129496402</v>
      </c>
      <c r="Z90">
        <f t="shared" si="7"/>
        <v>55</v>
      </c>
    </row>
    <row r="91" spans="1:26" x14ac:dyDescent="0.25">
      <c r="A91" s="9" t="s">
        <v>194</v>
      </c>
      <c r="B91" s="10">
        <v>46255</v>
      </c>
      <c r="C91" s="11" t="s">
        <v>124</v>
      </c>
      <c r="D91" s="11" t="s">
        <v>100</v>
      </c>
      <c r="E91" s="11">
        <v>32</v>
      </c>
      <c r="F91" s="11" t="s">
        <v>38</v>
      </c>
      <c r="G91" s="11" t="s">
        <v>78</v>
      </c>
      <c r="H91" s="11" t="s">
        <v>26</v>
      </c>
      <c r="I91" s="11" t="s">
        <v>27</v>
      </c>
      <c r="J91" s="11" t="s">
        <v>28</v>
      </c>
      <c r="K91" s="11" t="s">
        <v>29</v>
      </c>
      <c r="L91" s="11" t="s">
        <v>53</v>
      </c>
      <c r="M91" s="11" t="s">
        <v>79</v>
      </c>
      <c r="N91" s="11">
        <v>1350</v>
      </c>
      <c r="O91" s="11">
        <v>7</v>
      </c>
      <c r="P91" s="17">
        <v>0</v>
      </c>
      <c r="Q91" s="11">
        <v>400</v>
      </c>
      <c r="R91" s="11" t="s">
        <v>32</v>
      </c>
      <c r="S91" s="11" t="s">
        <v>33</v>
      </c>
      <c r="T91" s="11" t="s">
        <v>34</v>
      </c>
      <c r="U91" s="11">
        <v>4</v>
      </c>
      <c r="V91" s="11" t="str">
        <f>TEXT('E-Commerce Sales Data'!$B91,"mmmm")</f>
        <v>August</v>
      </c>
      <c r="W91" s="8">
        <f t="shared" si="4"/>
        <v>4723655</v>
      </c>
      <c r="X91">
        <f t="shared" si="5"/>
        <v>1111</v>
      </c>
      <c r="Y91">
        <f t="shared" si="6"/>
        <v>24930.855085508552</v>
      </c>
      <c r="Z91">
        <f t="shared" si="7"/>
        <v>55</v>
      </c>
    </row>
    <row r="92" spans="1:26" x14ac:dyDescent="0.25">
      <c r="A92" s="5" t="s">
        <v>195</v>
      </c>
      <c r="B92" s="6">
        <v>46262</v>
      </c>
      <c r="C92" s="7" t="s">
        <v>22</v>
      </c>
      <c r="D92" s="7" t="s">
        <v>23</v>
      </c>
      <c r="E92" s="7">
        <v>28</v>
      </c>
      <c r="F92" s="7" t="s">
        <v>24</v>
      </c>
      <c r="G92" s="7" t="s">
        <v>25</v>
      </c>
      <c r="H92" s="7" t="s">
        <v>26</v>
      </c>
      <c r="I92" s="7" t="s">
        <v>27</v>
      </c>
      <c r="J92" s="7" t="s">
        <v>28</v>
      </c>
      <c r="K92" s="7" t="s">
        <v>29</v>
      </c>
      <c r="L92" s="7" t="s">
        <v>30</v>
      </c>
      <c r="M92" s="7" t="s">
        <v>31</v>
      </c>
      <c r="N92" s="7">
        <v>62000</v>
      </c>
      <c r="O92" s="7">
        <v>1</v>
      </c>
      <c r="P92" s="16">
        <v>0.05</v>
      </c>
      <c r="Q92" s="7">
        <v>8100</v>
      </c>
      <c r="R92" s="7" t="s">
        <v>32</v>
      </c>
      <c r="S92" s="7" t="s">
        <v>47</v>
      </c>
      <c r="T92" s="7" t="s">
        <v>34</v>
      </c>
      <c r="U92" s="7">
        <v>5</v>
      </c>
      <c r="V92" s="7" t="str">
        <f>TEXT('E-Commerce Sales Data'!$B92,"mmmm")</f>
        <v>August</v>
      </c>
      <c r="W92" s="8">
        <f t="shared" si="4"/>
        <v>4723255</v>
      </c>
      <c r="X92">
        <f t="shared" si="5"/>
        <v>1110</v>
      </c>
      <c r="Y92">
        <f t="shared" si="6"/>
        <v>24952.099099099098</v>
      </c>
      <c r="Z92">
        <f t="shared" si="7"/>
        <v>55</v>
      </c>
    </row>
    <row r="93" spans="1:26" x14ac:dyDescent="0.25">
      <c r="A93" s="9" t="s">
        <v>196</v>
      </c>
      <c r="B93" s="10">
        <v>46269</v>
      </c>
      <c r="C93" s="11" t="s">
        <v>36</v>
      </c>
      <c r="D93" s="11" t="s">
        <v>37</v>
      </c>
      <c r="E93" s="11">
        <v>34</v>
      </c>
      <c r="F93" s="11" t="s">
        <v>38</v>
      </c>
      <c r="G93" s="11" t="s">
        <v>39</v>
      </c>
      <c r="H93" s="11" t="s">
        <v>40</v>
      </c>
      <c r="I93" s="11" t="s">
        <v>41</v>
      </c>
      <c r="J93" s="11" t="s">
        <v>42</v>
      </c>
      <c r="K93" s="11" t="s">
        <v>43</v>
      </c>
      <c r="L93" s="11" t="s">
        <v>44</v>
      </c>
      <c r="M93" s="11" t="s">
        <v>45</v>
      </c>
      <c r="N93" s="11">
        <v>8200</v>
      </c>
      <c r="O93" s="11">
        <v>3</v>
      </c>
      <c r="P93" s="17">
        <v>0.1</v>
      </c>
      <c r="Q93" s="11">
        <v>1780</v>
      </c>
      <c r="R93" s="11" t="s">
        <v>46</v>
      </c>
      <c r="S93" s="11" t="s">
        <v>33</v>
      </c>
      <c r="T93" s="11" t="s">
        <v>34</v>
      </c>
      <c r="U93" s="11">
        <v>4</v>
      </c>
      <c r="V93" s="11" t="str">
        <f>TEXT('E-Commerce Sales Data'!$B93,"mmmm")</f>
        <v>September</v>
      </c>
      <c r="W93" s="8">
        <f t="shared" si="4"/>
        <v>4715155</v>
      </c>
      <c r="X93">
        <f t="shared" si="5"/>
        <v>1109</v>
      </c>
      <c r="Y93">
        <f t="shared" si="6"/>
        <v>24918.692515779981</v>
      </c>
      <c r="Z93">
        <f t="shared" si="7"/>
        <v>55</v>
      </c>
    </row>
    <row r="94" spans="1:26" x14ac:dyDescent="0.25">
      <c r="A94" s="5" t="s">
        <v>197</v>
      </c>
      <c r="B94" s="6">
        <v>46276</v>
      </c>
      <c r="C94" s="7" t="s">
        <v>49</v>
      </c>
      <c r="D94" s="7" t="s">
        <v>50</v>
      </c>
      <c r="E94" s="7">
        <v>41</v>
      </c>
      <c r="F94" s="7" t="s">
        <v>24</v>
      </c>
      <c r="G94" s="7" t="s">
        <v>51</v>
      </c>
      <c r="H94" s="7" t="s">
        <v>51</v>
      </c>
      <c r="I94" s="7" t="s">
        <v>52</v>
      </c>
      <c r="J94" s="7" t="s">
        <v>28</v>
      </c>
      <c r="K94" s="7" t="s">
        <v>29</v>
      </c>
      <c r="L94" s="7" t="s">
        <v>53</v>
      </c>
      <c r="M94" s="7" t="s">
        <v>54</v>
      </c>
      <c r="N94" s="7">
        <v>17900</v>
      </c>
      <c r="O94" s="7">
        <v>2</v>
      </c>
      <c r="P94" s="16">
        <v>0.05</v>
      </c>
      <c r="Q94" s="7">
        <v>3100</v>
      </c>
      <c r="R94" s="7" t="s">
        <v>55</v>
      </c>
      <c r="S94" s="7" t="s">
        <v>33</v>
      </c>
      <c r="T94" s="7" t="s">
        <v>34</v>
      </c>
      <c r="U94" s="7">
        <v>4</v>
      </c>
      <c r="V94" s="7" t="str">
        <f>TEXT('E-Commerce Sales Data'!$B94,"mmmm")</f>
        <v>September</v>
      </c>
      <c r="W94" s="8">
        <f t="shared" si="4"/>
        <v>4713375</v>
      </c>
      <c r="X94">
        <f t="shared" si="5"/>
        <v>1108</v>
      </c>
      <c r="Y94">
        <f t="shared" si="6"/>
        <v>24933.781588447655</v>
      </c>
      <c r="Z94">
        <f t="shared" si="7"/>
        <v>55</v>
      </c>
    </row>
    <row r="95" spans="1:26" x14ac:dyDescent="0.25">
      <c r="A95" s="9" t="s">
        <v>198</v>
      </c>
      <c r="B95" s="10">
        <v>46283</v>
      </c>
      <c r="C95" s="11" t="s">
        <v>57</v>
      </c>
      <c r="D95" s="11" t="s">
        <v>58</v>
      </c>
      <c r="E95" s="11">
        <v>26</v>
      </c>
      <c r="F95" s="11" t="s">
        <v>38</v>
      </c>
      <c r="G95" s="11" t="s">
        <v>59</v>
      </c>
      <c r="H95" s="11" t="s">
        <v>26</v>
      </c>
      <c r="I95" s="11" t="s">
        <v>27</v>
      </c>
      <c r="J95" s="11" t="s">
        <v>28</v>
      </c>
      <c r="K95" s="11" t="s">
        <v>60</v>
      </c>
      <c r="L95" s="11" t="s">
        <v>61</v>
      </c>
      <c r="M95" s="11" t="s">
        <v>86</v>
      </c>
      <c r="N95" s="11">
        <v>490</v>
      </c>
      <c r="O95" s="11">
        <v>18</v>
      </c>
      <c r="P95" s="17">
        <v>0.02</v>
      </c>
      <c r="Q95" s="11">
        <v>125</v>
      </c>
      <c r="R95" s="11" t="s">
        <v>32</v>
      </c>
      <c r="S95" s="11" t="s">
        <v>33</v>
      </c>
      <c r="T95" s="11" t="s">
        <v>34</v>
      </c>
      <c r="U95" s="11">
        <v>5</v>
      </c>
      <c r="V95" s="11" t="str">
        <f>TEXT('E-Commerce Sales Data'!$B95,"mmmm")</f>
        <v>September</v>
      </c>
      <c r="W95" s="8">
        <f t="shared" si="4"/>
        <v>4710275</v>
      </c>
      <c r="X95">
        <f t="shared" si="5"/>
        <v>1107</v>
      </c>
      <c r="Y95">
        <f t="shared" si="6"/>
        <v>24940.135501355013</v>
      </c>
      <c r="Z95">
        <f t="shared" si="7"/>
        <v>55</v>
      </c>
    </row>
    <row r="96" spans="1:26" x14ac:dyDescent="0.25">
      <c r="A96" s="5" t="s">
        <v>199</v>
      </c>
      <c r="B96" s="6">
        <v>46290</v>
      </c>
      <c r="C96" s="7" t="s">
        <v>64</v>
      </c>
      <c r="D96" s="7" t="s">
        <v>65</v>
      </c>
      <c r="E96" s="7">
        <v>39</v>
      </c>
      <c r="F96" s="7" t="s">
        <v>24</v>
      </c>
      <c r="G96" s="7" t="s">
        <v>66</v>
      </c>
      <c r="H96" s="7" t="s">
        <v>67</v>
      </c>
      <c r="I96" s="7" t="s">
        <v>27</v>
      </c>
      <c r="J96" s="7" t="s">
        <v>42</v>
      </c>
      <c r="K96" s="7" t="s">
        <v>43</v>
      </c>
      <c r="L96" s="7" t="s">
        <v>68</v>
      </c>
      <c r="M96" s="7" t="s">
        <v>69</v>
      </c>
      <c r="N96" s="7">
        <v>16800</v>
      </c>
      <c r="O96" s="7">
        <v>2</v>
      </c>
      <c r="P96" s="16">
        <v>0.08</v>
      </c>
      <c r="Q96" s="7">
        <v>2850</v>
      </c>
      <c r="R96" s="7" t="s">
        <v>46</v>
      </c>
      <c r="S96" s="7" t="s">
        <v>47</v>
      </c>
      <c r="T96" s="7" t="s">
        <v>34</v>
      </c>
      <c r="U96" s="7">
        <v>4</v>
      </c>
      <c r="V96" s="7" t="str">
        <f>TEXT('E-Commerce Sales Data'!$B96,"mmmm")</f>
        <v>September</v>
      </c>
      <c r="W96" s="8">
        <f t="shared" si="4"/>
        <v>4710150</v>
      </c>
      <c r="X96">
        <f t="shared" si="5"/>
        <v>1106</v>
      </c>
      <c r="Y96">
        <f t="shared" si="6"/>
        <v>24962.242314647377</v>
      </c>
      <c r="Z96">
        <f t="shared" si="7"/>
        <v>55</v>
      </c>
    </row>
    <row r="97" spans="1:26" x14ac:dyDescent="0.25">
      <c r="A97" s="9" t="s">
        <v>200</v>
      </c>
      <c r="B97" s="10">
        <v>46297</v>
      </c>
      <c r="C97" s="11" t="s">
        <v>71</v>
      </c>
      <c r="D97" s="11" t="s">
        <v>72</v>
      </c>
      <c r="E97" s="11">
        <v>31</v>
      </c>
      <c r="F97" s="11" t="s">
        <v>38</v>
      </c>
      <c r="G97" s="11" t="s">
        <v>73</v>
      </c>
      <c r="H97" s="11" t="s">
        <v>74</v>
      </c>
      <c r="I97" s="11" t="s">
        <v>41</v>
      </c>
      <c r="J97" s="11" t="s">
        <v>28</v>
      </c>
      <c r="K97" s="11" t="s">
        <v>29</v>
      </c>
      <c r="L97" s="11" t="s">
        <v>53</v>
      </c>
      <c r="M97" s="11" t="s">
        <v>75</v>
      </c>
      <c r="N97" s="11">
        <v>2650</v>
      </c>
      <c r="O97" s="11">
        <v>3</v>
      </c>
      <c r="P97" s="17">
        <v>0.05</v>
      </c>
      <c r="Q97" s="11">
        <v>630</v>
      </c>
      <c r="R97" s="11" t="s">
        <v>32</v>
      </c>
      <c r="S97" s="11" t="s">
        <v>33</v>
      </c>
      <c r="T97" s="11" t="s">
        <v>34</v>
      </c>
      <c r="U97" s="11">
        <v>4</v>
      </c>
      <c r="V97" s="11" t="str">
        <f>TEXT('E-Commerce Sales Data'!$B97,"mmmm")</f>
        <v>October</v>
      </c>
      <c r="W97" s="8">
        <f t="shared" si="4"/>
        <v>4707300</v>
      </c>
      <c r="X97">
        <f t="shared" si="5"/>
        <v>1105</v>
      </c>
      <c r="Y97">
        <f t="shared" si="6"/>
        <v>24969.628959276019</v>
      </c>
      <c r="Z97">
        <f t="shared" si="7"/>
        <v>55</v>
      </c>
    </row>
    <row r="98" spans="1:26" x14ac:dyDescent="0.25">
      <c r="A98" s="5" t="s">
        <v>201</v>
      </c>
      <c r="B98" s="6">
        <v>46304</v>
      </c>
      <c r="C98" s="7" t="s">
        <v>77</v>
      </c>
      <c r="D98" s="7" t="s">
        <v>23</v>
      </c>
      <c r="E98" s="7">
        <v>29</v>
      </c>
      <c r="F98" s="7" t="s">
        <v>24</v>
      </c>
      <c r="G98" s="7" t="s">
        <v>78</v>
      </c>
      <c r="H98" s="7" t="s">
        <v>26</v>
      </c>
      <c r="I98" s="7" t="s">
        <v>27</v>
      </c>
      <c r="J98" s="7" t="s">
        <v>28</v>
      </c>
      <c r="K98" s="7" t="s">
        <v>29</v>
      </c>
      <c r="L98" s="7" t="s">
        <v>53</v>
      </c>
      <c r="M98" s="7" t="s">
        <v>79</v>
      </c>
      <c r="N98" s="7">
        <v>1450</v>
      </c>
      <c r="O98" s="7">
        <v>6</v>
      </c>
      <c r="P98" s="16">
        <v>0</v>
      </c>
      <c r="Q98" s="7">
        <v>420</v>
      </c>
      <c r="R98" s="7" t="s">
        <v>80</v>
      </c>
      <c r="S98" s="7" t="s">
        <v>33</v>
      </c>
      <c r="T98" s="7" t="s">
        <v>34</v>
      </c>
      <c r="U98" s="7">
        <v>3</v>
      </c>
      <c r="V98" s="7" t="str">
        <f>TEXT('E-Commerce Sales Data'!$B98,"mmmm")</f>
        <v>October</v>
      </c>
      <c r="W98" s="8">
        <f t="shared" si="4"/>
        <v>4706670</v>
      </c>
      <c r="X98">
        <f t="shared" si="5"/>
        <v>1104</v>
      </c>
      <c r="Y98">
        <f t="shared" si="6"/>
        <v>24989.846014492752</v>
      </c>
      <c r="Z98">
        <f t="shared" si="7"/>
        <v>55</v>
      </c>
    </row>
    <row r="99" spans="1:26" x14ac:dyDescent="0.25">
      <c r="A99" s="9" t="s">
        <v>202</v>
      </c>
      <c r="B99" s="10">
        <v>46311</v>
      </c>
      <c r="C99" s="11" t="s">
        <v>82</v>
      </c>
      <c r="D99" s="11" t="s">
        <v>83</v>
      </c>
      <c r="E99" s="11">
        <v>37</v>
      </c>
      <c r="F99" s="11" t="s">
        <v>38</v>
      </c>
      <c r="G99" s="11" t="s">
        <v>84</v>
      </c>
      <c r="H99" s="11" t="s">
        <v>85</v>
      </c>
      <c r="I99" s="11" t="s">
        <v>52</v>
      </c>
      <c r="J99" s="11" t="s">
        <v>42</v>
      </c>
      <c r="K99" s="11" t="s">
        <v>60</v>
      </c>
      <c r="L99" s="11" t="s">
        <v>61</v>
      </c>
      <c r="M99" s="11" t="s">
        <v>62</v>
      </c>
      <c r="N99" s="11">
        <v>3500</v>
      </c>
      <c r="O99" s="11">
        <v>10</v>
      </c>
      <c r="P99" s="17">
        <v>0.02</v>
      </c>
      <c r="Q99" s="11">
        <v>960</v>
      </c>
      <c r="R99" s="11" t="s">
        <v>32</v>
      </c>
      <c r="S99" s="11" t="s">
        <v>33</v>
      </c>
      <c r="T99" s="11" t="s">
        <v>34</v>
      </c>
      <c r="U99" s="11">
        <v>5</v>
      </c>
      <c r="V99" s="11" t="str">
        <f>TEXT('E-Commerce Sales Data'!$B99,"mmmm")</f>
        <v>October</v>
      </c>
      <c r="W99" s="8">
        <f t="shared" si="4"/>
        <v>4706250</v>
      </c>
      <c r="X99">
        <f t="shared" si="5"/>
        <v>1103</v>
      </c>
      <c r="Y99">
        <f t="shared" si="6"/>
        <v>25011.187669990934</v>
      </c>
      <c r="Z99">
        <f t="shared" si="7"/>
        <v>55</v>
      </c>
    </row>
    <row r="100" spans="1:26" x14ac:dyDescent="0.25">
      <c r="A100" s="5" t="s">
        <v>203</v>
      </c>
      <c r="B100" s="6">
        <v>46318</v>
      </c>
      <c r="C100" s="7" t="s">
        <v>88</v>
      </c>
      <c r="D100" s="7" t="s">
        <v>37</v>
      </c>
      <c r="E100" s="7">
        <v>45</v>
      </c>
      <c r="F100" s="7" t="s">
        <v>24</v>
      </c>
      <c r="G100" s="7" t="s">
        <v>89</v>
      </c>
      <c r="H100" s="7" t="s">
        <v>90</v>
      </c>
      <c r="I100" s="7" t="s">
        <v>91</v>
      </c>
      <c r="J100" s="7" t="s">
        <v>42</v>
      </c>
      <c r="K100" s="7" t="s">
        <v>43</v>
      </c>
      <c r="L100" s="7" t="s">
        <v>92</v>
      </c>
      <c r="M100" s="7" t="s">
        <v>93</v>
      </c>
      <c r="N100" s="7">
        <v>13100</v>
      </c>
      <c r="O100" s="7">
        <v>1</v>
      </c>
      <c r="P100" s="16">
        <v>0.1</v>
      </c>
      <c r="Q100" s="7">
        <v>2190</v>
      </c>
      <c r="R100" s="7" t="s">
        <v>46</v>
      </c>
      <c r="S100" s="7" t="s">
        <v>47</v>
      </c>
      <c r="T100" s="7" t="s">
        <v>34</v>
      </c>
      <c r="U100" s="7">
        <v>4</v>
      </c>
      <c r="V100" s="7" t="str">
        <f>TEXT('E-Commerce Sales Data'!$B100,"mmmm")</f>
        <v>October</v>
      </c>
      <c r="W100" s="8">
        <f t="shared" si="4"/>
        <v>4705290</v>
      </c>
      <c r="X100">
        <f t="shared" si="5"/>
        <v>1102</v>
      </c>
      <c r="Y100">
        <f t="shared" si="6"/>
        <v>25030.70780399274</v>
      </c>
      <c r="Z100">
        <f t="shared" si="7"/>
        <v>55</v>
      </c>
    </row>
    <row r="101" spans="1:26" x14ac:dyDescent="0.25">
      <c r="A101" s="9" t="s">
        <v>204</v>
      </c>
      <c r="B101" s="10">
        <v>46325</v>
      </c>
      <c r="C101" s="11" t="s">
        <v>95</v>
      </c>
      <c r="D101" s="11" t="s">
        <v>65</v>
      </c>
      <c r="E101" s="11">
        <v>25</v>
      </c>
      <c r="F101" s="11" t="s">
        <v>38</v>
      </c>
      <c r="G101" s="11" t="s">
        <v>25</v>
      </c>
      <c r="H101" s="11" t="s">
        <v>26</v>
      </c>
      <c r="I101" s="11" t="s">
        <v>27</v>
      </c>
      <c r="J101" s="11" t="s">
        <v>28</v>
      </c>
      <c r="K101" s="11" t="s">
        <v>29</v>
      </c>
      <c r="L101" s="11" t="s">
        <v>96</v>
      </c>
      <c r="M101" s="11" t="s">
        <v>97</v>
      </c>
      <c r="N101" s="11">
        <v>15000</v>
      </c>
      <c r="O101" s="11">
        <v>2</v>
      </c>
      <c r="P101" s="17">
        <v>0.05</v>
      </c>
      <c r="Q101" s="11">
        <v>2800</v>
      </c>
      <c r="R101" s="11" t="s">
        <v>32</v>
      </c>
      <c r="S101" s="11" t="s">
        <v>33</v>
      </c>
      <c r="T101" s="11" t="s">
        <v>34</v>
      </c>
      <c r="U101" s="11">
        <v>4</v>
      </c>
      <c r="V101" s="11" t="str">
        <f>TEXT('E-Commerce Sales Data'!$B101,"mmmm")</f>
        <v>October</v>
      </c>
      <c r="W101" s="8">
        <f t="shared" si="4"/>
        <v>4703100</v>
      </c>
      <c r="X101">
        <f t="shared" si="5"/>
        <v>1101</v>
      </c>
      <c r="Y101">
        <f t="shared" si="6"/>
        <v>25041.544050862853</v>
      </c>
      <c r="Z101">
        <f t="shared" si="7"/>
        <v>55</v>
      </c>
    </row>
    <row r="102" spans="1:26" x14ac:dyDescent="0.25">
      <c r="A102" s="5" t="s">
        <v>205</v>
      </c>
      <c r="B102" s="6">
        <v>46332</v>
      </c>
      <c r="C102" s="7" t="s">
        <v>22</v>
      </c>
      <c r="D102" s="7" t="s">
        <v>23</v>
      </c>
      <c r="E102" s="7">
        <v>28</v>
      </c>
      <c r="F102" s="7" t="s">
        <v>24</v>
      </c>
      <c r="G102" s="7" t="s">
        <v>25</v>
      </c>
      <c r="H102" s="7" t="s">
        <v>26</v>
      </c>
      <c r="I102" s="7" t="s">
        <v>27</v>
      </c>
      <c r="J102" s="7" t="s">
        <v>28</v>
      </c>
      <c r="K102" s="7" t="s">
        <v>29</v>
      </c>
      <c r="L102" s="7" t="s">
        <v>30</v>
      </c>
      <c r="M102" s="7" t="s">
        <v>31</v>
      </c>
      <c r="N102" s="7">
        <v>57500</v>
      </c>
      <c r="O102" s="7">
        <v>1</v>
      </c>
      <c r="P102" s="16">
        <v>0.05</v>
      </c>
      <c r="Q102" s="7">
        <v>7200</v>
      </c>
      <c r="R102" s="7" t="s">
        <v>32</v>
      </c>
      <c r="S102" s="7" t="s">
        <v>47</v>
      </c>
      <c r="T102" s="7" t="s">
        <v>34</v>
      </c>
      <c r="U102" s="7">
        <v>5</v>
      </c>
      <c r="V102" s="7" t="str">
        <f>TEXT('E-Commerce Sales Data'!$B102,"mmmm")</f>
        <v>November</v>
      </c>
      <c r="W102" s="8">
        <f t="shared" si="4"/>
        <v>4700300</v>
      </c>
      <c r="X102">
        <f t="shared" si="5"/>
        <v>1100</v>
      </c>
      <c r="Y102">
        <f t="shared" si="6"/>
        <v>25050.672727272726</v>
      </c>
      <c r="Z102">
        <f t="shared" si="7"/>
        <v>55</v>
      </c>
    </row>
    <row r="103" spans="1:26" x14ac:dyDescent="0.25">
      <c r="A103" s="9" t="s">
        <v>206</v>
      </c>
      <c r="B103" s="10">
        <v>46339</v>
      </c>
      <c r="C103" s="11" t="s">
        <v>36</v>
      </c>
      <c r="D103" s="11" t="s">
        <v>37</v>
      </c>
      <c r="E103" s="11">
        <v>34</v>
      </c>
      <c r="F103" s="11" t="s">
        <v>38</v>
      </c>
      <c r="G103" s="11" t="s">
        <v>39</v>
      </c>
      <c r="H103" s="11" t="s">
        <v>40</v>
      </c>
      <c r="I103" s="11" t="s">
        <v>41</v>
      </c>
      <c r="J103" s="11" t="s">
        <v>42</v>
      </c>
      <c r="K103" s="11" t="s">
        <v>43</v>
      </c>
      <c r="L103" s="11" t="s">
        <v>44</v>
      </c>
      <c r="M103" s="11" t="s">
        <v>45</v>
      </c>
      <c r="N103" s="11">
        <v>8600</v>
      </c>
      <c r="O103" s="11">
        <v>3</v>
      </c>
      <c r="P103" s="17">
        <v>0.1</v>
      </c>
      <c r="Q103" s="11">
        <v>1750</v>
      </c>
      <c r="R103" s="11" t="s">
        <v>46</v>
      </c>
      <c r="S103" s="11" t="s">
        <v>33</v>
      </c>
      <c r="T103" s="11" t="s">
        <v>34</v>
      </c>
      <c r="U103" s="11">
        <v>4</v>
      </c>
      <c r="V103" s="11" t="str">
        <f>TEXT('E-Commerce Sales Data'!$B103,"mmmm")</f>
        <v>November</v>
      </c>
      <c r="W103" s="8">
        <f t="shared" si="4"/>
        <v>4693100</v>
      </c>
      <c r="X103">
        <f t="shared" si="5"/>
        <v>1099</v>
      </c>
      <c r="Y103">
        <f t="shared" si="6"/>
        <v>25021.146496815287</v>
      </c>
      <c r="Z103">
        <f t="shared" si="7"/>
        <v>55</v>
      </c>
    </row>
    <row r="104" spans="1:26" x14ac:dyDescent="0.25">
      <c r="A104" s="5" t="s">
        <v>207</v>
      </c>
      <c r="B104" s="6">
        <v>46346</v>
      </c>
      <c r="C104" s="7" t="s">
        <v>49</v>
      </c>
      <c r="D104" s="7" t="s">
        <v>50</v>
      </c>
      <c r="E104" s="7">
        <v>41</v>
      </c>
      <c r="F104" s="7" t="s">
        <v>24</v>
      </c>
      <c r="G104" s="7" t="s">
        <v>51</v>
      </c>
      <c r="H104" s="7" t="s">
        <v>51</v>
      </c>
      <c r="I104" s="7" t="s">
        <v>52</v>
      </c>
      <c r="J104" s="7" t="s">
        <v>28</v>
      </c>
      <c r="K104" s="7" t="s">
        <v>29</v>
      </c>
      <c r="L104" s="7" t="s">
        <v>53</v>
      </c>
      <c r="M104" s="7" t="s">
        <v>54</v>
      </c>
      <c r="N104" s="7">
        <v>18100</v>
      </c>
      <c r="O104" s="7">
        <v>2</v>
      </c>
      <c r="P104" s="16">
        <v>0.05</v>
      </c>
      <c r="Q104" s="7">
        <v>3150</v>
      </c>
      <c r="R104" s="7" t="s">
        <v>55</v>
      </c>
      <c r="S104" s="7" t="s">
        <v>33</v>
      </c>
      <c r="T104" s="7" t="s">
        <v>34</v>
      </c>
      <c r="U104" s="7">
        <v>4</v>
      </c>
      <c r="V104" s="7" t="str">
        <f>TEXT('E-Commerce Sales Data'!$B104,"mmmm")</f>
        <v>November</v>
      </c>
      <c r="W104" s="8">
        <f t="shared" si="4"/>
        <v>4691350</v>
      </c>
      <c r="X104">
        <f t="shared" si="5"/>
        <v>1098</v>
      </c>
      <c r="Y104">
        <f t="shared" si="6"/>
        <v>25036.102003642987</v>
      </c>
      <c r="Z104">
        <f t="shared" si="7"/>
        <v>55</v>
      </c>
    </row>
    <row r="105" spans="1:26" x14ac:dyDescent="0.25">
      <c r="A105" s="9" t="s">
        <v>208</v>
      </c>
      <c r="B105" s="10">
        <v>46353</v>
      </c>
      <c r="C105" s="11" t="s">
        <v>57</v>
      </c>
      <c r="D105" s="11" t="s">
        <v>58</v>
      </c>
      <c r="E105" s="11">
        <v>26</v>
      </c>
      <c r="F105" s="11" t="s">
        <v>38</v>
      </c>
      <c r="G105" s="11" t="s">
        <v>59</v>
      </c>
      <c r="H105" s="11" t="s">
        <v>26</v>
      </c>
      <c r="I105" s="11" t="s">
        <v>27</v>
      </c>
      <c r="J105" s="11" t="s">
        <v>28</v>
      </c>
      <c r="K105" s="11" t="s">
        <v>60</v>
      </c>
      <c r="L105" s="11" t="s">
        <v>61</v>
      </c>
      <c r="M105" s="11" t="s">
        <v>86</v>
      </c>
      <c r="N105" s="11">
        <v>530</v>
      </c>
      <c r="O105" s="11">
        <v>20</v>
      </c>
      <c r="P105" s="17">
        <v>0.02</v>
      </c>
      <c r="Q105" s="11">
        <v>145</v>
      </c>
      <c r="R105" s="11" t="s">
        <v>32</v>
      </c>
      <c r="S105" s="11" t="s">
        <v>33</v>
      </c>
      <c r="T105" s="11" t="s">
        <v>34</v>
      </c>
      <c r="U105" s="11">
        <v>5</v>
      </c>
      <c r="V105" s="11" t="str">
        <f>TEXT('E-Commerce Sales Data'!$B105,"mmmm")</f>
        <v>November</v>
      </c>
      <c r="W105" s="8">
        <f t="shared" si="4"/>
        <v>4688200</v>
      </c>
      <c r="X105">
        <f t="shared" si="5"/>
        <v>1097</v>
      </c>
      <c r="Y105">
        <f t="shared" si="6"/>
        <v>25042.424794895167</v>
      </c>
      <c r="Z105">
        <f t="shared" si="7"/>
        <v>55</v>
      </c>
    </row>
    <row r="106" spans="1:26" x14ac:dyDescent="0.25">
      <c r="A106" s="5" t="s">
        <v>209</v>
      </c>
      <c r="B106" s="6">
        <v>46360</v>
      </c>
      <c r="C106" s="7" t="s">
        <v>64</v>
      </c>
      <c r="D106" s="7" t="s">
        <v>65</v>
      </c>
      <c r="E106" s="7">
        <v>39</v>
      </c>
      <c r="F106" s="7" t="s">
        <v>24</v>
      </c>
      <c r="G106" s="7" t="s">
        <v>66</v>
      </c>
      <c r="H106" s="7" t="s">
        <v>67</v>
      </c>
      <c r="I106" s="7" t="s">
        <v>27</v>
      </c>
      <c r="J106" s="7" t="s">
        <v>42</v>
      </c>
      <c r="K106" s="7" t="s">
        <v>43</v>
      </c>
      <c r="L106" s="7" t="s">
        <v>68</v>
      </c>
      <c r="M106" s="7" t="s">
        <v>69</v>
      </c>
      <c r="N106" s="7">
        <v>15900</v>
      </c>
      <c r="O106" s="7">
        <v>2</v>
      </c>
      <c r="P106" s="16">
        <v>0.08</v>
      </c>
      <c r="Q106" s="7">
        <v>2680</v>
      </c>
      <c r="R106" s="7" t="s">
        <v>46</v>
      </c>
      <c r="S106" s="7" t="s">
        <v>47</v>
      </c>
      <c r="T106" s="7" t="s">
        <v>34</v>
      </c>
      <c r="U106" s="7">
        <v>4</v>
      </c>
      <c r="V106" s="7" t="str">
        <f>TEXT('E-Commerce Sales Data'!$B106,"mmmm")</f>
        <v>December</v>
      </c>
      <c r="W106" s="8">
        <f t="shared" si="4"/>
        <v>4688055</v>
      </c>
      <c r="X106">
        <f t="shared" si="5"/>
        <v>1096</v>
      </c>
      <c r="Y106">
        <f t="shared" si="6"/>
        <v>25064.7901459854</v>
      </c>
      <c r="Z106">
        <f t="shared" si="7"/>
        <v>55</v>
      </c>
    </row>
    <row r="107" spans="1:26" x14ac:dyDescent="0.25">
      <c r="A107" s="9" t="s">
        <v>210</v>
      </c>
      <c r="B107" s="10">
        <v>46367</v>
      </c>
      <c r="C107" s="11" t="s">
        <v>71</v>
      </c>
      <c r="D107" s="11" t="s">
        <v>72</v>
      </c>
      <c r="E107" s="11">
        <v>31</v>
      </c>
      <c r="F107" s="11" t="s">
        <v>38</v>
      </c>
      <c r="G107" s="11" t="s">
        <v>73</v>
      </c>
      <c r="H107" s="11" t="s">
        <v>74</v>
      </c>
      <c r="I107" s="11" t="s">
        <v>41</v>
      </c>
      <c r="J107" s="11" t="s">
        <v>28</v>
      </c>
      <c r="K107" s="11" t="s">
        <v>29</v>
      </c>
      <c r="L107" s="11" t="s">
        <v>53</v>
      </c>
      <c r="M107" s="11" t="s">
        <v>75</v>
      </c>
      <c r="N107" s="11">
        <v>2750</v>
      </c>
      <c r="O107" s="11">
        <v>3</v>
      </c>
      <c r="P107" s="17">
        <v>0.05</v>
      </c>
      <c r="Q107" s="11">
        <v>660</v>
      </c>
      <c r="R107" s="11" t="s">
        <v>32</v>
      </c>
      <c r="S107" s="11" t="s">
        <v>33</v>
      </c>
      <c r="T107" s="11" t="s">
        <v>34</v>
      </c>
      <c r="U107" s="11">
        <v>4</v>
      </c>
      <c r="V107" s="11" t="str">
        <f>TEXT('E-Commerce Sales Data'!$B107,"mmmm")</f>
        <v>December</v>
      </c>
      <c r="W107" s="8">
        <f t="shared" si="4"/>
        <v>4685375</v>
      </c>
      <c r="X107">
        <f t="shared" si="5"/>
        <v>1095</v>
      </c>
      <c r="Y107">
        <f t="shared" si="6"/>
        <v>25073.159817351599</v>
      </c>
      <c r="Z107">
        <f t="shared" si="7"/>
        <v>55</v>
      </c>
    </row>
    <row r="108" spans="1:26" x14ac:dyDescent="0.25">
      <c r="A108" s="5" t="s">
        <v>211</v>
      </c>
      <c r="B108" s="6">
        <v>46374</v>
      </c>
      <c r="C108" s="7" t="s">
        <v>77</v>
      </c>
      <c r="D108" s="7" t="s">
        <v>23</v>
      </c>
      <c r="E108" s="7">
        <v>29</v>
      </c>
      <c r="F108" s="7" t="s">
        <v>24</v>
      </c>
      <c r="G108" s="7" t="s">
        <v>78</v>
      </c>
      <c r="H108" s="7" t="s">
        <v>26</v>
      </c>
      <c r="I108" s="7" t="s">
        <v>27</v>
      </c>
      <c r="J108" s="7" t="s">
        <v>28</v>
      </c>
      <c r="K108" s="7" t="s">
        <v>29</v>
      </c>
      <c r="L108" s="7" t="s">
        <v>53</v>
      </c>
      <c r="M108" s="7" t="s">
        <v>79</v>
      </c>
      <c r="N108" s="7">
        <v>1220</v>
      </c>
      <c r="O108" s="7">
        <v>5</v>
      </c>
      <c r="P108" s="16">
        <v>0</v>
      </c>
      <c r="Q108" s="7">
        <v>340</v>
      </c>
      <c r="R108" s="7" t="s">
        <v>80</v>
      </c>
      <c r="S108" s="7" t="s">
        <v>33</v>
      </c>
      <c r="T108" s="7" t="s">
        <v>34</v>
      </c>
      <c r="U108" s="7">
        <v>3</v>
      </c>
      <c r="V108" s="7" t="str">
        <f>TEXT('E-Commerce Sales Data'!$B108,"mmmm")</f>
        <v>December</v>
      </c>
      <c r="W108" s="8">
        <f t="shared" si="4"/>
        <v>4684715</v>
      </c>
      <c r="X108">
        <f t="shared" si="5"/>
        <v>1094</v>
      </c>
      <c r="Y108">
        <f t="shared" si="6"/>
        <v>25093.564899451554</v>
      </c>
      <c r="Z108">
        <f t="shared" si="7"/>
        <v>55</v>
      </c>
    </row>
    <row r="109" spans="1:26" x14ac:dyDescent="0.25">
      <c r="A109" s="9" t="s">
        <v>212</v>
      </c>
      <c r="B109" s="10">
        <v>46381</v>
      </c>
      <c r="C109" s="11" t="s">
        <v>82</v>
      </c>
      <c r="D109" s="11" t="s">
        <v>83</v>
      </c>
      <c r="E109" s="11">
        <v>37</v>
      </c>
      <c r="F109" s="11" t="s">
        <v>38</v>
      </c>
      <c r="G109" s="11" t="s">
        <v>84</v>
      </c>
      <c r="H109" s="11" t="s">
        <v>85</v>
      </c>
      <c r="I109" s="11" t="s">
        <v>52</v>
      </c>
      <c r="J109" s="11" t="s">
        <v>42</v>
      </c>
      <c r="K109" s="11" t="s">
        <v>60</v>
      </c>
      <c r="L109" s="11" t="s">
        <v>61</v>
      </c>
      <c r="M109" s="11" t="s">
        <v>62</v>
      </c>
      <c r="N109" s="11">
        <v>3650</v>
      </c>
      <c r="O109" s="11">
        <v>10</v>
      </c>
      <c r="P109" s="17">
        <v>0.02</v>
      </c>
      <c r="Q109" s="11">
        <v>990</v>
      </c>
      <c r="R109" s="11" t="s">
        <v>32</v>
      </c>
      <c r="S109" s="11" t="s">
        <v>33</v>
      </c>
      <c r="T109" s="11" t="s">
        <v>34</v>
      </c>
      <c r="U109" s="11">
        <v>5</v>
      </c>
      <c r="V109" s="11" t="str">
        <f>TEXT('E-Commerce Sales Data'!$B109,"mmmm")</f>
        <v>December</v>
      </c>
      <c r="W109" s="8">
        <f t="shared" si="4"/>
        <v>4684375</v>
      </c>
      <c r="X109">
        <f t="shared" si="5"/>
        <v>1093</v>
      </c>
      <c r="Y109">
        <f t="shared" si="6"/>
        <v>25115.40713632205</v>
      </c>
      <c r="Z109">
        <f t="shared" si="7"/>
        <v>55</v>
      </c>
    </row>
    <row r="110" spans="1:26" x14ac:dyDescent="0.25">
      <c r="A110" s="5" t="s">
        <v>213</v>
      </c>
      <c r="B110" s="6">
        <v>46388</v>
      </c>
      <c r="C110" s="7" t="s">
        <v>88</v>
      </c>
      <c r="D110" s="7" t="s">
        <v>37</v>
      </c>
      <c r="E110" s="7">
        <v>45</v>
      </c>
      <c r="F110" s="7" t="s">
        <v>24</v>
      </c>
      <c r="G110" s="7" t="s">
        <v>89</v>
      </c>
      <c r="H110" s="7" t="s">
        <v>90</v>
      </c>
      <c r="I110" s="7" t="s">
        <v>91</v>
      </c>
      <c r="J110" s="7" t="s">
        <v>42</v>
      </c>
      <c r="K110" s="7" t="s">
        <v>43</v>
      </c>
      <c r="L110" s="7" t="s">
        <v>92</v>
      </c>
      <c r="M110" s="7" t="s">
        <v>93</v>
      </c>
      <c r="N110" s="7">
        <v>12700</v>
      </c>
      <c r="O110" s="7">
        <v>1</v>
      </c>
      <c r="P110" s="16">
        <v>0.1</v>
      </c>
      <c r="Q110" s="7">
        <v>2140</v>
      </c>
      <c r="R110" s="7" t="s">
        <v>46</v>
      </c>
      <c r="S110" s="7" t="s">
        <v>47</v>
      </c>
      <c r="T110" s="7" t="s">
        <v>34</v>
      </c>
      <c r="U110" s="7">
        <v>4</v>
      </c>
      <c r="V110" s="7" t="str">
        <f>TEXT('E-Commerce Sales Data'!$B110,"mmmm")</f>
        <v>January</v>
      </c>
      <c r="W110" s="8">
        <f t="shared" si="4"/>
        <v>4683385</v>
      </c>
      <c r="X110">
        <f t="shared" si="5"/>
        <v>1092</v>
      </c>
      <c r="Y110">
        <f t="shared" si="6"/>
        <v>25135.064102564102</v>
      </c>
      <c r="Z110">
        <f t="shared" si="7"/>
        <v>55</v>
      </c>
    </row>
    <row r="111" spans="1:26" x14ac:dyDescent="0.25">
      <c r="A111" s="9" t="s">
        <v>214</v>
      </c>
      <c r="B111" s="10">
        <v>46395</v>
      </c>
      <c r="C111" s="11" t="s">
        <v>95</v>
      </c>
      <c r="D111" s="11" t="s">
        <v>65</v>
      </c>
      <c r="E111" s="11">
        <v>25</v>
      </c>
      <c r="F111" s="11" t="s">
        <v>38</v>
      </c>
      <c r="G111" s="11" t="s">
        <v>25</v>
      </c>
      <c r="H111" s="11" t="s">
        <v>26</v>
      </c>
      <c r="I111" s="11" t="s">
        <v>27</v>
      </c>
      <c r="J111" s="11" t="s">
        <v>28</v>
      </c>
      <c r="K111" s="11" t="s">
        <v>29</v>
      </c>
      <c r="L111" s="11" t="s">
        <v>96</v>
      </c>
      <c r="M111" s="11" t="s">
        <v>97</v>
      </c>
      <c r="N111" s="11">
        <v>14700</v>
      </c>
      <c r="O111" s="11">
        <v>2</v>
      </c>
      <c r="P111" s="17">
        <v>0.05</v>
      </c>
      <c r="Q111" s="11">
        <v>2720</v>
      </c>
      <c r="R111" s="11" t="s">
        <v>32</v>
      </c>
      <c r="S111" s="11" t="s">
        <v>33</v>
      </c>
      <c r="T111" s="11" t="s">
        <v>34</v>
      </c>
      <c r="U111" s="11">
        <v>4</v>
      </c>
      <c r="V111" s="11" t="str">
        <f>TEXT('E-Commerce Sales Data'!$B111,"mmmm")</f>
        <v>January</v>
      </c>
      <c r="W111" s="8">
        <f t="shared" si="4"/>
        <v>4681245</v>
      </c>
      <c r="X111">
        <f t="shared" si="5"/>
        <v>1091</v>
      </c>
      <c r="Y111">
        <f t="shared" si="6"/>
        <v>25146.46196150321</v>
      </c>
      <c r="Z111">
        <f t="shared" si="7"/>
        <v>55</v>
      </c>
    </row>
    <row r="112" spans="1:26" x14ac:dyDescent="0.25">
      <c r="A112" s="5" t="s">
        <v>215</v>
      </c>
      <c r="B112" s="6">
        <v>46402</v>
      </c>
      <c r="C112" s="7" t="s">
        <v>99</v>
      </c>
      <c r="D112" s="7" t="s">
        <v>100</v>
      </c>
      <c r="E112" s="7">
        <v>33</v>
      </c>
      <c r="F112" s="7" t="s">
        <v>24</v>
      </c>
      <c r="G112" s="7" t="s">
        <v>101</v>
      </c>
      <c r="H112" s="7" t="s">
        <v>102</v>
      </c>
      <c r="I112" s="7" t="s">
        <v>41</v>
      </c>
      <c r="J112" s="7" t="s">
        <v>28</v>
      </c>
      <c r="K112" s="7" t="s">
        <v>60</v>
      </c>
      <c r="L112" s="7" t="s">
        <v>53</v>
      </c>
      <c r="M112" s="7" t="s">
        <v>103</v>
      </c>
      <c r="N112" s="7">
        <v>690</v>
      </c>
      <c r="O112" s="7">
        <v>20</v>
      </c>
      <c r="P112" s="16">
        <v>0</v>
      </c>
      <c r="Q112" s="7">
        <v>195</v>
      </c>
      <c r="R112" s="7" t="s">
        <v>55</v>
      </c>
      <c r="S112" s="7" t="s">
        <v>33</v>
      </c>
      <c r="T112" s="7" t="s">
        <v>34</v>
      </c>
      <c r="U112" s="7">
        <v>5</v>
      </c>
      <c r="V112" s="7" t="str">
        <f>TEXT('E-Commerce Sales Data'!$B112,"mmmm")</f>
        <v>January</v>
      </c>
      <c r="W112" s="8">
        <f t="shared" si="4"/>
        <v>4678525</v>
      </c>
      <c r="X112">
        <f t="shared" si="5"/>
        <v>1090</v>
      </c>
      <c r="Y112">
        <f t="shared" si="6"/>
        <v>25156.045871559632</v>
      </c>
      <c r="Z112">
        <f t="shared" si="7"/>
        <v>55</v>
      </c>
    </row>
    <row r="113" spans="1:26" x14ac:dyDescent="0.25">
      <c r="A113" s="9" t="s">
        <v>216</v>
      </c>
      <c r="B113" s="10">
        <v>46409</v>
      </c>
      <c r="C113" s="11" t="s">
        <v>105</v>
      </c>
      <c r="D113" s="11" t="s">
        <v>58</v>
      </c>
      <c r="E113" s="11">
        <v>42</v>
      </c>
      <c r="F113" s="11" t="s">
        <v>38</v>
      </c>
      <c r="G113" s="11" t="s">
        <v>51</v>
      </c>
      <c r="H113" s="11" t="s">
        <v>51</v>
      </c>
      <c r="I113" s="11" t="s">
        <v>52</v>
      </c>
      <c r="J113" s="11" t="s">
        <v>42</v>
      </c>
      <c r="K113" s="11" t="s">
        <v>43</v>
      </c>
      <c r="L113" s="11" t="s">
        <v>68</v>
      </c>
      <c r="M113" s="11" t="s">
        <v>106</v>
      </c>
      <c r="N113" s="11">
        <v>22100</v>
      </c>
      <c r="O113" s="11">
        <v>1</v>
      </c>
      <c r="P113" s="17">
        <v>0.08</v>
      </c>
      <c r="Q113" s="11">
        <v>4200</v>
      </c>
      <c r="R113" s="11" t="s">
        <v>46</v>
      </c>
      <c r="S113" s="11" t="s">
        <v>47</v>
      </c>
      <c r="T113" s="11" t="s">
        <v>34</v>
      </c>
      <c r="U113" s="11">
        <v>4</v>
      </c>
      <c r="V113" s="11" t="str">
        <f>TEXT('E-Commerce Sales Data'!$B113,"mmmm")</f>
        <v>January</v>
      </c>
      <c r="W113" s="8">
        <f t="shared" si="4"/>
        <v>4678330</v>
      </c>
      <c r="X113">
        <f t="shared" si="5"/>
        <v>1089</v>
      </c>
      <c r="Y113">
        <f t="shared" si="6"/>
        <v>25178.512396694216</v>
      </c>
      <c r="Z113">
        <f t="shared" si="7"/>
        <v>55</v>
      </c>
    </row>
    <row r="114" spans="1:26" x14ac:dyDescent="0.25">
      <c r="A114" s="5" t="s">
        <v>217</v>
      </c>
      <c r="B114" s="6">
        <v>46416</v>
      </c>
      <c r="C114" s="7" t="s">
        <v>108</v>
      </c>
      <c r="D114" s="7" t="s">
        <v>23</v>
      </c>
      <c r="E114" s="7">
        <v>30</v>
      </c>
      <c r="F114" s="7" t="s">
        <v>24</v>
      </c>
      <c r="G114" s="7" t="s">
        <v>59</v>
      </c>
      <c r="H114" s="7" t="s">
        <v>26</v>
      </c>
      <c r="I114" s="7" t="s">
        <v>27</v>
      </c>
      <c r="J114" s="7" t="s">
        <v>28</v>
      </c>
      <c r="K114" s="7" t="s">
        <v>29</v>
      </c>
      <c r="L114" s="7" t="s">
        <v>30</v>
      </c>
      <c r="M114" s="7" t="s">
        <v>31</v>
      </c>
      <c r="N114" s="7">
        <v>64500</v>
      </c>
      <c r="O114" s="7">
        <v>1</v>
      </c>
      <c r="P114" s="16">
        <v>0.1</v>
      </c>
      <c r="Q114" s="7">
        <v>7250</v>
      </c>
      <c r="R114" s="7" t="s">
        <v>32</v>
      </c>
      <c r="S114" s="7" t="s">
        <v>47</v>
      </c>
      <c r="T114" s="7" t="s">
        <v>34</v>
      </c>
      <c r="U114" s="7">
        <v>5</v>
      </c>
      <c r="V114" s="7" t="str">
        <f>TEXT('E-Commerce Sales Data'!$B114,"mmmm")</f>
        <v>January</v>
      </c>
      <c r="W114" s="8">
        <f t="shared" si="4"/>
        <v>4674130</v>
      </c>
      <c r="X114">
        <f t="shared" si="5"/>
        <v>1088</v>
      </c>
      <c r="Y114">
        <f t="shared" si="6"/>
        <v>25181.341911764706</v>
      </c>
      <c r="Z114">
        <f t="shared" si="7"/>
        <v>55</v>
      </c>
    </row>
    <row r="115" spans="1:26" x14ac:dyDescent="0.25">
      <c r="A115" s="9" t="s">
        <v>218</v>
      </c>
      <c r="B115" s="10">
        <v>46423</v>
      </c>
      <c r="C115" s="11" t="s">
        <v>110</v>
      </c>
      <c r="D115" s="11" t="s">
        <v>37</v>
      </c>
      <c r="E115" s="11">
        <v>36</v>
      </c>
      <c r="F115" s="11" t="s">
        <v>38</v>
      </c>
      <c r="G115" s="11" t="s">
        <v>66</v>
      </c>
      <c r="H115" s="11" t="s">
        <v>67</v>
      </c>
      <c r="I115" s="11" t="s">
        <v>27</v>
      </c>
      <c r="J115" s="11" t="s">
        <v>28</v>
      </c>
      <c r="K115" s="11" t="s">
        <v>60</v>
      </c>
      <c r="L115" s="11" t="s">
        <v>92</v>
      </c>
      <c r="M115" s="11" t="s">
        <v>111</v>
      </c>
      <c r="N115" s="11">
        <v>910</v>
      </c>
      <c r="O115" s="11">
        <v>12</v>
      </c>
      <c r="P115" s="17">
        <v>0.05</v>
      </c>
      <c r="Q115" s="11">
        <v>260</v>
      </c>
      <c r="R115" s="11" t="s">
        <v>80</v>
      </c>
      <c r="S115" s="11" t="s">
        <v>33</v>
      </c>
      <c r="T115" s="11" t="s">
        <v>34</v>
      </c>
      <c r="U115" s="11">
        <v>4</v>
      </c>
      <c r="V115" s="11" t="str">
        <f>TEXT('E-Commerce Sales Data'!$B115,"mmmm")</f>
        <v>February</v>
      </c>
      <c r="W115" s="8">
        <f t="shared" si="4"/>
        <v>4666880</v>
      </c>
      <c r="X115">
        <f t="shared" si="5"/>
        <v>1087</v>
      </c>
      <c r="Y115">
        <f t="shared" si="6"/>
        <v>25145.170193192273</v>
      </c>
      <c r="Z115">
        <f t="shared" si="7"/>
        <v>55</v>
      </c>
    </row>
    <row r="116" spans="1:26" x14ac:dyDescent="0.25">
      <c r="A116" s="5" t="s">
        <v>219</v>
      </c>
      <c r="B116" s="6">
        <v>46430</v>
      </c>
      <c r="C116" s="7" t="s">
        <v>113</v>
      </c>
      <c r="D116" s="7" t="s">
        <v>114</v>
      </c>
      <c r="E116" s="7">
        <v>40</v>
      </c>
      <c r="F116" s="7" t="s">
        <v>24</v>
      </c>
      <c r="G116" s="7" t="s">
        <v>73</v>
      </c>
      <c r="H116" s="7" t="s">
        <v>74</v>
      </c>
      <c r="I116" s="7" t="s">
        <v>41</v>
      </c>
      <c r="J116" s="7" t="s">
        <v>42</v>
      </c>
      <c r="K116" s="7" t="s">
        <v>43</v>
      </c>
      <c r="L116" s="7" t="s">
        <v>44</v>
      </c>
      <c r="M116" s="7" t="s">
        <v>45</v>
      </c>
      <c r="N116" s="7">
        <v>8950</v>
      </c>
      <c r="O116" s="7">
        <v>4</v>
      </c>
      <c r="P116" s="16">
        <v>7.0000000000000007E-2</v>
      </c>
      <c r="Q116" s="7">
        <v>1880</v>
      </c>
      <c r="R116" s="7" t="s">
        <v>46</v>
      </c>
      <c r="S116" s="7" t="s">
        <v>33</v>
      </c>
      <c r="T116" s="7" t="s">
        <v>34</v>
      </c>
      <c r="U116" s="7">
        <v>4</v>
      </c>
      <c r="V116" s="7" t="str">
        <f>TEXT('E-Commerce Sales Data'!$B116,"mmmm")</f>
        <v>February</v>
      </c>
      <c r="W116" s="8">
        <f t="shared" si="4"/>
        <v>4666620</v>
      </c>
      <c r="X116">
        <f t="shared" si="5"/>
        <v>1086</v>
      </c>
      <c r="Y116">
        <f t="shared" si="6"/>
        <v>25167.486187845305</v>
      </c>
      <c r="Z116">
        <f t="shared" si="7"/>
        <v>55</v>
      </c>
    </row>
    <row r="117" spans="1:26" x14ac:dyDescent="0.25">
      <c r="A117" s="9" t="s">
        <v>220</v>
      </c>
      <c r="B117" s="10">
        <v>46437</v>
      </c>
      <c r="C117" s="11" t="s">
        <v>116</v>
      </c>
      <c r="D117" s="11" t="s">
        <v>83</v>
      </c>
      <c r="E117" s="11">
        <v>27</v>
      </c>
      <c r="F117" s="11" t="s">
        <v>38</v>
      </c>
      <c r="G117" s="11" t="s">
        <v>39</v>
      </c>
      <c r="H117" s="11" t="s">
        <v>40</v>
      </c>
      <c r="I117" s="11" t="s">
        <v>41</v>
      </c>
      <c r="J117" s="11" t="s">
        <v>28</v>
      </c>
      <c r="K117" s="11" t="s">
        <v>29</v>
      </c>
      <c r="L117" s="11" t="s">
        <v>53</v>
      </c>
      <c r="M117" s="11" t="s">
        <v>54</v>
      </c>
      <c r="N117" s="11">
        <v>19700</v>
      </c>
      <c r="O117" s="11">
        <v>2</v>
      </c>
      <c r="P117" s="17">
        <v>0.05</v>
      </c>
      <c r="Q117" s="11">
        <v>3480</v>
      </c>
      <c r="R117" s="11" t="s">
        <v>32</v>
      </c>
      <c r="S117" s="11" t="s">
        <v>47</v>
      </c>
      <c r="T117" s="11" t="s">
        <v>34</v>
      </c>
      <c r="U117" s="11">
        <v>5</v>
      </c>
      <c r="V117" s="11" t="str">
        <f>TEXT('E-Commerce Sales Data'!$B117,"mmmm")</f>
        <v>February</v>
      </c>
      <c r="W117" s="8">
        <f t="shared" si="4"/>
        <v>4664740</v>
      </c>
      <c r="X117">
        <f t="shared" si="5"/>
        <v>1085</v>
      </c>
      <c r="Y117">
        <f t="shared" si="6"/>
        <v>25182.433179723503</v>
      </c>
      <c r="Z117">
        <f t="shared" si="7"/>
        <v>55</v>
      </c>
    </row>
    <row r="118" spans="1:26" x14ac:dyDescent="0.25">
      <c r="A118" s="5" t="s">
        <v>221</v>
      </c>
      <c r="B118" s="6">
        <v>46444</v>
      </c>
      <c r="C118" s="7" t="s">
        <v>118</v>
      </c>
      <c r="D118" s="7" t="s">
        <v>72</v>
      </c>
      <c r="E118" s="7">
        <v>35</v>
      </c>
      <c r="F118" s="7" t="s">
        <v>24</v>
      </c>
      <c r="G118" s="7" t="s">
        <v>84</v>
      </c>
      <c r="H118" s="7" t="s">
        <v>85</v>
      </c>
      <c r="I118" s="7" t="s">
        <v>52</v>
      </c>
      <c r="J118" s="7" t="s">
        <v>42</v>
      </c>
      <c r="K118" s="7" t="s">
        <v>60</v>
      </c>
      <c r="L118" s="7" t="s">
        <v>61</v>
      </c>
      <c r="M118" s="7" t="s">
        <v>62</v>
      </c>
      <c r="N118" s="7">
        <v>3550</v>
      </c>
      <c r="O118" s="7">
        <v>8</v>
      </c>
      <c r="P118" s="16">
        <v>0.03</v>
      </c>
      <c r="Q118" s="7">
        <v>870</v>
      </c>
      <c r="R118" s="7" t="s">
        <v>55</v>
      </c>
      <c r="S118" s="7" t="s">
        <v>33</v>
      </c>
      <c r="T118" s="7" t="s">
        <v>34</v>
      </c>
      <c r="U118" s="7">
        <v>4</v>
      </c>
      <c r="V118" s="7" t="str">
        <f>TEXT('E-Commerce Sales Data'!$B118,"mmmm")</f>
        <v>February</v>
      </c>
      <c r="W118" s="8">
        <f t="shared" si="4"/>
        <v>4661260</v>
      </c>
      <c r="X118">
        <f t="shared" si="5"/>
        <v>1084</v>
      </c>
      <c r="Y118">
        <f t="shared" si="6"/>
        <v>25187.49077490775</v>
      </c>
      <c r="Z118">
        <f t="shared" si="7"/>
        <v>55</v>
      </c>
    </row>
    <row r="119" spans="1:26" x14ac:dyDescent="0.25">
      <c r="A119" s="9" t="s">
        <v>222</v>
      </c>
      <c r="B119" s="10">
        <v>46451</v>
      </c>
      <c r="C119" s="11" t="s">
        <v>120</v>
      </c>
      <c r="D119" s="11" t="s">
        <v>23</v>
      </c>
      <c r="E119" s="11">
        <v>24</v>
      </c>
      <c r="F119" s="11" t="s">
        <v>38</v>
      </c>
      <c r="G119" s="11" t="s">
        <v>25</v>
      </c>
      <c r="H119" s="11" t="s">
        <v>26</v>
      </c>
      <c r="I119" s="11" t="s">
        <v>27</v>
      </c>
      <c r="J119" s="11" t="s">
        <v>28</v>
      </c>
      <c r="K119" s="11" t="s">
        <v>43</v>
      </c>
      <c r="L119" s="11" t="s">
        <v>68</v>
      </c>
      <c r="M119" s="11" t="s">
        <v>69</v>
      </c>
      <c r="N119" s="11">
        <v>16300</v>
      </c>
      <c r="O119" s="11">
        <v>2</v>
      </c>
      <c r="P119" s="17">
        <v>0.1</v>
      </c>
      <c r="Q119" s="11">
        <v>2520</v>
      </c>
      <c r="R119" s="11" t="s">
        <v>32</v>
      </c>
      <c r="S119" s="11" t="s">
        <v>47</v>
      </c>
      <c r="T119" s="11" t="s">
        <v>34</v>
      </c>
      <c r="U119" s="11">
        <v>5</v>
      </c>
      <c r="V119" s="11" t="str">
        <f>TEXT('E-Commerce Sales Data'!$B119,"mmmm")</f>
        <v>March</v>
      </c>
      <c r="W119" s="8">
        <f t="shared" si="4"/>
        <v>4660390</v>
      </c>
      <c r="X119">
        <f t="shared" si="5"/>
        <v>1083</v>
      </c>
      <c r="Y119">
        <f t="shared" si="6"/>
        <v>25207.469990766389</v>
      </c>
      <c r="Z119">
        <f t="shared" si="7"/>
        <v>55</v>
      </c>
    </row>
    <row r="120" spans="1:26" x14ac:dyDescent="0.25">
      <c r="A120" s="5" t="s">
        <v>223</v>
      </c>
      <c r="B120" s="6">
        <v>46458</v>
      </c>
      <c r="C120" s="7" t="s">
        <v>122</v>
      </c>
      <c r="D120" s="7" t="s">
        <v>50</v>
      </c>
      <c r="E120" s="7">
        <v>43</v>
      </c>
      <c r="F120" s="7" t="s">
        <v>24</v>
      </c>
      <c r="G120" s="7" t="s">
        <v>101</v>
      </c>
      <c r="H120" s="7" t="s">
        <v>102</v>
      </c>
      <c r="I120" s="7" t="s">
        <v>41</v>
      </c>
      <c r="J120" s="7" t="s">
        <v>42</v>
      </c>
      <c r="K120" s="7" t="s">
        <v>29</v>
      </c>
      <c r="L120" s="7" t="s">
        <v>53</v>
      </c>
      <c r="M120" s="7" t="s">
        <v>75</v>
      </c>
      <c r="N120" s="7">
        <v>2880</v>
      </c>
      <c r="O120" s="7">
        <v>4</v>
      </c>
      <c r="P120" s="16">
        <v>0.05</v>
      </c>
      <c r="Q120" s="7">
        <v>695</v>
      </c>
      <c r="R120" s="7" t="s">
        <v>46</v>
      </c>
      <c r="S120" s="7" t="s">
        <v>33</v>
      </c>
      <c r="T120" s="7" t="s">
        <v>34</v>
      </c>
      <c r="U120" s="7">
        <v>3</v>
      </c>
      <c r="V120" s="7" t="str">
        <f>TEXT('E-Commerce Sales Data'!$B120,"mmmm")</f>
        <v>March</v>
      </c>
      <c r="W120" s="8">
        <f t="shared" si="4"/>
        <v>4657870</v>
      </c>
      <c r="X120">
        <f t="shared" si="5"/>
        <v>1082</v>
      </c>
      <c r="Y120">
        <f t="shared" si="6"/>
        <v>25215.702402957486</v>
      </c>
      <c r="Z120">
        <f t="shared" si="7"/>
        <v>55</v>
      </c>
    </row>
    <row r="121" spans="1:26" x14ac:dyDescent="0.25">
      <c r="A121" s="9" t="s">
        <v>224</v>
      </c>
      <c r="B121" s="10">
        <v>46465</v>
      </c>
      <c r="C121" s="11" t="s">
        <v>124</v>
      </c>
      <c r="D121" s="11" t="s">
        <v>100</v>
      </c>
      <c r="E121" s="11">
        <v>32</v>
      </c>
      <c r="F121" s="11" t="s">
        <v>38</v>
      </c>
      <c r="G121" s="11" t="s">
        <v>78</v>
      </c>
      <c r="H121" s="11" t="s">
        <v>26</v>
      </c>
      <c r="I121" s="11" t="s">
        <v>27</v>
      </c>
      <c r="J121" s="11" t="s">
        <v>28</v>
      </c>
      <c r="K121" s="11" t="s">
        <v>29</v>
      </c>
      <c r="L121" s="11" t="s">
        <v>53</v>
      </c>
      <c r="M121" s="11" t="s">
        <v>79</v>
      </c>
      <c r="N121" s="11">
        <v>1280</v>
      </c>
      <c r="O121" s="11">
        <v>6</v>
      </c>
      <c r="P121" s="17">
        <v>0</v>
      </c>
      <c r="Q121" s="11">
        <v>365</v>
      </c>
      <c r="R121" s="11" t="s">
        <v>32</v>
      </c>
      <c r="S121" s="11" t="s">
        <v>33</v>
      </c>
      <c r="T121" s="11" t="s">
        <v>34</v>
      </c>
      <c r="U121" s="11">
        <v>4</v>
      </c>
      <c r="V121" s="11" t="str">
        <f>TEXT('E-Commerce Sales Data'!$B121,"mmmm")</f>
        <v>March</v>
      </c>
      <c r="W121" s="8">
        <f t="shared" si="4"/>
        <v>4657175</v>
      </c>
      <c r="X121">
        <f t="shared" si="5"/>
        <v>1081</v>
      </c>
      <c r="Y121">
        <f t="shared" si="6"/>
        <v>25236.364477335799</v>
      </c>
      <c r="Z121">
        <f t="shared" si="7"/>
        <v>55</v>
      </c>
    </row>
    <row r="122" spans="1:26" x14ac:dyDescent="0.25">
      <c r="A122" s="5" t="s">
        <v>225</v>
      </c>
      <c r="B122" s="6">
        <v>46472</v>
      </c>
      <c r="C122" s="7" t="s">
        <v>22</v>
      </c>
      <c r="D122" s="7" t="s">
        <v>23</v>
      </c>
      <c r="E122" s="7">
        <v>28</v>
      </c>
      <c r="F122" s="7" t="s">
        <v>24</v>
      </c>
      <c r="G122" s="7" t="s">
        <v>25</v>
      </c>
      <c r="H122" s="7" t="s">
        <v>26</v>
      </c>
      <c r="I122" s="7" t="s">
        <v>27</v>
      </c>
      <c r="J122" s="7" t="s">
        <v>28</v>
      </c>
      <c r="K122" s="7" t="s">
        <v>29</v>
      </c>
      <c r="L122" s="7" t="s">
        <v>30</v>
      </c>
      <c r="M122" s="7" t="s">
        <v>31</v>
      </c>
      <c r="N122" s="7">
        <v>60500</v>
      </c>
      <c r="O122" s="7">
        <v>1</v>
      </c>
      <c r="P122" s="16">
        <v>0.05</v>
      </c>
      <c r="Q122" s="7">
        <v>7900</v>
      </c>
      <c r="R122" s="7" t="s">
        <v>32</v>
      </c>
      <c r="S122" s="7" t="s">
        <v>47</v>
      </c>
      <c r="T122" s="7" t="s">
        <v>34</v>
      </c>
      <c r="U122" s="7">
        <v>5</v>
      </c>
      <c r="V122" s="7" t="str">
        <f>TEXT('E-Commerce Sales Data'!$B122,"mmmm")</f>
        <v>March</v>
      </c>
      <c r="W122" s="8">
        <f t="shared" si="4"/>
        <v>4656810</v>
      </c>
      <c r="X122">
        <f t="shared" si="5"/>
        <v>1080</v>
      </c>
      <c r="Y122">
        <f t="shared" si="6"/>
        <v>25258.546296296296</v>
      </c>
      <c r="Z122">
        <f t="shared" si="7"/>
        <v>55</v>
      </c>
    </row>
    <row r="123" spans="1:26" x14ac:dyDescent="0.25">
      <c r="A123" s="9" t="s">
        <v>226</v>
      </c>
      <c r="B123" s="10">
        <v>46479</v>
      </c>
      <c r="C123" s="11" t="s">
        <v>36</v>
      </c>
      <c r="D123" s="11" t="s">
        <v>37</v>
      </c>
      <c r="E123" s="11">
        <v>34</v>
      </c>
      <c r="F123" s="11" t="s">
        <v>38</v>
      </c>
      <c r="G123" s="11" t="s">
        <v>39</v>
      </c>
      <c r="H123" s="11" t="s">
        <v>40</v>
      </c>
      <c r="I123" s="11" t="s">
        <v>41</v>
      </c>
      <c r="J123" s="11" t="s">
        <v>42</v>
      </c>
      <c r="K123" s="11" t="s">
        <v>43</v>
      </c>
      <c r="L123" s="11" t="s">
        <v>44</v>
      </c>
      <c r="M123" s="11" t="s">
        <v>45</v>
      </c>
      <c r="N123" s="11">
        <v>8050</v>
      </c>
      <c r="O123" s="11">
        <v>3</v>
      </c>
      <c r="P123" s="17">
        <v>0.1</v>
      </c>
      <c r="Q123" s="11">
        <v>1690</v>
      </c>
      <c r="R123" s="11" t="s">
        <v>46</v>
      </c>
      <c r="S123" s="11" t="s">
        <v>33</v>
      </c>
      <c r="T123" s="11" t="s">
        <v>34</v>
      </c>
      <c r="U123" s="11">
        <v>4</v>
      </c>
      <c r="V123" s="11" t="str">
        <f>TEXT('E-Commerce Sales Data'!$B123,"mmmm")</f>
        <v>April</v>
      </c>
      <c r="W123" s="8">
        <f t="shared" si="4"/>
        <v>4648910</v>
      </c>
      <c r="X123">
        <f t="shared" si="5"/>
        <v>1079</v>
      </c>
      <c r="Y123">
        <f t="shared" si="6"/>
        <v>25225.885078776646</v>
      </c>
      <c r="Z123">
        <f t="shared" si="7"/>
        <v>55</v>
      </c>
    </row>
    <row r="124" spans="1:26" x14ac:dyDescent="0.25">
      <c r="A124" s="5" t="s">
        <v>227</v>
      </c>
      <c r="B124" s="6">
        <v>46486</v>
      </c>
      <c r="C124" s="7" t="s">
        <v>49</v>
      </c>
      <c r="D124" s="7" t="s">
        <v>50</v>
      </c>
      <c r="E124" s="7">
        <v>41</v>
      </c>
      <c r="F124" s="7" t="s">
        <v>24</v>
      </c>
      <c r="G124" s="7" t="s">
        <v>51</v>
      </c>
      <c r="H124" s="7" t="s">
        <v>51</v>
      </c>
      <c r="I124" s="7" t="s">
        <v>52</v>
      </c>
      <c r="J124" s="7" t="s">
        <v>28</v>
      </c>
      <c r="K124" s="7" t="s">
        <v>29</v>
      </c>
      <c r="L124" s="7" t="s">
        <v>53</v>
      </c>
      <c r="M124" s="7" t="s">
        <v>54</v>
      </c>
      <c r="N124" s="7">
        <v>18300</v>
      </c>
      <c r="O124" s="7">
        <v>2</v>
      </c>
      <c r="P124" s="16">
        <v>0.05</v>
      </c>
      <c r="Q124" s="7">
        <v>3180</v>
      </c>
      <c r="R124" s="7" t="s">
        <v>55</v>
      </c>
      <c r="S124" s="7" t="s">
        <v>33</v>
      </c>
      <c r="T124" s="7" t="s">
        <v>34</v>
      </c>
      <c r="U124" s="7">
        <v>4</v>
      </c>
      <c r="V124" s="7" t="str">
        <f>TEXT('E-Commerce Sales Data'!$B124,"mmmm")</f>
        <v>April</v>
      </c>
      <c r="W124" s="8">
        <f t="shared" si="4"/>
        <v>4647220</v>
      </c>
      <c r="X124">
        <f t="shared" si="5"/>
        <v>1078</v>
      </c>
      <c r="Y124">
        <f t="shared" si="6"/>
        <v>25241.81818181818</v>
      </c>
      <c r="Z124">
        <f t="shared" si="7"/>
        <v>55</v>
      </c>
    </row>
    <row r="125" spans="1:26" x14ac:dyDescent="0.25">
      <c r="A125" s="9" t="s">
        <v>228</v>
      </c>
      <c r="B125" s="10">
        <v>46493</v>
      </c>
      <c r="C125" s="11" t="s">
        <v>57</v>
      </c>
      <c r="D125" s="11" t="s">
        <v>58</v>
      </c>
      <c r="E125" s="11">
        <v>26</v>
      </c>
      <c r="F125" s="11" t="s">
        <v>38</v>
      </c>
      <c r="G125" s="11" t="s">
        <v>59</v>
      </c>
      <c r="H125" s="11" t="s">
        <v>26</v>
      </c>
      <c r="I125" s="11" t="s">
        <v>27</v>
      </c>
      <c r="J125" s="11" t="s">
        <v>28</v>
      </c>
      <c r="K125" s="11" t="s">
        <v>60</v>
      </c>
      <c r="L125" s="11" t="s">
        <v>61</v>
      </c>
      <c r="M125" s="11" t="s">
        <v>86</v>
      </c>
      <c r="N125" s="11">
        <v>515</v>
      </c>
      <c r="O125" s="11">
        <v>15</v>
      </c>
      <c r="P125" s="17">
        <v>0.02</v>
      </c>
      <c r="Q125" s="11">
        <v>138</v>
      </c>
      <c r="R125" s="11" t="s">
        <v>32</v>
      </c>
      <c r="S125" s="11" t="s">
        <v>33</v>
      </c>
      <c r="T125" s="11" t="s">
        <v>34</v>
      </c>
      <c r="U125" s="11">
        <v>5</v>
      </c>
      <c r="V125" s="11" t="str">
        <f>TEXT('E-Commerce Sales Data'!$B125,"mmmm")</f>
        <v>April</v>
      </c>
      <c r="W125" s="8">
        <f t="shared" si="4"/>
        <v>4644040</v>
      </c>
      <c r="X125">
        <f t="shared" si="5"/>
        <v>1077</v>
      </c>
      <c r="Y125">
        <f t="shared" si="6"/>
        <v>25248.263695450325</v>
      </c>
      <c r="Z125">
        <f t="shared" si="7"/>
        <v>55</v>
      </c>
    </row>
    <row r="126" spans="1:26" x14ac:dyDescent="0.25">
      <c r="A126" s="5" t="s">
        <v>229</v>
      </c>
      <c r="B126" s="6">
        <v>46500</v>
      </c>
      <c r="C126" s="7" t="s">
        <v>64</v>
      </c>
      <c r="D126" s="7" t="s">
        <v>65</v>
      </c>
      <c r="E126" s="7">
        <v>39</v>
      </c>
      <c r="F126" s="7" t="s">
        <v>24</v>
      </c>
      <c r="G126" s="7" t="s">
        <v>66</v>
      </c>
      <c r="H126" s="7" t="s">
        <v>67</v>
      </c>
      <c r="I126" s="7" t="s">
        <v>27</v>
      </c>
      <c r="J126" s="7" t="s">
        <v>42</v>
      </c>
      <c r="K126" s="7" t="s">
        <v>43</v>
      </c>
      <c r="L126" s="7" t="s">
        <v>68</v>
      </c>
      <c r="M126" s="7" t="s">
        <v>69</v>
      </c>
      <c r="N126" s="7">
        <v>17100</v>
      </c>
      <c r="O126" s="7">
        <v>2</v>
      </c>
      <c r="P126" s="16">
        <v>0.08</v>
      </c>
      <c r="Q126" s="7">
        <v>2920</v>
      </c>
      <c r="R126" s="7" t="s">
        <v>46</v>
      </c>
      <c r="S126" s="7" t="s">
        <v>47</v>
      </c>
      <c r="T126" s="7" t="s">
        <v>34</v>
      </c>
      <c r="U126" s="7">
        <v>4</v>
      </c>
      <c r="V126" s="7" t="str">
        <f>TEXT('E-Commerce Sales Data'!$B126,"mmmm")</f>
        <v>April</v>
      </c>
      <c r="W126" s="8">
        <f t="shared" si="4"/>
        <v>4643902</v>
      </c>
      <c r="X126">
        <f t="shared" si="5"/>
        <v>1076</v>
      </c>
      <c r="Y126">
        <f t="shared" si="6"/>
        <v>25271.25</v>
      </c>
      <c r="Z126">
        <f t="shared" si="7"/>
        <v>55</v>
      </c>
    </row>
    <row r="127" spans="1:26" x14ac:dyDescent="0.25">
      <c r="A127" s="9" t="s">
        <v>230</v>
      </c>
      <c r="B127" s="10">
        <v>46507</v>
      </c>
      <c r="C127" s="11" t="s">
        <v>71</v>
      </c>
      <c r="D127" s="11" t="s">
        <v>72</v>
      </c>
      <c r="E127" s="11">
        <v>31</v>
      </c>
      <c r="F127" s="11" t="s">
        <v>38</v>
      </c>
      <c r="G127" s="11" t="s">
        <v>73</v>
      </c>
      <c r="H127" s="11" t="s">
        <v>74</v>
      </c>
      <c r="I127" s="11" t="s">
        <v>41</v>
      </c>
      <c r="J127" s="11" t="s">
        <v>28</v>
      </c>
      <c r="K127" s="11" t="s">
        <v>29</v>
      </c>
      <c r="L127" s="11" t="s">
        <v>53</v>
      </c>
      <c r="M127" s="11" t="s">
        <v>75</v>
      </c>
      <c r="N127" s="11">
        <v>2620</v>
      </c>
      <c r="O127" s="11">
        <v>3</v>
      </c>
      <c r="P127" s="17">
        <v>0.05</v>
      </c>
      <c r="Q127" s="11">
        <v>625</v>
      </c>
      <c r="R127" s="11" t="s">
        <v>32</v>
      </c>
      <c r="S127" s="11" t="s">
        <v>33</v>
      </c>
      <c r="T127" s="11" t="s">
        <v>34</v>
      </c>
      <c r="U127" s="11">
        <v>4</v>
      </c>
      <c r="V127" s="11" t="str">
        <f>TEXT('E-Commerce Sales Data'!$B127,"mmmm")</f>
        <v>April</v>
      </c>
      <c r="W127" s="8">
        <f t="shared" si="4"/>
        <v>4640982</v>
      </c>
      <c r="X127">
        <f t="shared" si="5"/>
        <v>1075</v>
      </c>
      <c r="Y127">
        <f t="shared" si="6"/>
        <v>25278.851162790699</v>
      </c>
      <c r="Z127">
        <f t="shared" si="7"/>
        <v>55</v>
      </c>
    </row>
    <row r="128" spans="1:26" x14ac:dyDescent="0.25">
      <c r="A128" s="5" t="s">
        <v>231</v>
      </c>
      <c r="B128" s="6">
        <v>46514</v>
      </c>
      <c r="C128" s="7" t="s">
        <v>77</v>
      </c>
      <c r="D128" s="7" t="s">
        <v>23</v>
      </c>
      <c r="E128" s="7">
        <v>29</v>
      </c>
      <c r="F128" s="7" t="s">
        <v>24</v>
      </c>
      <c r="G128" s="7" t="s">
        <v>78</v>
      </c>
      <c r="H128" s="7" t="s">
        <v>26</v>
      </c>
      <c r="I128" s="7" t="s">
        <v>27</v>
      </c>
      <c r="J128" s="7" t="s">
        <v>28</v>
      </c>
      <c r="K128" s="7" t="s">
        <v>29</v>
      </c>
      <c r="L128" s="7" t="s">
        <v>53</v>
      </c>
      <c r="M128" s="7" t="s">
        <v>79</v>
      </c>
      <c r="N128" s="7">
        <v>1190</v>
      </c>
      <c r="O128" s="7">
        <v>5</v>
      </c>
      <c r="P128" s="16">
        <v>0</v>
      </c>
      <c r="Q128" s="7">
        <v>335</v>
      </c>
      <c r="R128" s="7" t="s">
        <v>80</v>
      </c>
      <c r="S128" s="7" t="s">
        <v>33</v>
      </c>
      <c r="T128" s="7" t="s">
        <v>34</v>
      </c>
      <c r="U128" s="7">
        <v>3</v>
      </c>
      <c r="V128" s="7" t="str">
        <f>TEXT('E-Commerce Sales Data'!$B128,"mmmm")</f>
        <v>May</v>
      </c>
      <c r="W128" s="8">
        <f t="shared" si="4"/>
        <v>4640357</v>
      </c>
      <c r="X128">
        <f t="shared" si="5"/>
        <v>1074</v>
      </c>
      <c r="Y128">
        <f t="shared" si="6"/>
        <v>25299.948789571696</v>
      </c>
      <c r="Z128">
        <f t="shared" si="7"/>
        <v>55</v>
      </c>
    </row>
    <row r="129" spans="1:26" x14ac:dyDescent="0.25">
      <c r="A129" s="9" t="s">
        <v>232</v>
      </c>
      <c r="B129" s="10">
        <v>46521</v>
      </c>
      <c r="C129" s="11" t="s">
        <v>82</v>
      </c>
      <c r="D129" s="11" t="s">
        <v>83</v>
      </c>
      <c r="E129" s="11">
        <v>37</v>
      </c>
      <c r="F129" s="11" t="s">
        <v>38</v>
      </c>
      <c r="G129" s="11" t="s">
        <v>84</v>
      </c>
      <c r="H129" s="11" t="s">
        <v>85</v>
      </c>
      <c r="I129" s="11" t="s">
        <v>52</v>
      </c>
      <c r="J129" s="11" t="s">
        <v>42</v>
      </c>
      <c r="K129" s="11" t="s">
        <v>60</v>
      </c>
      <c r="L129" s="11" t="s">
        <v>61</v>
      </c>
      <c r="M129" s="11" t="s">
        <v>62</v>
      </c>
      <c r="N129" s="11">
        <v>3550</v>
      </c>
      <c r="O129" s="11">
        <v>10</v>
      </c>
      <c r="P129" s="17">
        <v>0.02</v>
      </c>
      <c r="Q129" s="11">
        <v>950</v>
      </c>
      <c r="R129" s="11" t="s">
        <v>32</v>
      </c>
      <c r="S129" s="11" t="s">
        <v>33</v>
      </c>
      <c r="T129" s="11" t="s">
        <v>34</v>
      </c>
      <c r="U129" s="11">
        <v>5</v>
      </c>
      <c r="V129" s="11" t="str">
        <f>TEXT('E-Commerce Sales Data'!$B129,"mmmm")</f>
        <v>May</v>
      </c>
      <c r="W129" s="8">
        <f t="shared" si="4"/>
        <v>4640022</v>
      </c>
      <c r="X129">
        <f t="shared" si="5"/>
        <v>1073</v>
      </c>
      <c r="Y129">
        <f t="shared" si="6"/>
        <v>25322.418452935693</v>
      </c>
      <c r="Z129">
        <f t="shared" si="7"/>
        <v>55</v>
      </c>
    </row>
    <row r="130" spans="1:26" x14ac:dyDescent="0.25">
      <c r="A130" s="5" t="s">
        <v>233</v>
      </c>
      <c r="B130" s="6">
        <v>46528</v>
      </c>
      <c r="C130" s="7" t="s">
        <v>88</v>
      </c>
      <c r="D130" s="7" t="s">
        <v>37</v>
      </c>
      <c r="E130" s="7">
        <v>45</v>
      </c>
      <c r="F130" s="7" t="s">
        <v>24</v>
      </c>
      <c r="G130" s="7" t="s">
        <v>89</v>
      </c>
      <c r="H130" s="7" t="s">
        <v>90</v>
      </c>
      <c r="I130" s="7" t="s">
        <v>91</v>
      </c>
      <c r="J130" s="7" t="s">
        <v>42</v>
      </c>
      <c r="K130" s="7" t="s">
        <v>43</v>
      </c>
      <c r="L130" s="7" t="s">
        <v>92</v>
      </c>
      <c r="M130" s="7" t="s">
        <v>93</v>
      </c>
      <c r="N130" s="7">
        <v>13400</v>
      </c>
      <c r="O130" s="7">
        <v>1</v>
      </c>
      <c r="P130" s="16">
        <v>0.1</v>
      </c>
      <c r="Q130" s="7">
        <v>2240</v>
      </c>
      <c r="R130" s="7" t="s">
        <v>46</v>
      </c>
      <c r="S130" s="7" t="s">
        <v>47</v>
      </c>
      <c r="T130" s="7" t="s">
        <v>34</v>
      </c>
      <c r="U130" s="7">
        <v>4</v>
      </c>
      <c r="V130" s="7" t="str">
        <f>TEXT('E-Commerce Sales Data'!$B130,"mmmm")</f>
        <v>May</v>
      </c>
      <c r="W130" s="8">
        <f t="shared" si="4"/>
        <v>4639072</v>
      </c>
      <c r="X130">
        <f t="shared" si="5"/>
        <v>1072</v>
      </c>
      <c r="Y130">
        <f t="shared" si="6"/>
        <v>25342.728544776121</v>
      </c>
      <c r="Z130">
        <f t="shared" si="7"/>
        <v>55</v>
      </c>
    </row>
    <row r="131" spans="1:26" x14ac:dyDescent="0.25">
      <c r="A131" s="9" t="s">
        <v>234</v>
      </c>
      <c r="B131" s="10">
        <v>46535</v>
      </c>
      <c r="C131" s="11" t="s">
        <v>95</v>
      </c>
      <c r="D131" s="11" t="s">
        <v>65</v>
      </c>
      <c r="E131" s="11">
        <v>25</v>
      </c>
      <c r="F131" s="11" t="s">
        <v>38</v>
      </c>
      <c r="G131" s="11" t="s">
        <v>25</v>
      </c>
      <c r="H131" s="11" t="s">
        <v>26</v>
      </c>
      <c r="I131" s="11" t="s">
        <v>27</v>
      </c>
      <c r="J131" s="11" t="s">
        <v>28</v>
      </c>
      <c r="K131" s="11" t="s">
        <v>29</v>
      </c>
      <c r="L131" s="11" t="s">
        <v>96</v>
      </c>
      <c r="M131" s="11" t="s">
        <v>97</v>
      </c>
      <c r="N131" s="11">
        <v>15200</v>
      </c>
      <c r="O131" s="11">
        <v>2</v>
      </c>
      <c r="P131" s="17">
        <v>0.05</v>
      </c>
      <c r="Q131" s="11">
        <v>2820</v>
      </c>
      <c r="R131" s="11" t="s">
        <v>32</v>
      </c>
      <c r="S131" s="11" t="s">
        <v>33</v>
      </c>
      <c r="T131" s="11" t="s">
        <v>34</v>
      </c>
      <c r="U131" s="11">
        <v>4</v>
      </c>
      <c r="V131" s="11" t="str">
        <f>TEXT('E-Commerce Sales Data'!$B131,"mmmm")</f>
        <v>May</v>
      </c>
      <c r="W131" s="8">
        <f t="shared" ref="W131:W194" si="8">SUM(Q131:Q1330)</f>
        <v>4636832</v>
      </c>
      <c r="X131">
        <f t="shared" ref="X131:X194" si="9">COUNT(E131:E1330)</f>
        <v>1071</v>
      </c>
      <c r="Y131">
        <f t="shared" ref="Y131:Y194" si="10">AVERAGE(N131:N1330)</f>
        <v>25353.87955182073</v>
      </c>
      <c r="Z131">
        <f t="shared" ref="Z131:Z194" si="11">MAX(E131:E1330)</f>
        <v>55</v>
      </c>
    </row>
    <row r="132" spans="1:26" x14ac:dyDescent="0.25">
      <c r="A132" s="5" t="s">
        <v>235</v>
      </c>
      <c r="B132" s="6">
        <v>46542</v>
      </c>
      <c r="C132" s="7" t="s">
        <v>99</v>
      </c>
      <c r="D132" s="7" t="s">
        <v>100</v>
      </c>
      <c r="E132" s="7">
        <v>33</v>
      </c>
      <c r="F132" s="7" t="s">
        <v>24</v>
      </c>
      <c r="G132" s="7" t="s">
        <v>101</v>
      </c>
      <c r="H132" s="7" t="s">
        <v>102</v>
      </c>
      <c r="I132" s="7" t="s">
        <v>41</v>
      </c>
      <c r="J132" s="7" t="s">
        <v>28</v>
      </c>
      <c r="K132" s="7" t="s">
        <v>60</v>
      </c>
      <c r="L132" s="7" t="s">
        <v>53</v>
      </c>
      <c r="M132" s="7" t="s">
        <v>103</v>
      </c>
      <c r="N132" s="7">
        <v>710</v>
      </c>
      <c r="O132" s="7">
        <v>25</v>
      </c>
      <c r="P132" s="16">
        <v>0</v>
      </c>
      <c r="Q132" s="7">
        <v>205</v>
      </c>
      <c r="R132" s="7" t="s">
        <v>55</v>
      </c>
      <c r="S132" s="7" t="s">
        <v>33</v>
      </c>
      <c r="T132" s="7" t="s">
        <v>34</v>
      </c>
      <c r="U132" s="7">
        <v>5</v>
      </c>
      <c r="V132" s="7" t="str">
        <f>TEXT('E-Commerce Sales Data'!$B132,"mmmm")</f>
        <v>June</v>
      </c>
      <c r="W132" s="8">
        <f t="shared" si="8"/>
        <v>4634012</v>
      </c>
      <c r="X132">
        <f t="shared" si="9"/>
        <v>1070</v>
      </c>
      <c r="Y132">
        <f t="shared" si="10"/>
        <v>25363.369158878504</v>
      </c>
      <c r="Z132">
        <f t="shared" si="11"/>
        <v>55</v>
      </c>
    </row>
    <row r="133" spans="1:26" x14ac:dyDescent="0.25">
      <c r="A133" s="9" t="s">
        <v>236</v>
      </c>
      <c r="B133" s="10">
        <v>46549</v>
      </c>
      <c r="C133" s="11" t="s">
        <v>105</v>
      </c>
      <c r="D133" s="11" t="s">
        <v>58</v>
      </c>
      <c r="E133" s="11">
        <v>42</v>
      </c>
      <c r="F133" s="11" t="s">
        <v>38</v>
      </c>
      <c r="G133" s="11" t="s">
        <v>51</v>
      </c>
      <c r="H133" s="11" t="s">
        <v>51</v>
      </c>
      <c r="I133" s="11" t="s">
        <v>52</v>
      </c>
      <c r="J133" s="11" t="s">
        <v>42</v>
      </c>
      <c r="K133" s="11" t="s">
        <v>43</v>
      </c>
      <c r="L133" s="11" t="s">
        <v>68</v>
      </c>
      <c r="M133" s="11" t="s">
        <v>106</v>
      </c>
      <c r="N133" s="11">
        <v>21900</v>
      </c>
      <c r="O133" s="11">
        <v>1</v>
      </c>
      <c r="P133" s="17">
        <v>0.08</v>
      </c>
      <c r="Q133" s="11">
        <v>4150</v>
      </c>
      <c r="R133" s="11" t="s">
        <v>46</v>
      </c>
      <c r="S133" s="11" t="s">
        <v>47</v>
      </c>
      <c r="T133" s="11" t="s">
        <v>34</v>
      </c>
      <c r="U133" s="11">
        <v>4</v>
      </c>
      <c r="V133" s="11" t="str">
        <f>TEXT('E-Commerce Sales Data'!$B133,"mmmm")</f>
        <v>June</v>
      </c>
      <c r="W133" s="8">
        <f t="shared" si="8"/>
        <v>4633807</v>
      </c>
      <c r="X133">
        <f t="shared" si="9"/>
        <v>1069</v>
      </c>
      <c r="Y133">
        <f t="shared" si="10"/>
        <v>25386.431244153413</v>
      </c>
      <c r="Z133">
        <f t="shared" si="11"/>
        <v>55</v>
      </c>
    </row>
    <row r="134" spans="1:26" x14ac:dyDescent="0.25">
      <c r="A134" s="5" t="s">
        <v>237</v>
      </c>
      <c r="B134" s="6">
        <v>46556</v>
      </c>
      <c r="C134" s="7" t="s">
        <v>108</v>
      </c>
      <c r="D134" s="7" t="s">
        <v>23</v>
      </c>
      <c r="E134" s="7">
        <v>30</v>
      </c>
      <c r="F134" s="7" t="s">
        <v>24</v>
      </c>
      <c r="G134" s="7" t="s">
        <v>59</v>
      </c>
      <c r="H134" s="7" t="s">
        <v>26</v>
      </c>
      <c r="I134" s="7" t="s">
        <v>27</v>
      </c>
      <c r="J134" s="7" t="s">
        <v>28</v>
      </c>
      <c r="K134" s="7" t="s">
        <v>29</v>
      </c>
      <c r="L134" s="7" t="s">
        <v>30</v>
      </c>
      <c r="M134" s="7" t="s">
        <v>31</v>
      </c>
      <c r="N134" s="7">
        <v>65500</v>
      </c>
      <c r="O134" s="7">
        <v>1</v>
      </c>
      <c r="P134" s="16">
        <v>0.1</v>
      </c>
      <c r="Q134" s="7">
        <v>7400</v>
      </c>
      <c r="R134" s="7" t="s">
        <v>32</v>
      </c>
      <c r="S134" s="7" t="s">
        <v>47</v>
      </c>
      <c r="T134" s="7" t="s">
        <v>34</v>
      </c>
      <c r="U134" s="7">
        <v>5</v>
      </c>
      <c r="V134" s="7" t="str">
        <f>TEXT('E-Commerce Sales Data'!$B134,"mmmm")</f>
        <v>June</v>
      </c>
      <c r="W134" s="8">
        <f t="shared" si="8"/>
        <v>4629657</v>
      </c>
      <c r="X134">
        <f t="shared" si="9"/>
        <v>1068</v>
      </c>
      <c r="Y134">
        <f t="shared" si="10"/>
        <v>25389.695692883895</v>
      </c>
      <c r="Z134">
        <f t="shared" si="11"/>
        <v>55</v>
      </c>
    </row>
    <row r="135" spans="1:26" x14ac:dyDescent="0.25">
      <c r="A135" s="9" t="s">
        <v>238</v>
      </c>
      <c r="B135" s="10">
        <v>46563</v>
      </c>
      <c r="C135" s="11" t="s">
        <v>110</v>
      </c>
      <c r="D135" s="11" t="s">
        <v>37</v>
      </c>
      <c r="E135" s="11">
        <v>36</v>
      </c>
      <c r="F135" s="11" t="s">
        <v>38</v>
      </c>
      <c r="G135" s="11" t="s">
        <v>66</v>
      </c>
      <c r="H135" s="11" t="s">
        <v>67</v>
      </c>
      <c r="I135" s="11" t="s">
        <v>27</v>
      </c>
      <c r="J135" s="11" t="s">
        <v>28</v>
      </c>
      <c r="K135" s="11" t="s">
        <v>60</v>
      </c>
      <c r="L135" s="11" t="s">
        <v>92</v>
      </c>
      <c r="M135" s="11" t="s">
        <v>111</v>
      </c>
      <c r="N135" s="11">
        <v>940</v>
      </c>
      <c r="O135" s="11">
        <v>15</v>
      </c>
      <c r="P135" s="17">
        <v>0.05</v>
      </c>
      <c r="Q135" s="11">
        <v>275</v>
      </c>
      <c r="R135" s="11" t="s">
        <v>80</v>
      </c>
      <c r="S135" s="11" t="s">
        <v>33</v>
      </c>
      <c r="T135" s="11" t="s">
        <v>34</v>
      </c>
      <c r="U135" s="11">
        <v>4</v>
      </c>
      <c r="V135" s="11" t="str">
        <f>TEXT('E-Commerce Sales Data'!$B135,"mmmm")</f>
        <v>June</v>
      </c>
      <c r="W135" s="8">
        <f t="shared" si="8"/>
        <v>4622257</v>
      </c>
      <c r="X135">
        <f t="shared" si="9"/>
        <v>1067</v>
      </c>
      <c r="Y135">
        <f t="shared" si="10"/>
        <v>25352.104029990627</v>
      </c>
      <c r="Z135">
        <f t="shared" si="11"/>
        <v>55</v>
      </c>
    </row>
    <row r="136" spans="1:26" x14ac:dyDescent="0.25">
      <c r="A136" s="5" t="s">
        <v>239</v>
      </c>
      <c r="B136" s="6">
        <v>46570</v>
      </c>
      <c r="C136" s="7" t="s">
        <v>113</v>
      </c>
      <c r="D136" s="7" t="s">
        <v>114</v>
      </c>
      <c r="E136" s="7">
        <v>40</v>
      </c>
      <c r="F136" s="7" t="s">
        <v>24</v>
      </c>
      <c r="G136" s="7" t="s">
        <v>73</v>
      </c>
      <c r="H136" s="7" t="s">
        <v>74</v>
      </c>
      <c r="I136" s="7" t="s">
        <v>41</v>
      </c>
      <c r="J136" s="7" t="s">
        <v>42</v>
      </c>
      <c r="K136" s="7" t="s">
        <v>43</v>
      </c>
      <c r="L136" s="7" t="s">
        <v>44</v>
      </c>
      <c r="M136" s="7" t="s">
        <v>45</v>
      </c>
      <c r="N136" s="7">
        <v>8850</v>
      </c>
      <c r="O136" s="7">
        <v>4</v>
      </c>
      <c r="P136" s="16">
        <v>7.0000000000000007E-2</v>
      </c>
      <c r="Q136" s="7">
        <v>1830</v>
      </c>
      <c r="R136" s="7" t="s">
        <v>46</v>
      </c>
      <c r="S136" s="7" t="s">
        <v>33</v>
      </c>
      <c r="T136" s="7" t="s">
        <v>34</v>
      </c>
      <c r="U136" s="7">
        <v>4</v>
      </c>
      <c r="V136" s="7" t="str">
        <f>TEXT('E-Commerce Sales Data'!$B136,"mmmm")</f>
        <v>July</v>
      </c>
      <c r="W136" s="8">
        <f t="shared" si="8"/>
        <v>4621982</v>
      </c>
      <c r="X136">
        <f t="shared" si="9"/>
        <v>1066</v>
      </c>
      <c r="Y136">
        <f t="shared" si="10"/>
        <v>25375.00469043152</v>
      </c>
      <c r="Z136">
        <f t="shared" si="11"/>
        <v>55</v>
      </c>
    </row>
    <row r="137" spans="1:26" x14ac:dyDescent="0.25">
      <c r="A137" s="9" t="s">
        <v>240</v>
      </c>
      <c r="B137" s="10">
        <v>46577</v>
      </c>
      <c r="C137" s="11" t="s">
        <v>116</v>
      </c>
      <c r="D137" s="11" t="s">
        <v>83</v>
      </c>
      <c r="E137" s="11">
        <v>27</v>
      </c>
      <c r="F137" s="11" t="s">
        <v>38</v>
      </c>
      <c r="G137" s="11" t="s">
        <v>39</v>
      </c>
      <c r="H137" s="11" t="s">
        <v>40</v>
      </c>
      <c r="I137" s="11" t="s">
        <v>41</v>
      </c>
      <c r="J137" s="11" t="s">
        <v>28</v>
      </c>
      <c r="K137" s="11" t="s">
        <v>29</v>
      </c>
      <c r="L137" s="11" t="s">
        <v>53</v>
      </c>
      <c r="M137" s="11" t="s">
        <v>54</v>
      </c>
      <c r="N137" s="11">
        <v>20100</v>
      </c>
      <c r="O137" s="11">
        <v>2</v>
      </c>
      <c r="P137" s="17">
        <v>0.05</v>
      </c>
      <c r="Q137" s="11">
        <v>3520</v>
      </c>
      <c r="R137" s="11" t="s">
        <v>32</v>
      </c>
      <c r="S137" s="11" t="s">
        <v>47</v>
      </c>
      <c r="T137" s="11" t="s">
        <v>34</v>
      </c>
      <c r="U137" s="11">
        <v>5</v>
      </c>
      <c r="V137" s="11" t="str">
        <f>TEXT('E-Commerce Sales Data'!$B137,"mmmm")</f>
        <v>July</v>
      </c>
      <c r="W137" s="8">
        <f t="shared" si="8"/>
        <v>4620152</v>
      </c>
      <c r="X137">
        <f t="shared" si="9"/>
        <v>1065</v>
      </c>
      <c r="Y137">
        <f t="shared" si="10"/>
        <v>25390.521126760563</v>
      </c>
      <c r="Z137">
        <f t="shared" si="11"/>
        <v>55</v>
      </c>
    </row>
    <row r="138" spans="1:26" x14ac:dyDescent="0.25">
      <c r="A138" s="5" t="s">
        <v>241</v>
      </c>
      <c r="B138" s="6">
        <v>46584</v>
      </c>
      <c r="C138" s="7" t="s">
        <v>118</v>
      </c>
      <c r="D138" s="7" t="s">
        <v>72</v>
      </c>
      <c r="E138" s="7">
        <v>35</v>
      </c>
      <c r="F138" s="7" t="s">
        <v>24</v>
      </c>
      <c r="G138" s="7" t="s">
        <v>84</v>
      </c>
      <c r="H138" s="7" t="s">
        <v>85</v>
      </c>
      <c r="I138" s="7" t="s">
        <v>52</v>
      </c>
      <c r="J138" s="7" t="s">
        <v>42</v>
      </c>
      <c r="K138" s="7" t="s">
        <v>60</v>
      </c>
      <c r="L138" s="7" t="s">
        <v>61</v>
      </c>
      <c r="M138" s="7" t="s">
        <v>62</v>
      </c>
      <c r="N138" s="7">
        <v>3900</v>
      </c>
      <c r="O138" s="7">
        <v>10</v>
      </c>
      <c r="P138" s="16">
        <v>0.03</v>
      </c>
      <c r="Q138" s="7">
        <v>940</v>
      </c>
      <c r="R138" s="7" t="s">
        <v>55</v>
      </c>
      <c r="S138" s="7" t="s">
        <v>33</v>
      </c>
      <c r="T138" s="7" t="s">
        <v>34</v>
      </c>
      <c r="U138" s="7">
        <v>4</v>
      </c>
      <c r="V138" s="7" t="str">
        <f>TEXT('E-Commerce Sales Data'!$B138,"mmmm")</f>
        <v>July</v>
      </c>
      <c r="W138" s="8">
        <f t="shared" si="8"/>
        <v>4616632</v>
      </c>
      <c r="X138">
        <f t="shared" si="9"/>
        <v>1064</v>
      </c>
      <c r="Y138">
        <f t="shared" si="10"/>
        <v>25395.49342105263</v>
      </c>
      <c r="Z138">
        <f t="shared" si="11"/>
        <v>55</v>
      </c>
    </row>
    <row r="139" spans="1:26" x14ac:dyDescent="0.25">
      <c r="A139" s="9" t="s">
        <v>242</v>
      </c>
      <c r="B139" s="10">
        <v>46591</v>
      </c>
      <c r="C139" s="11" t="s">
        <v>120</v>
      </c>
      <c r="D139" s="11" t="s">
        <v>23</v>
      </c>
      <c r="E139" s="11">
        <v>24</v>
      </c>
      <c r="F139" s="11" t="s">
        <v>38</v>
      </c>
      <c r="G139" s="11" t="s">
        <v>25</v>
      </c>
      <c r="H139" s="11" t="s">
        <v>26</v>
      </c>
      <c r="I139" s="11" t="s">
        <v>27</v>
      </c>
      <c r="J139" s="11" t="s">
        <v>28</v>
      </c>
      <c r="K139" s="11" t="s">
        <v>43</v>
      </c>
      <c r="L139" s="11" t="s">
        <v>68</v>
      </c>
      <c r="M139" s="11" t="s">
        <v>69</v>
      </c>
      <c r="N139" s="11">
        <v>16800</v>
      </c>
      <c r="O139" s="11">
        <v>2</v>
      </c>
      <c r="P139" s="17">
        <v>0.1</v>
      </c>
      <c r="Q139" s="11">
        <v>2600</v>
      </c>
      <c r="R139" s="11" t="s">
        <v>32</v>
      </c>
      <c r="S139" s="11" t="s">
        <v>47</v>
      </c>
      <c r="T139" s="11" t="s">
        <v>34</v>
      </c>
      <c r="U139" s="11">
        <v>5</v>
      </c>
      <c r="V139" s="11" t="str">
        <f>TEXT('E-Commerce Sales Data'!$B139,"mmmm")</f>
        <v>July</v>
      </c>
      <c r="W139" s="8">
        <f t="shared" si="8"/>
        <v>4615692</v>
      </c>
      <c r="X139">
        <f t="shared" si="9"/>
        <v>1063</v>
      </c>
      <c r="Y139">
        <f t="shared" si="10"/>
        <v>25415.71495766698</v>
      </c>
      <c r="Z139">
        <f t="shared" si="11"/>
        <v>55</v>
      </c>
    </row>
    <row r="140" spans="1:26" x14ac:dyDescent="0.25">
      <c r="A140" s="5" t="s">
        <v>243</v>
      </c>
      <c r="B140" s="6">
        <v>46598</v>
      </c>
      <c r="C140" s="7" t="s">
        <v>122</v>
      </c>
      <c r="D140" s="7" t="s">
        <v>50</v>
      </c>
      <c r="E140" s="7">
        <v>43</v>
      </c>
      <c r="F140" s="7" t="s">
        <v>24</v>
      </c>
      <c r="G140" s="7" t="s">
        <v>101</v>
      </c>
      <c r="H140" s="7" t="s">
        <v>102</v>
      </c>
      <c r="I140" s="7" t="s">
        <v>41</v>
      </c>
      <c r="J140" s="7" t="s">
        <v>42</v>
      </c>
      <c r="K140" s="7" t="s">
        <v>29</v>
      </c>
      <c r="L140" s="7" t="s">
        <v>53</v>
      </c>
      <c r="M140" s="7" t="s">
        <v>75</v>
      </c>
      <c r="N140" s="7">
        <v>3000</v>
      </c>
      <c r="O140" s="7">
        <v>4</v>
      </c>
      <c r="P140" s="16">
        <v>0.05</v>
      </c>
      <c r="Q140" s="7">
        <v>735</v>
      </c>
      <c r="R140" s="7" t="s">
        <v>46</v>
      </c>
      <c r="S140" s="7" t="s">
        <v>33</v>
      </c>
      <c r="T140" s="7" t="s">
        <v>34</v>
      </c>
      <c r="U140" s="7">
        <v>3</v>
      </c>
      <c r="V140" s="7" t="str">
        <f>TEXT('E-Commerce Sales Data'!$B140,"mmmm")</f>
        <v>July</v>
      </c>
      <c r="W140" s="8">
        <f t="shared" si="8"/>
        <v>4613092</v>
      </c>
      <c r="X140">
        <f t="shared" si="9"/>
        <v>1062</v>
      </c>
      <c r="Y140">
        <f t="shared" si="10"/>
        <v>25423.827683615818</v>
      </c>
      <c r="Z140">
        <f t="shared" si="11"/>
        <v>55</v>
      </c>
    </row>
    <row r="141" spans="1:26" x14ac:dyDescent="0.25">
      <c r="A141" s="9" t="s">
        <v>244</v>
      </c>
      <c r="B141" s="10">
        <v>46605</v>
      </c>
      <c r="C141" s="11" t="s">
        <v>124</v>
      </c>
      <c r="D141" s="11" t="s">
        <v>100</v>
      </c>
      <c r="E141" s="11">
        <v>32</v>
      </c>
      <c r="F141" s="11" t="s">
        <v>38</v>
      </c>
      <c r="G141" s="11" t="s">
        <v>78</v>
      </c>
      <c r="H141" s="11" t="s">
        <v>26</v>
      </c>
      <c r="I141" s="11" t="s">
        <v>27</v>
      </c>
      <c r="J141" s="11" t="s">
        <v>28</v>
      </c>
      <c r="K141" s="11" t="s">
        <v>29</v>
      </c>
      <c r="L141" s="11" t="s">
        <v>53</v>
      </c>
      <c r="M141" s="11" t="s">
        <v>79</v>
      </c>
      <c r="N141" s="11">
        <v>1320</v>
      </c>
      <c r="O141" s="11">
        <v>7</v>
      </c>
      <c r="P141" s="17">
        <v>0</v>
      </c>
      <c r="Q141" s="11">
        <v>385</v>
      </c>
      <c r="R141" s="11" t="s">
        <v>32</v>
      </c>
      <c r="S141" s="11" t="s">
        <v>33</v>
      </c>
      <c r="T141" s="11" t="s">
        <v>34</v>
      </c>
      <c r="U141" s="11">
        <v>4</v>
      </c>
      <c r="V141" s="11" t="str">
        <f>TEXT('E-Commerce Sales Data'!$B141,"mmmm")</f>
        <v>August</v>
      </c>
      <c r="W141" s="8">
        <f t="shared" si="8"/>
        <v>4612357</v>
      </c>
      <c r="X141">
        <f t="shared" si="9"/>
        <v>1061</v>
      </c>
      <c r="Y141">
        <f t="shared" si="10"/>
        <v>25444.962299717248</v>
      </c>
      <c r="Z141">
        <f t="shared" si="11"/>
        <v>55</v>
      </c>
    </row>
    <row r="142" spans="1:26" x14ac:dyDescent="0.25">
      <c r="A142" s="5" t="s">
        <v>245</v>
      </c>
      <c r="B142" s="6">
        <v>46612</v>
      </c>
      <c r="C142" s="7" t="s">
        <v>22</v>
      </c>
      <c r="D142" s="7" t="s">
        <v>23</v>
      </c>
      <c r="E142" s="7">
        <v>28</v>
      </c>
      <c r="F142" s="7" t="s">
        <v>24</v>
      </c>
      <c r="G142" s="7" t="s">
        <v>25</v>
      </c>
      <c r="H142" s="7" t="s">
        <v>26</v>
      </c>
      <c r="I142" s="7" t="s">
        <v>27</v>
      </c>
      <c r="J142" s="7" t="s">
        <v>28</v>
      </c>
      <c r="K142" s="7" t="s">
        <v>29</v>
      </c>
      <c r="L142" s="7" t="s">
        <v>30</v>
      </c>
      <c r="M142" s="7" t="s">
        <v>31</v>
      </c>
      <c r="N142" s="7">
        <v>62500</v>
      </c>
      <c r="O142" s="7">
        <v>1</v>
      </c>
      <c r="P142" s="16">
        <v>0.05</v>
      </c>
      <c r="Q142" s="7">
        <v>8150</v>
      </c>
      <c r="R142" s="7" t="s">
        <v>32</v>
      </c>
      <c r="S142" s="7" t="s">
        <v>47</v>
      </c>
      <c r="T142" s="7" t="s">
        <v>34</v>
      </c>
      <c r="U142" s="7">
        <v>5</v>
      </c>
      <c r="V142" s="7" t="str">
        <f>TEXT('E-Commerce Sales Data'!$B142,"mmmm")</f>
        <v>August</v>
      </c>
      <c r="W142" s="8">
        <f t="shared" si="8"/>
        <v>4611972</v>
      </c>
      <c r="X142">
        <f t="shared" si="9"/>
        <v>1060</v>
      </c>
      <c r="Y142">
        <f t="shared" si="10"/>
        <v>25467.721698113208</v>
      </c>
      <c r="Z142">
        <f t="shared" si="11"/>
        <v>55</v>
      </c>
    </row>
    <row r="143" spans="1:26" x14ac:dyDescent="0.25">
      <c r="A143" s="9" t="s">
        <v>246</v>
      </c>
      <c r="B143" s="10">
        <v>46619</v>
      </c>
      <c r="C143" s="11" t="s">
        <v>36</v>
      </c>
      <c r="D143" s="11" t="s">
        <v>37</v>
      </c>
      <c r="E143" s="11">
        <v>34</v>
      </c>
      <c r="F143" s="11" t="s">
        <v>38</v>
      </c>
      <c r="G143" s="11" t="s">
        <v>39</v>
      </c>
      <c r="H143" s="11" t="s">
        <v>40</v>
      </c>
      <c r="I143" s="11" t="s">
        <v>41</v>
      </c>
      <c r="J143" s="11" t="s">
        <v>42</v>
      </c>
      <c r="K143" s="11" t="s">
        <v>43</v>
      </c>
      <c r="L143" s="11" t="s">
        <v>44</v>
      </c>
      <c r="M143" s="11" t="s">
        <v>45</v>
      </c>
      <c r="N143" s="11">
        <v>8350</v>
      </c>
      <c r="O143" s="11">
        <v>3</v>
      </c>
      <c r="P143" s="17">
        <v>0.1</v>
      </c>
      <c r="Q143" s="11">
        <v>1800</v>
      </c>
      <c r="R143" s="11" t="s">
        <v>46</v>
      </c>
      <c r="S143" s="11" t="s">
        <v>33</v>
      </c>
      <c r="T143" s="11" t="s">
        <v>34</v>
      </c>
      <c r="U143" s="11">
        <v>4</v>
      </c>
      <c r="V143" s="11" t="str">
        <f>TEXT('E-Commerce Sales Data'!$B143,"mmmm")</f>
        <v>August</v>
      </c>
      <c r="W143" s="8">
        <f t="shared" si="8"/>
        <v>4603822</v>
      </c>
      <c r="X143">
        <f t="shared" si="9"/>
        <v>1059</v>
      </c>
      <c r="Y143">
        <f t="shared" si="10"/>
        <v>25432.752596789425</v>
      </c>
      <c r="Z143">
        <f t="shared" si="11"/>
        <v>55</v>
      </c>
    </row>
    <row r="144" spans="1:26" x14ac:dyDescent="0.25">
      <c r="A144" s="5" t="s">
        <v>247</v>
      </c>
      <c r="B144" s="6">
        <v>46626</v>
      </c>
      <c r="C144" s="7" t="s">
        <v>49</v>
      </c>
      <c r="D144" s="7" t="s">
        <v>50</v>
      </c>
      <c r="E144" s="7">
        <v>41</v>
      </c>
      <c r="F144" s="7" t="s">
        <v>24</v>
      </c>
      <c r="G144" s="7" t="s">
        <v>51</v>
      </c>
      <c r="H144" s="7" t="s">
        <v>51</v>
      </c>
      <c r="I144" s="7" t="s">
        <v>52</v>
      </c>
      <c r="J144" s="7" t="s">
        <v>28</v>
      </c>
      <c r="K144" s="7" t="s">
        <v>29</v>
      </c>
      <c r="L144" s="7" t="s">
        <v>53</v>
      </c>
      <c r="M144" s="7" t="s">
        <v>54</v>
      </c>
      <c r="N144" s="7">
        <v>18700</v>
      </c>
      <c r="O144" s="7">
        <v>2</v>
      </c>
      <c r="P144" s="16">
        <v>0.05</v>
      </c>
      <c r="Q144" s="7">
        <v>3280</v>
      </c>
      <c r="R144" s="7" t="s">
        <v>55</v>
      </c>
      <c r="S144" s="7" t="s">
        <v>33</v>
      </c>
      <c r="T144" s="7" t="s">
        <v>34</v>
      </c>
      <c r="U144" s="7">
        <v>4</v>
      </c>
      <c r="V144" s="7" t="str">
        <f>TEXT('E-Commerce Sales Data'!$B144,"mmmm")</f>
        <v>August</v>
      </c>
      <c r="W144" s="8">
        <f t="shared" si="8"/>
        <v>4602022</v>
      </c>
      <c r="X144">
        <f t="shared" si="9"/>
        <v>1058</v>
      </c>
      <c r="Y144">
        <f t="shared" si="10"/>
        <v>25448.8988657845</v>
      </c>
      <c r="Z144">
        <f t="shared" si="11"/>
        <v>55</v>
      </c>
    </row>
    <row r="145" spans="1:26" x14ac:dyDescent="0.25">
      <c r="A145" s="9" t="s">
        <v>248</v>
      </c>
      <c r="B145" s="10">
        <v>46633</v>
      </c>
      <c r="C145" s="11" t="s">
        <v>57</v>
      </c>
      <c r="D145" s="11" t="s">
        <v>58</v>
      </c>
      <c r="E145" s="11">
        <v>26</v>
      </c>
      <c r="F145" s="11" t="s">
        <v>38</v>
      </c>
      <c r="G145" s="11" t="s">
        <v>59</v>
      </c>
      <c r="H145" s="11" t="s">
        <v>26</v>
      </c>
      <c r="I145" s="11" t="s">
        <v>27</v>
      </c>
      <c r="J145" s="11" t="s">
        <v>28</v>
      </c>
      <c r="K145" s="11" t="s">
        <v>60</v>
      </c>
      <c r="L145" s="11" t="s">
        <v>61</v>
      </c>
      <c r="M145" s="11" t="s">
        <v>86</v>
      </c>
      <c r="N145" s="11">
        <v>505</v>
      </c>
      <c r="O145" s="11">
        <v>18</v>
      </c>
      <c r="P145" s="17">
        <v>0.02</v>
      </c>
      <c r="Q145" s="11">
        <v>132</v>
      </c>
      <c r="R145" s="11" t="s">
        <v>32</v>
      </c>
      <c r="S145" s="11" t="s">
        <v>33</v>
      </c>
      <c r="T145" s="11" t="s">
        <v>34</v>
      </c>
      <c r="U145" s="11">
        <v>5</v>
      </c>
      <c r="V145" s="11" t="str">
        <f>TEXT('E-Commerce Sales Data'!$B145,"mmmm")</f>
        <v>September</v>
      </c>
      <c r="W145" s="8">
        <f t="shared" si="8"/>
        <v>4598742</v>
      </c>
      <c r="X145">
        <f t="shared" si="9"/>
        <v>1057</v>
      </c>
      <c r="Y145">
        <f t="shared" si="10"/>
        <v>25455.283822138128</v>
      </c>
      <c r="Z145">
        <f t="shared" si="11"/>
        <v>55</v>
      </c>
    </row>
    <row r="146" spans="1:26" x14ac:dyDescent="0.25">
      <c r="A146" s="5" t="s">
        <v>249</v>
      </c>
      <c r="B146" s="6">
        <v>46640</v>
      </c>
      <c r="C146" s="7" t="s">
        <v>64</v>
      </c>
      <c r="D146" s="7" t="s">
        <v>65</v>
      </c>
      <c r="E146" s="7">
        <v>39</v>
      </c>
      <c r="F146" s="7" t="s">
        <v>24</v>
      </c>
      <c r="G146" s="7" t="s">
        <v>66</v>
      </c>
      <c r="H146" s="7" t="s">
        <v>67</v>
      </c>
      <c r="I146" s="7" t="s">
        <v>27</v>
      </c>
      <c r="J146" s="7" t="s">
        <v>42</v>
      </c>
      <c r="K146" s="7" t="s">
        <v>43</v>
      </c>
      <c r="L146" s="7" t="s">
        <v>68</v>
      </c>
      <c r="M146" s="7" t="s">
        <v>69</v>
      </c>
      <c r="N146" s="7">
        <v>17500</v>
      </c>
      <c r="O146" s="7">
        <v>2</v>
      </c>
      <c r="P146" s="16">
        <v>0.08</v>
      </c>
      <c r="Q146" s="7">
        <v>3000</v>
      </c>
      <c r="R146" s="7" t="s">
        <v>46</v>
      </c>
      <c r="S146" s="7" t="s">
        <v>47</v>
      </c>
      <c r="T146" s="7" t="s">
        <v>34</v>
      </c>
      <c r="U146" s="7">
        <v>4</v>
      </c>
      <c r="V146" s="7" t="str">
        <f>TEXT('E-Commerce Sales Data'!$B146,"mmmm")</f>
        <v>September</v>
      </c>
      <c r="W146" s="8">
        <f t="shared" si="8"/>
        <v>4598610</v>
      </c>
      <c r="X146">
        <f t="shared" si="9"/>
        <v>1056</v>
      </c>
      <c r="Y146">
        <f t="shared" si="10"/>
        <v>25478.910984848484</v>
      </c>
      <c r="Z146">
        <f t="shared" si="11"/>
        <v>55</v>
      </c>
    </row>
    <row r="147" spans="1:26" x14ac:dyDescent="0.25">
      <c r="A147" s="9" t="s">
        <v>250</v>
      </c>
      <c r="B147" s="10">
        <v>46647</v>
      </c>
      <c r="C147" s="11" t="s">
        <v>71</v>
      </c>
      <c r="D147" s="11" t="s">
        <v>72</v>
      </c>
      <c r="E147" s="11">
        <v>31</v>
      </c>
      <c r="F147" s="11" t="s">
        <v>38</v>
      </c>
      <c r="G147" s="11" t="s">
        <v>73</v>
      </c>
      <c r="H147" s="11" t="s">
        <v>74</v>
      </c>
      <c r="I147" s="11" t="s">
        <v>41</v>
      </c>
      <c r="J147" s="11" t="s">
        <v>28</v>
      </c>
      <c r="K147" s="11" t="s">
        <v>29</v>
      </c>
      <c r="L147" s="11" t="s">
        <v>53</v>
      </c>
      <c r="M147" s="11" t="s">
        <v>75</v>
      </c>
      <c r="N147" s="11">
        <v>2800</v>
      </c>
      <c r="O147" s="11">
        <v>3</v>
      </c>
      <c r="P147" s="17">
        <v>0.05</v>
      </c>
      <c r="Q147" s="11">
        <v>670</v>
      </c>
      <c r="R147" s="11" t="s">
        <v>32</v>
      </c>
      <c r="S147" s="11" t="s">
        <v>33</v>
      </c>
      <c r="T147" s="11" t="s">
        <v>34</v>
      </c>
      <c r="U147" s="11">
        <v>4</v>
      </c>
      <c r="V147" s="11" t="str">
        <f>TEXT('E-Commerce Sales Data'!$B147,"mmmm")</f>
        <v>September</v>
      </c>
      <c r="W147" s="8">
        <f t="shared" si="8"/>
        <v>4595610</v>
      </c>
      <c r="X147">
        <f t="shared" si="9"/>
        <v>1055</v>
      </c>
      <c r="Y147">
        <f t="shared" si="10"/>
        <v>25486.473933649289</v>
      </c>
      <c r="Z147">
        <f t="shared" si="11"/>
        <v>55</v>
      </c>
    </row>
    <row r="148" spans="1:26" x14ac:dyDescent="0.25">
      <c r="A148" s="5" t="s">
        <v>251</v>
      </c>
      <c r="B148" s="6">
        <v>46654</v>
      </c>
      <c r="C148" s="7" t="s">
        <v>77</v>
      </c>
      <c r="D148" s="7" t="s">
        <v>23</v>
      </c>
      <c r="E148" s="7">
        <v>29</v>
      </c>
      <c r="F148" s="7" t="s">
        <v>24</v>
      </c>
      <c r="G148" s="7" t="s">
        <v>78</v>
      </c>
      <c r="H148" s="7" t="s">
        <v>26</v>
      </c>
      <c r="I148" s="7" t="s">
        <v>27</v>
      </c>
      <c r="J148" s="7" t="s">
        <v>28</v>
      </c>
      <c r="K148" s="7" t="s">
        <v>29</v>
      </c>
      <c r="L148" s="7" t="s">
        <v>53</v>
      </c>
      <c r="M148" s="7" t="s">
        <v>79</v>
      </c>
      <c r="N148" s="7">
        <v>1380</v>
      </c>
      <c r="O148" s="7">
        <v>6</v>
      </c>
      <c r="P148" s="16">
        <v>0</v>
      </c>
      <c r="Q148" s="7">
        <v>405</v>
      </c>
      <c r="R148" s="7" t="s">
        <v>80</v>
      </c>
      <c r="S148" s="7" t="s">
        <v>33</v>
      </c>
      <c r="T148" s="7" t="s">
        <v>34</v>
      </c>
      <c r="U148" s="7">
        <v>3</v>
      </c>
      <c r="V148" s="7" t="str">
        <f>TEXT('E-Commerce Sales Data'!$B148,"mmmm")</f>
        <v>September</v>
      </c>
      <c r="W148" s="8">
        <f t="shared" si="8"/>
        <v>4594940</v>
      </c>
      <c r="X148">
        <f t="shared" si="9"/>
        <v>1054</v>
      </c>
      <c r="Y148">
        <f t="shared" si="10"/>
        <v>25507.998102466794</v>
      </c>
      <c r="Z148">
        <f t="shared" si="11"/>
        <v>55</v>
      </c>
    </row>
    <row r="149" spans="1:26" x14ac:dyDescent="0.25">
      <c r="A149" s="9" t="s">
        <v>252</v>
      </c>
      <c r="B149" s="10">
        <v>46661</v>
      </c>
      <c r="C149" s="11" t="s">
        <v>82</v>
      </c>
      <c r="D149" s="11" t="s">
        <v>83</v>
      </c>
      <c r="E149" s="11">
        <v>37</v>
      </c>
      <c r="F149" s="11" t="s">
        <v>38</v>
      </c>
      <c r="G149" s="11" t="s">
        <v>84</v>
      </c>
      <c r="H149" s="11" t="s">
        <v>85</v>
      </c>
      <c r="I149" s="11" t="s">
        <v>52</v>
      </c>
      <c r="J149" s="11" t="s">
        <v>42</v>
      </c>
      <c r="K149" s="11" t="s">
        <v>60</v>
      </c>
      <c r="L149" s="11" t="s">
        <v>61</v>
      </c>
      <c r="M149" s="11" t="s">
        <v>62</v>
      </c>
      <c r="N149" s="11">
        <v>3600</v>
      </c>
      <c r="O149" s="11">
        <v>10</v>
      </c>
      <c r="P149" s="17">
        <v>0.02</v>
      </c>
      <c r="Q149" s="11">
        <v>970</v>
      </c>
      <c r="R149" s="11" t="s">
        <v>32</v>
      </c>
      <c r="S149" s="11" t="s">
        <v>33</v>
      </c>
      <c r="T149" s="11" t="s">
        <v>34</v>
      </c>
      <c r="U149" s="11">
        <v>5</v>
      </c>
      <c r="V149" s="11" t="str">
        <f>TEXT('E-Commerce Sales Data'!$B149,"mmmm")</f>
        <v>October</v>
      </c>
      <c r="W149" s="8">
        <f t="shared" si="8"/>
        <v>4594535</v>
      </c>
      <c r="X149">
        <f t="shared" si="9"/>
        <v>1053</v>
      </c>
      <c r="Y149">
        <f t="shared" si="10"/>
        <v>25530.911680911682</v>
      </c>
      <c r="Z149">
        <f t="shared" si="11"/>
        <v>55</v>
      </c>
    </row>
    <row r="150" spans="1:26" x14ac:dyDescent="0.25">
      <c r="A150" s="5" t="s">
        <v>253</v>
      </c>
      <c r="B150" s="6">
        <v>46668</v>
      </c>
      <c r="C150" s="7" t="s">
        <v>88</v>
      </c>
      <c r="D150" s="7" t="s">
        <v>37</v>
      </c>
      <c r="E150" s="7">
        <v>45</v>
      </c>
      <c r="F150" s="7" t="s">
        <v>24</v>
      </c>
      <c r="G150" s="7" t="s">
        <v>89</v>
      </c>
      <c r="H150" s="7" t="s">
        <v>90</v>
      </c>
      <c r="I150" s="7" t="s">
        <v>91</v>
      </c>
      <c r="J150" s="7" t="s">
        <v>42</v>
      </c>
      <c r="K150" s="7" t="s">
        <v>43</v>
      </c>
      <c r="L150" s="7" t="s">
        <v>92</v>
      </c>
      <c r="M150" s="7" t="s">
        <v>93</v>
      </c>
      <c r="N150" s="7">
        <v>13000</v>
      </c>
      <c r="O150" s="7">
        <v>1</v>
      </c>
      <c r="P150" s="16">
        <v>0.1</v>
      </c>
      <c r="Q150" s="7">
        <v>2170</v>
      </c>
      <c r="R150" s="7" t="s">
        <v>46</v>
      </c>
      <c r="S150" s="7" t="s">
        <v>47</v>
      </c>
      <c r="T150" s="7" t="s">
        <v>34</v>
      </c>
      <c r="U150" s="7">
        <v>4</v>
      </c>
      <c r="V150" s="7" t="str">
        <f>TEXT('E-Commerce Sales Data'!$B150,"mmmm")</f>
        <v>October</v>
      </c>
      <c r="W150" s="8">
        <f t="shared" si="8"/>
        <v>4593565</v>
      </c>
      <c r="X150">
        <f t="shared" si="9"/>
        <v>1052</v>
      </c>
      <c r="Y150">
        <f t="shared" si="10"/>
        <v>25551.758555133081</v>
      </c>
      <c r="Z150">
        <f t="shared" si="11"/>
        <v>55</v>
      </c>
    </row>
    <row r="151" spans="1:26" x14ac:dyDescent="0.25">
      <c r="A151" s="9" t="s">
        <v>254</v>
      </c>
      <c r="B151" s="10">
        <v>46675</v>
      </c>
      <c r="C151" s="11" t="s">
        <v>95</v>
      </c>
      <c r="D151" s="11" t="s">
        <v>65</v>
      </c>
      <c r="E151" s="11">
        <v>25</v>
      </c>
      <c r="F151" s="11" t="s">
        <v>38</v>
      </c>
      <c r="G151" s="11" t="s">
        <v>25</v>
      </c>
      <c r="H151" s="11" t="s">
        <v>26</v>
      </c>
      <c r="I151" s="11" t="s">
        <v>27</v>
      </c>
      <c r="J151" s="11" t="s">
        <v>28</v>
      </c>
      <c r="K151" s="11" t="s">
        <v>29</v>
      </c>
      <c r="L151" s="11" t="s">
        <v>96</v>
      </c>
      <c r="M151" s="11" t="s">
        <v>97</v>
      </c>
      <c r="N151" s="11">
        <v>15500</v>
      </c>
      <c r="O151" s="11">
        <v>2</v>
      </c>
      <c r="P151" s="17">
        <v>0.05</v>
      </c>
      <c r="Q151" s="11">
        <v>2900</v>
      </c>
      <c r="R151" s="11" t="s">
        <v>32</v>
      </c>
      <c r="S151" s="11" t="s">
        <v>33</v>
      </c>
      <c r="T151" s="11" t="s">
        <v>34</v>
      </c>
      <c r="U151" s="11">
        <v>4</v>
      </c>
      <c r="V151" s="11" t="str">
        <f>TEXT('E-Commerce Sales Data'!$B151,"mmmm")</f>
        <v>October</v>
      </c>
      <c r="W151" s="8">
        <f t="shared" si="8"/>
        <v>4591395</v>
      </c>
      <c r="X151">
        <f t="shared" si="9"/>
        <v>1051</v>
      </c>
      <c r="Y151">
        <f t="shared" si="10"/>
        <v>25563.701236917223</v>
      </c>
      <c r="Z151">
        <f t="shared" si="11"/>
        <v>55</v>
      </c>
    </row>
    <row r="152" spans="1:26" x14ac:dyDescent="0.25">
      <c r="A152" s="5" t="s">
        <v>255</v>
      </c>
      <c r="B152" s="6">
        <v>46682</v>
      </c>
      <c r="C152" s="7" t="s">
        <v>99</v>
      </c>
      <c r="D152" s="7" t="s">
        <v>100</v>
      </c>
      <c r="E152" s="7">
        <v>33</v>
      </c>
      <c r="F152" s="7" t="s">
        <v>24</v>
      </c>
      <c r="G152" s="7" t="s">
        <v>101</v>
      </c>
      <c r="H152" s="7" t="s">
        <v>102</v>
      </c>
      <c r="I152" s="7" t="s">
        <v>41</v>
      </c>
      <c r="J152" s="7" t="s">
        <v>28</v>
      </c>
      <c r="K152" s="7" t="s">
        <v>60</v>
      </c>
      <c r="L152" s="7" t="s">
        <v>53</v>
      </c>
      <c r="M152" s="7" t="s">
        <v>103</v>
      </c>
      <c r="N152" s="7">
        <v>735</v>
      </c>
      <c r="O152" s="7">
        <v>25</v>
      </c>
      <c r="P152" s="16">
        <v>0</v>
      </c>
      <c r="Q152" s="7">
        <v>215</v>
      </c>
      <c r="R152" s="7" t="s">
        <v>55</v>
      </c>
      <c r="S152" s="7" t="s">
        <v>33</v>
      </c>
      <c r="T152" s="7" t="s">
        <v>34</v>
      </c>
      <c r="U152" s="7">
        <v>5</v>
      </c>
      <c r="V152" s="7" t="str">
        <f>TEXT('E-Commerce Sales Data'!$B152,"mmmm")</f>
        <v>October</v>
      </c>
      <c r="W152" s="8">
        <f t="shared" si="8"/>
        <v>4588495</v>
      </c>
      <c r="X152">
        <f t="shared" si="9"/>
        <v>1050</v>
      </c>
      <c r="Y152">
        <f t="shared" si="10"/>
        <v>25573.285714285714</v>
      </c>
      <c r="Z152">
        <f t="shared" si="11"/>
        <v>55</v>
      </c>
    </row>
    <row r="153" spans="1:26" x14ac:dyDescent="0.25">
      <c r="A153" s="9" t="s">
        <v>256</v>
      </c>
      <c r="B153" s="10">
        <v>46689</v>
      </c>
      <c r="C153" s="11" t="s">
        <v>105</v>
      </c>
      <c r="D153" s="11" t="s">
        <v>58</v>
      </c>
      <c r="E153" s="11">
        <v>42</v>
      </c>
      <c r="F153" s="11" t="s">
        <v>38</v>
      </c>
      <c r="G153" s="11" t="s">
        <v>51</v>
      </c>
      <c r="H153" s="11" t="s">
        <v>51</v>
      </c>
      <c r="I153" s="11" t="s">
        <v>52</v>
      </c>
      <c r="J153" s="11" t="s">
        <v>42</v>
      </c>
      <c r="K153" s="11" t="s">
        <v>43</v>
      </c>
      <c r="L153" s="11" t="s">
        <v>68</v>
      </c>
      <c r="M153" s="11" t="s">
        <v>106</v>
      </c>
      <c r="N153" s="11">
        <v>22800</v>
      </c>
      <c r="O153" s="11">
        <v>1</v>
      </c>
      <c r="P153" s="17">
        <v>0.08</v>
      </c>
      <c r="Q153" s="11">
        <v>4350</v>
      </c>
      <c r="R153" s="11" t="s">
        <v>46</v>
      </c>
      <c r="S153" s="11" t="s">
        <v>47</v>
      </c>
      <c r="T153" s="11" t="s">
        <v>34</v>
      </c>
      <c r="U153" s="11">
        <v>4</v>
      </c>
      <c r="V153" s="11" t="str">
        <f>TEXT('E-Commerce Sales Data'!$B153,"mmmm")</f>
        <v>October</v>
      </c>
      <c r="W153" s="8">
        <f t="shared" si="8"/>
        <v>4588280</v>
      </c>
      <c r="X153">
        <f t="shared" si="9"/>
        <v>1049</v>
      </c>
      <c r="Y153">
        <f t="shared" si="10"/>
        <v>25596.963775023833</v>
      </c>
      <c r="Z153">
        <f t="shared" si="11"/>
        <v>55</v>
      </c>
    </row>
    <row r="154" spans="1:26" x14ac:dyDescent="0.25">
      <c r="A154" s="5" t="s">
        <v>257</v>
      </c>
      <c r="B154" s="6">
        <v>46696</v>
      </c>
      <c r="C154" s="7" t="s">
        <v>108</v>
      </c>
      <c r="D154" s="7" t="s">
        <v>23</v>
      </c>
      <c r="E154" s="7">
        <v>30</v>
      </c>
      <c r="F154" s="7" t="s">
        <v>24</v>
      </c>
      <c r="G154" s="7" t="s">
        <v>59</v>
      </c>
      <c r="H154" s="7" t="s">
        <v>26</v>
      </c>
      <c r="I154" s="7" t="s">
        <v>27</v>
      </c>
      <c r="J154" s="7" t="s">
        <v>28</v>
      </c>
      <c r="K154" s="7" t="s">
        <v>29</v>
      </c>
      <c r="L154" s="7" t="s">
        <v>30</v>
      </c>
      <c r="M154" s="7" t="s">
        <v>31</v>
      </c>
      <c r="N154" s="7">
        <v>67000</v>
      </c>
      <c r="O154" s="7">
        <v>1</v>
      </c>
      <c r="P154" s="16">
        <v>0.1</v>
      </c>
      <c r="Q154" s="7">
        <v>7500</v>
      </c>
      <c r="R154" s="7" t="s">
        <v>32</v>
      </c>
      <c r="S154" s="7" t="s">
        <v>47</v>
      </c>
      <c r="T154" s="7" t="s">
        <v>34</v>
      </c>
      <c r="U154" s="7">
        <v>5</v>
      </c>
      <c r="V154" s="7" t="str">
        <f>TEXT('E-Commerce Sales Data'!$B154,"mmmm")</f>
        <v>November</v>
      </c>
      <c r="W154" s="8">
        <f t="shared" si="8"/>
        <v>4583930</v>
      </c>
      <c r="X154">
        <f t="shared" si="9"/>
        <v>1048</v>
      </c>
      <c r="Y154">
        <f t="shared" si="10"/>
        <v>25599.632633587786</v>
      </c>
      <c r="Z154">
        <f t="shared" si="11"/>
        <v>55</v>
      </c>
    </row>
    <row r="155" spans="1:26" x14ac:dyDescent="0.25">
      <c r="A155" s="9" t="s">
        <v>258</v>
      </c>
      <c r="B155" s="10">
        <v>46703</v>
      </c>
      <c r="C155" s="11" t="s">
        <v>110</v>
      </c>
      <c r="D155" s="11" t="s">
        <v>37</v>
      </c>
      <c r="E155" s="11">
        <v>36</v>
      </c>
      <c r="F155" s="11" t="s">
        <v>38</v>
      </c>
      <c r="G155" s="11" t="s">
        <v>66</v>
      </c>
      <c r="H155" s="11" t="s">
        <v>67</v>
      </c>
      <c r="I155" s="11" t="s">
        <v>27</v>
      </c>
      <c r="J155" s="11" t="s">
        <v>28</v>
      </c>
      <c r="K155" s="11" t="s">
        <v>60</v>
      </c>
      <c r="L155" s="11" t="s">
        <v>92</v>
      </c>
      <c r="M155" s="11" t="s">
        <v>111</v>
      </c>
      <c r="N155" s="11">
        <v>980</v>
      </c>
      <c r="O155" s="11">
        <v>15</v>
      </c>
      <c r="P155" s="17">
        <v>0.05</v>
      </c>
      <c r="Q155" s="11">
        <v>290</v>
      </c>
      <c r="R155" s="11" t="s">
        <v>80</v>
      </c>
      <c r="S155" s="11" t="s">
        <v>33</v>
      </c>
      <c r="T155" s="11" t="s">
        <v>34</v>
      </c>
      <c r="U155" s="11">
        <v>4</v>
      </c>
      <c r="V155" s="11" t="str">
        <f>TEXT('E-Commerce Sales Data'!$B155,"mmmm")</f>
        <v>November</v>
      </c>
      <c r="W155" s="8">
        <f t="shared" si="8"/>
        <v>4576430</v>
      </c>
      <c r="X155">
        <f t="shared" si="9"/>
        <v>1047</v>
      </c>
      <c r="Y155">
        <f t="shared" si="10"/>
        <v>25560.090735434576</v>
      </c>
      <c r="Z155">
        <f t="shared" si="11"/>
        <v>55</v>
      </c>
    </row>
    <row r="156" spans="1:26" x14ac:dyDescent="0.25">
      <c r="A156" s="5" t="s">
        <v>259</v>
      </c>
      <c r="B156" s="6">
        <v>46710</v>
      </c>
      <c r="C156" s="7" t="s">
        <v>113</v>
      </c>
      <c r="D156" s="7" t="s">
        <v>114</v>
      </c>
      <c r="E156" s="7">
        <v>40</v>
      </c>
      <c r="F156" s="7" t="s">
        <v>24</v>
      </c>
      <c r="G156" s="7" t="s">
        <v>73</v>
      </c>
      <c r="H156" s="7" t="s">
        <v>74</v>
      </c>
      <c r="I156" s="7" t="s">
        <v>41</v>
      </c>
      <c r="J156" s="7" t="s">
        <v>42</v>
      </c>
      <c r="K156" s="7" t="s">
        <v>43</v>
      </c>
      <c r="L156" s="7" t="s">
        <v>44</v>
      </c>
      <c r="M156" s="7" t="s">
        <v>45</v>
      </c>
      <c r="N156" s="7">
        <v>9100</v>
      </c>
      <c r="O156" s="7">
        <v>4</v>
      </c>
      <c r="P156" s="16">
        <v>7.0000000000000007E-2</v>
      </c>
      <c r="Q156" s="7">
        <v>1920</v>
      </c>
      <c r="R156" s="7" t="s">
        <v>46</v>
      </c>
      <c r="S156" s="7" t="s">
        <v>33</v>
      </c>
      <c r="T156" s="7" t="s">
        <v>34</v>
      </c>
      <c r="U156" s="7">
        <v>4</v>
      </c>
      <c r="V156" s="7" t="str">
        <f>TEXT('E-Commerce Sales Data'!$B156,"mmmm")</f>
        <v>November</v>
      </c>
      <c r="W156" s="8">
        <f t="shared" si="8"/>
        <v>4576140</v>
      </c>
      <c r="X156">
        <f t="shared" si="9"/>
        <v>1046</v>
      </c>
      <c r="Y156">
        <f t="shared" si="10"/>
        <v>25583.589866156788</v>
      </c>
      <c r="Z156">
        <f t="shared" si="11"/>
        <v>55</v>
      </c>
    </row>
    <row r="157" spans="1:26" x14ac:dyDescent="0.25">
      <c r="A157" s="9" t="s">
        <v>260</v>
      </c>
      <c r="B157" s="10">
        <v>46717</v>
      </c>
      <c r="C157" s="11" t="s">
        <v>116</v>
      </c>
      <c r="D157" s="11" t="s">
        <v>83</v>
      </c>
      <c r="E157" s="11">
        <v>27</v>
      </c>
      <c r="F157" s="11" t="s">
        <v>38</v>
      </c>
      <c r="G157" s="11" t="s">
        <v>39</v>
      </c>
      <c r="H157" s="11" t="s">
        <v>40</v>
      </c>
      <c r="I157" s="11" t="s">
        <v>41</v>
      </c>
      <c r="J157" s="11" t="s">
        <v>28</v>
      </c>
      <c r="K157" s="11" t="s">
        <v>29</v>
      </c>
      <c r="L157" s="11" t="s">
        <v>53</v>
      </c>
      <c r="M157" s="11" t="s">
        <v>54</v>
      </c>
      <c r="N157" s="11">
        <v>20700</v>
      </c>
      <c r="O157" s="11">
        <v>2</v>
      </c>
      <c r="P157" s="17">
        <v>0.05</v>
      </c>
      <c r="Q157" s="11">
        <v>3650</v>
      </c>
      <c r="R157" s="11" t="s">
        <v>32</v>
      </c>
      <c r="S157" s="11" t="s">
        <v>47</v>
      </c>
      <c r="T157" s="11" t="s">
        <v>34</v>
      </c>
      <c r="U157" s="11">
        <v>5</v>
      </c>
      <c r="V157" s="11" t="str">
        <f>TEXT('E-Commerce Sales Data'!$B157,"mmmm")</f>
        <v>November</v>
      </c>
      <c r="W157" s="8">
        <f t="shared" si="8"/>
        <v>4574220</v>
      </c>
      <c r="X157">
        <f t="shared" si="9"/>
        <v>1045</v>
      </c>
      <c r="Y157">
        <f t="shared" si="10"/>
        <v>25599.363636363636</v>
      </c>
      <c r="Z157">
        <f t="shared" si="11"/>
        <v>55</v>
      </c>
    </row>
    <row r="158" spans="1:26" x14ac:dyDescent="0.25">
      <c r="A158" s="5" t="s">
        <v>261</v>
      </c>
      <c r="B158" s="6">
        <v>46724</v>
      </c>
      <c r="C158" s="7" t="s">
        <v>118</v>
      </c>
      <c r="D158" s="7" t="s">
        <v>72</v>
      </c>
      <c r="E158" s="7">
        <v>35</v>
      </c>
      <c r="F158" s="7" t="s">
        <v>24</v>
      </c>
      <c r="G158" s="7" t="s">
        <v>84</v>
      </c>
      <c r="H158" s="7" t="s">
        <v>85</v>
      </c>
      <c r="I158" s="7" t="s">
        <v>52</v>
      </c>
      <c r="J158" s="7" t="s">
        <v>42</v>
      </c>
      <c r="K158" s="7" t="s">
        <v>60</v>
      </c>
      <c r="L158" s="7" t="s">
        <v>61</v>
      </c>
      <c r="M158" s="7" t="s">
        <v>62</v>
      </c>
      <c r="N158" s="7">
        <v>3850</v>
      </c>
      <c r="O158" s="7">
        <v>10</v>
      </c>
      <c r="P158" s="16">
        <v>0.03</v>
      </c>
      <c r="Q158" s="7">
        <v>920</v>
      </c>
      <c r="R158" s="7" t="s">
        <v>55</v>
      </c>
      <c r="S158" s="7" t="s">
        <v>33</v>
      </c>
      <c r="T158" s="7" t="s">
        <v>34</v>
      </c>
      <c r="U158" s="7">
        <v>4</v>
      </c>
      <c r="V158" s="7" t="str">
        <f>TEXT('E-Commerce Sales Data'!$B158,"mmmm")</f>
        <v>December</v>
      </c>
      <c r="W158" s="8">
        <f t="shared" si="8"/>
        <v>4570570</v>
      </c>
      <c r="X158">
        <f t="shared" si="9"/>
        <v>1044</v>
      </c>
      <c r="Y158">
        <f t="shared" si="10"/>
        <v>25604.056513409963</v>
      </c>
      <c r="Z158">
        <f t="shared" si="11"/>
        <v>55</v>
      </c>
    </row>
    <row r="159" spans="1:26" x14ac:dyDescent="0.25">
      <c r="A159" s="9" t="s">
        <v>262</v>
      </c>
      <c r="B159" s="10">
        <v>46731</v>
      </c>
      <c r="C159" s="11" t="s">
        <v>120</v>
      </c>
      <c r="D159" s="11" t="s">
        <v>23</v>
      </c>
      <c r="E159" s="11">
        <v>24</v>
      </c>
      <c r="F159" s="11" t="s">
        <v>38</v>
      </c>
      <c r="G159" s="11" t="s">
        <v>25</v>
      </c>
      <c r="H159" s="11" t="s">
        <v>26</v>
      </c>
      <c r="I159" s="11" t="s">
        <v>27</v>
      </c>
      <c r="J159" s="11" t="s">
        <v>28</v>
      </c>
      <c r="K159" s="11" t="s">
        <v>43</v>
      </c>
      <c r="L159" s="11" t="s">
        <v>68</v>
      </c>
      <c r="M159" s="11" t="s">
        <v>69</v>
      </c>
      <c r="N159" s="11">
        <v>17200</v>
      </c>
      <c r="O159" s="11">
        <v>2</v>
      </c>
      <c r="P159" s="17">
        <v>0.1</v>
      </c>
      <c r="Q159" s="11">
        <v>2670</v>
      </c>
      <c r="R159" s="11" t="s">
        <v>32</v>
      </c>
      <c r="S159" s="11" t="s">
        <v>47</v>
      </c>
      <c r="T159" s="11" t="s">
        <v>34</v>
      </c>
      <c r="U159" s="11">
        <v>5</v>
      </c>
      <c r="V159" s="11" t="str">
        <f>TEXT('E-Commerce Sales Data'!$B159,"mmmm")</f>
        <v>December</v>
      </c>
      <c r="W159" s="8">
        <f t="shared" si="8"/>
        <v>4569650</v>
      </c>
      <c r="X159">
        <f t="shared" si="9"/>
        <v>1043</v>
      </c>
      <c r="Y159">
        <f t="shared" si="10"/>
        <v>25624.913710450623</v>
      </c>
      <c r="Z159">
        <f t="shared" si="11"/>
        <v>55</v>
      </c>
    </row>
    <row r="160" spans="1:26" x14ac:dyDescent="0.25">
      <c r="A160" s="5" t="s">
        <v>263</v>
      </c>
      <c r="B160" s="6">
        <v>46738</v>
      </c>
      <c r="C160" s="7" t="s">
        <v>122</v>
      </c>
      <c r="D160" s="7" t="s">
        <v>50</v>
      </c>
      <c r="E160" s="7">
        <v>43</v>
      </c>
      <c r="F160" s="7" t="s">
        <v>24</v>
      </c>
      <c r="G160" s="7" t="s">
        <v>101</v>
      </c>
      <c r="H160" s="7" t="s">
        <v>102</v>
      </c>
      <c r="I160" s="7" t="s">
        <v>41</v>
      </c>
      <c r="J160" s="7" t="s">
        <v>42</v>
      </c>
      <c r="K160" s="7" t="s">
        <v>29</v>
      </c>
      <c r="L160" s="7" t="s">
        <v>53</v>
      </c>
      <c r="M160" s="7" t="s">
        <v>75</v>
      </c>
      <c r="N160" s="7">
        <v>3100</v>
      </c>
      <c r="O160" s="7">
        <v>4</v>
      </c>
      <c r="P160" s="16">
        <v>0.05</v>
      </c>
      <c r="Q160" s="7">
        <v>750</v>
      </c>
      <c r="R160" s="7" t="s">
        <v>46</v>
      </c>
      <c r="S160" s="7" t="s">
        <v>33</v>
      </c>
      <c r="T160" s="7" t="s">
        <v>34</v>
      </c>
      <c r="U160" s="7">
        <v>3</v>
      </c>
      <c r="V160" s="7" t="str">
        <f>TEXT('E-Commerce Sales Data'!$B160,"mmmm")</f>
        <v>December</v>
      </c>
      <c r="W160" s="8">
        <f t="shared" si="8"/>
        <v>4566980</v>
      </c>
      <c r="X160">
        <f t="shared" si="9"/>
        <v>1042</v>
      </c>
      <c r="Y160">
        <f t="shared" si="10"/>
        <v>25632.999040307102</v>
      </c>
      <c r="Z160">
        <f t="shared" si="11"/>
        <v>55</v>
      </c>
    </row>
    <row r="161" spans="1:26" x14ac:dyDescent="0.25">
      <c r="A161" s="9" t="s">
        <v>264</v>
      </c>
      <c r="B161" s="10">
        <v>46745</v>
      </c>
      <c r="C161" s="11" t="s">
        <v>124</v>
      </c>
      <c r="D161" s="11" t="s">
        <v>100</v>
      </c>
      <c r="E161" s="11">
        <v>32</v>
      </c>
      <c r="F161" s="11" t="s">
        <v>38</v>
      </c>
      <c r="G161" s="11" t="s">
        <v>78</v>
      </c>
      <c r="H161" s="11" t="s">
        <v>26</v>
      </c>
      <c r="I161" s="11" t="s">
        <v>27</v>
      </c>
      <c r="J161" s="11" t="s">
        <v>28</v>
      </c>
      <c r="K161" s="11" t="s">
        <v>29</v>
      </c>
      <c r="L161" s="11" t="s">
        <v>53</v>
      </c>
      <c r="M161" s="11" t="s">
        <v>79</v>
      </c>
      <c r="N161" s="11">
        <v>1420</v>
      </c>
      <c r="O161" s="11">
        <v>7</v>
      </c>
      <c r="P161" s="17">
        <v>0</v>
      </c>
      <c r="Q161" s="11">
        <v>415</v>
      </c>
      <c r="R161" s="11" t="s">
        <v>32</v>
      </c>
      <c r="S161" s="11" t="s">
        <v>33</v>
      </c>
      <c r="T161" s="11" t="s">
        <v>34</v>
      </c>
      <c r="U161" s="11">
        <v>4</v>
      </c>
      <c r="V161" s="11" t="str">
        <f>TEXT('E-Commerce Sales Data'!$B161,"mmmm")</f>
        <v>December</v>
      </c>
      <c r="W161" s="8">
        <f t="shared" si="8"/>
        <v>4566230</v>
      </c>
      <c r="X161">
        <f t="shared" si="9"/>
        <v>1041</v>
      </c>
      <c r="Y161">
        <f t="shared" si="10"/>
        <v>25654.644572526417</v>
      </c>
      <c r="Z161">
        <f t="shared" si="11"/>
        <v>55</v>
      </c>
    </row>
    <row r="162" spans="1:26" x14ac:dyDescent="0.25">
      <c r="A162" s="5" t="s">
        <v>265</v>
      </c>
      <c r="B162" s="6">
        <v>46752</v>
      </c>
      <c r="C162" s="7" t="s">
        <v>22</v>
      </c>
      <c r="D162" s="7" t="s">
        <v>23</v>
      </c>
      <c r="E162" s="7">
        <v>28</v>
      </c>
      <c r="F162" s="7" t="s">
        <v>24</v>
      </c>
      <c r="G162" s="7" t="s">
        <v>25</v>
      </c>
      <c r="H162" s="7" t="s">
        <v>26</v>
      </c>
      <c r="I162" s="7" t="s">
        <v>27</v>
      </c>
      <c r="J162" s="7" t="s">
        <v>28</v>
      </c>
      <c r="K162" s="7" t="s">
        <v>29</v>
      </c>
      <c r="L162" s="7" t="s">
        <v>30</v>
      </c>
      <c r="M162" s="7" t="s">
        <v>31</v>
      </c>
      <c r="N162" s="7">
        <v>61500</v>
      </c>
      <c r="O162" s="7">
        <v>1</v>
      </c>
      <c r="P162" s="16">
        <v>0.05</v>
      </c>
      <c r="Q162" s="7">
        <v>8050</v>
      </c>
      <c r="R162" s="7" t="s">
        <v>32</v>
      </c>
      <c r="S162" s="7" t="s">
        <v>47</v>
      </c>
      <c r="T162" s="7" t="s">
        <v>34</v>
      </c>
      <c r="U162" s="7">
        <v>5</v>
      </c>
      <c r="V162" s="7" t="str">
        <f>TEXT('E-Commerce Sales Data'!$B162,"mmmm")</f>
        <v>December</v>
      </c>
      <c r="W162" s="8">
        <f t="shared" si="8"/>
        <v>4565815</v>
      </c>
      <c r="X162">
        <f t="shared" si="9"/>
        <v>1040</v>
      </c>
      <c r="Y162">
        <f t="shared" si="10"/>
        <v>25677.947115384617</v>
      </c>
      <c r="Z162">
        <f t="shared" si="11"/>
        <v>55</v>
      </c>
    </row>
    <row r="163" spans="1:26" x14ac:dyDescent="0.25">
      <c r="A163" s="9" t="s">
        <v>266</v>
      </c>
      <c r="B163" s="10">
        <v>46759</v>
      </c>
      <c r="C163" s="11" t="s">
        <v>36</v>
      </c>
      <c r="D163" s="11" t="s">
        <v>37</v>
      </c>
      <c r="E163" s="11">
        <v>34</v>
      </c>
      <c r="F163" s="11" t="s">
        <v>38</v>
      </c>
      <c r="G163" s="11" t="s">
        <v>39</v>
      </c>
      <c r="H163" s="11" t="s">
        <v>40</v>
      </c>
      <c r="I163" s="11" t="s">
        <v>41</v>
      </c>
      <c r="J163" s="11" t="s">
        <v>42</v>
      </c>
      <c r="K163" s="11" t="s">
        <v>43</v>
      </c>
      <c r="L163" s="11" t="s">
        <v>44</v>
      </c>
      <c r="M163" s="11" t="s">
        <v>45</v>
      </c>
      <c r="N163" s="11">
        <v>8250</v>
      </c>
      <c r="O163" s="11">
        <v>3</v>
      </c>
      <c r="P163" s="17">
        <v>0.1</v>
      </c>
      <c r="Q163" s="11">
        <v>1770</v>
      </c>
      <c r="R163" s="11" t="s">
        <v>46</v>
      </c>
      <c r="S163" s="11" t="s">
        <v>33</v>
      </c>
      <c r="T163" s="11" t="s">
        <v>34</v>
      </c>
      <c r="U163" s="11">
        <v>4</v>
      </c>
      <c r="V163" s="11" t="str">
        <f>TEXT('E-Commerce Sales Data'!$B163,"mmmm")</f>
        <v>January</v>
      </c>
      <c r="W163" s="8">
        <f t="shared" si="8"/>
        <v>4557765</v>
      </c>
      <c r="X163">
        <f t="shared" si="9"/>
        <v>1039</v>
      </c>
      <c r="Y163">
        <f t="shared" si="10"/>
        <v>25643.469682386909</v>
      </c>
      <c r="Z163">
        <f t="shared" si="11"/>
        <v>55</v>
      </c>
    </row>
    <row r="164" spans="1:26" x14ac:dyDescent="0.25">
      <c r="A164" s="5" t="s">
        <v>267</v>
      </c>
      <c r="B164" s="6">
        <v>46766</v>
      </c>
      <c r="C164" s="7" t="s">
        <v>49</v>
      </c>
      <c r="D164" s="7" t="s">
        <v>50</v>
      </c>
      <c r="E164" s="7">
        <v>41</v>
      </c>
      <c r="F164" s="7" t="s">
        <v>24</v>
      </c>
      <c r="G164" s="7" t="s">
        <v>51</v>
      </c>
      <c r="H164" s="7" t="s">
        <v>51</v>
      </c>
      <c r="I164" s="7" t="s">
        <v>52</v>
      </c>
      <c r="J164" s="7" t="s">
        <v>28</v>
      </c>
      <c r="K164" s="7" t="s">
        <v>29</v>
      </c>
      <c r="L164" s="7" t="s">
        <v>53</v>
      </c>
      <c r="M164" s="7" t="s">
        <v>54</v>
      </c>
      <c r="N164" s="7">
        <v>19000</v>
      </c>
      <c r="O164" s="7">
        <v>2</v>
      </c>
      <c r="P164" s="16">
        <v>0.05</v>
      </c>
      <c r="Q164" s="7">
        <v>3350</v>
      </c>
      <c r="R164" s="7" t="s">
        <v>55</v>
      </c>
      <c r="S164" s="7" t="s">
        <v>33</v>
      </c>
      <c r="T164" s="7" t="s">
        <v>34</v>
      </c>
      <c r="U164" s="7">
        <v>4</v>
      </c>
      <c r="V164" s="7" t="str">
        <f>TEXT('E-Commerce Sales Data'!$B164,"mmmm")</f>
        <v>January</v>
      </c>
      <c r="W164" s="8">
        <f t="shared" si="8"/>
        <v>4555995</v>
      </c>
      <c r="X164">
        <f t="shared" si="9"/>
        <v>1038</v>
      </c>
      <c r="Y164">
        <f t="shared" si="10"/>
        <v>25660.226396917147</v>
      </c>
      <c r="Z164">
        <f t="shared" si="11"/>
        <v>55</v>
      </c>
    </row>
    <row r="165" spans="1:26" x14ac:dyDescent="0.25">
      <c r="A165" s="9" t="s">
        <v>268</v>
      </c>
      <c r="B165" s="10">
        <v>46773</v>
      </c>
      <c r="C165" s="11" t="s">
        <v>57</v>
      </c>
      <c r="D165" s="11" t="s">
        <v>58</v>
      </c>
      <c r="E165" s="11">
        <v>26</v>
      </c>
      <c r="F165" s="11" t="s">
        <v>38</v>
      </c>
      <c r="G165" s="11" t="s">
        <v>59</v>
      </c>
      <c r="H165" s="11" t="s">
        <v>26</v>
      </c>
      <c r="I165" s="11" t="s">
        <v>27</v>
      </c>
      <c r="J165" s="11" t="s">
        <v>28</v>
      </c>
      <c r="K165" s="11" t="s">
        <v>60</v>
      </c>
      <c r="L165" s="11" t="s">
        <v>61</v>
      </c>
      <c r="M165" s="11" t="s">
        <v>86</v>
      </c>
      <c r="N165" s="11">
        <v>540</v>
      </c>
      <c r="O165" s="11">
        <v>20</v>
      </c>
      <c r="P165" s="17">
        <v>0.02</v>
      </c>
      <c r="Q165" s="11">
        <v>150</v>
      </c>
      <c r="R165" s="11" t="s">
        <v>32</v>
      </c>
      <c r="S165" s="11" t="s">
        <v>33</v>
      </c>
      <c r="T165" s="11" t="s">
        <v>34</v>
      </c>
      <c r="U165" s="11">
        <v>5</v>
      </c>
      <c r="V165" s="11" t="str">
        <f>TEXT('E-Commerce Sales Data'!$B165,"mmmm")</f>
        <v>January</v>
      </c>
      <c r="W165" s="8">
        <f t="shared" si="8"/>
        <v>4552645</v>
      </c>
      <c r="X165">
        <f t="shared" si="9"/>
        <v>1037</v>
      </c>
      <c r="Y165">
        <f t="shared" si="10"/>
        <v>25666.648987463839</v>
      </c>
      <c r="Z165">
        <f t="shared" si="11"/>
        <v>55</v>
      </c>
    </row>
    <row r="166" spans="1:26" x14ac:dyDescent="0.25">
      <c r="A166" s="5" t="s">
        <v>269</v>
      </c>
      <c r="B166" s="6">
        <v>46780</v>
      </c>
      <c r="C166" s="7" t="s">
        <v>64</v>
      </c>
      <c r="D166" s="7" t="s">
        <v>65</v>
      </c>
      <c r="E166" s="7">
        <v>39</v>
      </c>
      <c r="F166" s="7" t="s">
        <v>24</v>
      </c>
      <c r="G166" s="7" t="s">
        <v>66</v>
      </c>
      <c r="H166" s="7" t="s">
        <v>67</v>
      </c>
      <c r="I166" s="7" t="s">
        <v>27</v>
      </c>
      <c r="J166" s="7" t="s">
        <v>42</v>
      </c>
      <c r="K166" s="7" t="s">
        <v>43</v>
      </c>
      <c r="L166" s="7" t="s">
        <v>68</v>
      </c>
      <c r="M166" s="7" t="s">
        <v>69</v>
      </c>
      <c r="N166" s="7">
        <v>16900</v>
      </c>
      <c r="O166" s="7">
        <v>2</v>
      </c>
      <c r="P166" s="16">
        <v>0.08</v>
      </c>
      <c r="Q166" s="7">
        <v>2870</v>
      </c>
      <c r="R166" s="7" t="s">
        <v>46</v>
      </c>
      <c r="S166" s="7" t="s">
        <v>47</v>
      </c>
      <c r="T166" s="7" t="s">
        <v>34</v>
      </c>
      <c r="U166" s="7">
        <v>4</v>
      </c>
      <c r="V166" s="7" t="str">
        <f>TEXT('E-Commerce Sales Data'!$B166,"mmmm")</f>
        <v>January</v>
      </c>
      <c r="W166" s="8">
        <f t="shared" si="8"/>
        <v>4552495</v>
      </c>
      <c r="X166">
        <f t="shared" si="9"/>
        <v>1036</v>
      </c>
      <c r="Y166">
        <f t="shared" si="10"/>
        <v>25690.902509652511</v>
      </c>
      <c r="Z166">
        <f t="shared" si="11"/>
        <v>55</v>
      </c>
    </row>
    <row r="167" spans="1:26" x14ac:dyDescent="0.25">
      <c r="A167" s="9" t="s">
        <v>270</v>
      </c>
      <c r="B167" s="10">
        <v>46787</v>
      </c>
      <c r="C167" s="11" t="s">
        <v>71</v>
      </c>
      <c r="D167" s="11" t="s">
        <v>72</v>
      </c>
      <c r="E167" s="11">
        <v>31</v>
      </c>
      <c r="F167" s="11" t="s">
        <v>38</v>
      </c>
      <c r="G167" s="11" t="s">
        <v>73</v>
      </c>
      <c r="H167" s="11" t="s">
        <v>74</v>
      </c>
      <c r="I167" s="11" t="s">
        <v>41</v>
      </c>
      <c r="J167" s="11" t="s">
        <v>28</v>
      </c>
      <c r="K167" s="11" t="s">
        <v>29</v>
      </c>
      <c r="L167" s="11" t="s">
        <v>53</v>
      </c>
      <c r="M167" s="11" t="s">
        <v>75</v>
      </c>
      <c r="N167" s="11">
        <v>2700</v>
      </c>
      <c r="O167" s="11">
        <v>3</v>
      </c>
      <c r="P167" s="17">
        <v>0.05</v>
      </c>
      <c r="Q167" s="11">
        <v>640</v>
      </c>
      <c r="R167" s="11" t="s">
        <v>32</v>
      </c>
      <c r="S167" s="11" t="s">
        <v>33</v>
      </c>
      <c r="T167" s="11" t="s">
        <v>34</v>
      </c>
      <c r="U167" s="11">
        <v>4</v>
      </c>
      <c r="V167" s="11" t="str">
        <f>TEXT('E-Commerce Sales Data'!$B167,"mmmm")</f>
        <v>February</v>
      </c>
      <c r="W167" s="8">
        <f t="shared" si="8"/>
        <v>4549625</v>
      </c>
      <c r="X167">
        <f t="shared" si="9"/>
        <v>1035</v>
      </c>
      <c r="Y167">
        <f t="shared" si="10"/>
        <v>25699.396135265699</v>
      </c>
      <c r="Z167">
        <f t="shared" si="11"/>
        <v>55</v>
      </c>
    </row>
    <row r="168" spans="1:26" x14ac:dyDescent="0.25">
      <c r="A168" s="5" t="s">
        <v>271</v>
      </c>
      <c r="B168" s="6">
        <v>46794</v>
      </c>
      <c r="C168" s="7" t="s">
        <v>77</v>
      </c>
      <c r="D168" s="7" t="s">
        <v>23</v>
      </c>
      <c r="E168" s="7">
        <v>29</v>
      </c>
      <c r="F168" s="7" t="s">
        <v>24</v>
      </c>
      <c r="G168" s="7" t="s">
        <v>78</v>
      </c>
      <c r="H168" s="7" t="s">
        <v>26</v>
      </c>
      <c r="I168" s="7" t="s">
        <v>27</v>
      </c>
      <c r="J168" s="7" t="s">
        <v>28</v>
      </c>
      <c r="K168" s="7" t="s">
        <v>29</v>
      </c>
      <c r="L168" s="7" t="s">
        <v>53</v>
      </c>
      <c r="M168" s="7" t="s">
        <v>79</v>
      </c>
      <c r="N168" s="7">
        <v>1250</v>
      </c>
      <c r="O168" s="7">
        <v>5</v>
      </c>
      <c r="P168" s="16">
        <v>0</v>
      </c>
      <c r="Q168" s="7">
        <v>355</v>
      </c>
      <c r="R168" s="7" t="s">
        <v>80</v>
      </c>
      <c r="S168" s="7" t="s">
        <v>33</v>
      </c>
      <c r="T168" s="7" t="s">
        <v>34</v>
      </c>
      <c r="U168" s="7">
        <v>3</v>
      </c>
      <c r="V168" s="7" t="str">
        <f>TEXT('E-Commerce Sales Data'!$B168,"mmmm")</f>
        <v>February</v>
      </c>
      <c r="W168" s="8">
        <f t="shared" si="8"/>
        <v>4548985</v>
      </c>
      <c r="X168">
        <f t="shared" si="9"/>
        <v>1034</v>
      </c>
      <c r="Y168">
        <f t="shared" si="10"/>
        <v>25721.639264990328</v>
      </c>
      <c r="Z168">
        <f t="shared" si="11"/>
        <v>55</v>
      </c>
    </row>
    <row r="169" spans="1:26" x14ac:dyDescent="0.25">
      <c r="A169" s="9" t="s">
        <v>272</v>
      </c>
      <c r="B169" s="10">
        <v>46801</v>
      </c>
      <c r="C169" s="11" t="s">
        <v>82</v>
      </c>
      <c r="D169" s="11" t="s">
        <v>83</v>
      </c>
      <c r="E169" s="11">
        <v>37</v>
      </c>
      <c r="F169" s="11" t="s">
        <v>38</v>
      </c>
      <c r="G169" s="11" t="s">
        <v>84</v>
      </c>
      <c r="H169" s="11" t="s">
        <v>85</v>
      </c>
      <c r="I169" s="11" t="s">
        <v>52</v>
      </c>
      <c r="J169" s="11" t="s">
        <v>42</v>
      </c>
      <c r="K169" s="11" t="s">
        <v>60</v>
      </c>
      <c r="L169" s="11" t="s">
        <v>61</v>
      </c>
      <c r="M169" s="11" t="s">
        <v>62</v>
      </c>
      <c r="N169" s="11">
        <v>3700</v>
      </c>
      <c r="O169" s="11">
        <v>10</v>
      </c>
      <c r="P169" s="17">
        <v>0.02</v>
      </c>
      <c r="Q169" s="11">
        <v>1000</v>
      </c>
      <c r="R169" s="11" t="s">
        <v>32</v>
      </c>
      <c r="S169" s="11" t="s">
        <v>33</v>
      </c>
      <c r="T169" s="11" t="s">
        <v>34</v>
      </c>
      <c r="U169" s="11">
        <v>5</v>
      </c>
      <c r="V169" s="11" t="str">
        <f>TEXT('E-Commerce Sales Data'!$B169,"mmmm")</f>
        <v>February</v>
      </c>
      <c r="W169" s="8">
        <f t="shared" si="8"/>
        <v>4548630</v>
      </c>
      <c r="X169">
        <f t="shared" si="9"/>
        <v>1033</v>
      </c>
      <c r="Y169">
        <f t="shared" si="10"/>
        <v>25745.329138431753</v>
      </c>
      <c r="Z169">
        <f t="shared" si="11"/>
        <v>55</v>
      </c>
    </row>
    <row r="170" spans="1:26" x14ac:dyDescent="0.25">
      <c r="A170" s="5" t="s">
        <v>273</v>
      </c>
      <c r="B170" s="6">
        <v>46808</v>
      </c>
      <c r="C170" s="7" t="s">
        <v>88</v>
      </c>
      <c r="D170" s="7" t="s">
        <v>37</v>
      </c>
      <c r="E170" s="7">
        <v>45</v>
      </c>
      <c r="F170" s="7" t="s">
        <v>24</v>
      </c>
      <c r="G170" s="7" t="s">
        <v>89</v>
      </c>
      <c r="H170" s="7" t="s">
        <v>90</v>
      </c>
      <c r="I170" s="7" t="s">
        <v>91</v>
      </c>
      <c r="J170" s="7" t="s">
        <v>42</v>
      </c>
      <c r="K170" s="7" t="s">
        <v>43</v>
      </c>
      <c r="L170" s="7" t="s">
        <v>92</v>
      </c>
      <c r="M170" s="7" t="s">
        <v>93</v>
      </c>
      <c r="N170" s="7">
        <v>13600</v>
      </c>
      <c r="O170" s="7">
        <v>1</v>
      </c>
      <c r="P170" s="16">
        <v>0.1</v>
      </c>
      <c r="Q170" s="7">
        <v>2290</v>
      </c>
      <c r="R170" s="7" t="s">
        <v>46</v>
      </c>
      <c r="S170" s="7" t="s">
        <v>47</v>
      </c>
      <c r="T170" s="7" t="s">
        <v>34</v>
      </c>
      <c r="U170" s="7">
        <v>4</v>
      </c>
      <c r="V170" s="7" t="str">
        <f>TEXT('E-Commerce Sales Data'!$B170,"mmmm")</f>
        <v>February</v>
      </c>
      <c r="W170" s="8">
        <f t="shared" si="8"/>
        <v>4547630</v>
      </c>
      <c r="X170">
        <f t="shared" si="9"/>
        <v>1032</v>
      </c>
      <c r="Y170">
        <f t="shared" si="10"/>
        <v>25766.690891472866</v>
      </c>
      <c r="Z170">
        <f t="shared" si="11"/>
        <v>55</v>
      </c>
    </row>
    <row r="171" spans="1:26" x14ac:dyDescent="0.25">
      <c r="A171" s="9" t="s">
        <v>274</v>
      </c>
      <c r="B171" s="10">
        <v>46815</v>
      </c>
      <c r="C171" s="11" t="s">
        <v>95</v>
      </c>
      <c r="D171" s="11" t="s">
        <v>65</v>
      </c>
      <c r="E171" s="11">
        <v>25</v>
      </c>
      <c r="F171" s="11" t="s">
        <v>38</v>
      </c>
      <c r="G171" s="11" t="s">
        <v>25</v>
      </c>
      <c r="H171" s="11" t="s">
        <v>26</v>
      </c>
      <c r="I171" s="11" t="s">
        <v>27</v>
      </c>
      <c r="J171" s="11" t="s">
        <v>28</v>
      </c>
      <c r="K171" s="11" t="s">
        <v>29</v>
      </c>
      <c r="L171" s="11" t="s">
        <v>96</v>
      </c>
      <c r="M171" s="11" t="s">
        <v>97</v>
      </c>
      <c r="N171" s="11">
        <v>15800</v>
      </c>
      <c r="O171" s="11">
        <v>2</v>
      </c>
      <c r="P171" s="17">
        <v>0.05</v>
      </c>
      <c r="Q171" s="11">
        <v>2950</v>
      </c>
      <c r="R171" s="11" t="s">
        <v>32</v>
      </c>
      <c r="S171" s="11" t="s">
        <v>33</v>
      </c>
      <c r="T171" s="11" t="s">
        <v>34</v>
      </c>
      <c r="U171" s="11">
        <v>4</v>
      </c>
      <c r="V171" s="11" t="str">
        <f>TEXT('E-Commerce Sales Data'!$B171,"mmmm")</f>
        <v>March</v>
      </c>
      <c r="W171" s="8">
        <f t="shared" si="8"/>
        <v>4545340</v>
      </c>
      <c r="X171">
        <f t="shared" si="9"/>
        <v>1031</v>
      </c>
      <c r="Y171">
        <f t="shared" si="10"/>
        <v>25778.49175557711</v>
      </c>
      <c r="Z171">
        <f t="shared" si="11"/>
        <v>55</v>
      </c>
    </row>
    <row r="172" spans="1:26" x14ac:dyDescent="0.25">
      <c r="A172" s="5" t="s">
        <v>275</v>
      </c>
      <c r="B172" s="6">
        <v>46822</v>
      </c>
      <c r="C172" s="7" t="s">
        <v>99</v>
      </c>
      <c r="D172" s="7" t="s">
        <v>100</v>
      </c>
      <c r="E172" s="7">
        <v>33</v>
      </c>
      <c r="F172" s="7" t="s">
        <v>24</v>
      </c>
      <c r="G172" s="7" t="s">
        <v>101</v>
      </c>
      <c r="H172" s="7" t="s">
        <v>102</v>
      </c>
      <c r="I172" s="7" t="s">
        <v>41</v>
      </c>
      <c r="J172" s="7" t="s">
        <v>28</v>
      </c>
      <c r="K172" s="7" t="s">
        <v>60</v>
      </c>
      <c r="L172" s="7" t="s">
        <v>53</v>
      </c>
      <c r="M172" s="7" t="s">
        <v>103</v>
      </c>
      <c r="N172" s="7">
        <v>760</v>
      </c>
      <c r="O172" s="7">
        <v>25</v>
      </c>
      <c r="P172" s="16">
        <v>0</v>
      </c>
      <c r="Q172" s="7">
        <v>220</v>
      </c>
      <c r="R172" s="7" t="s">
        <v>55</v>
      </c>
      <c r="S172" s="7" t="s">
        <v>33</v>
      </c>
      <c r="T172" s="7" t="s">
        <v>34</v>
      </c>
      <c r="U172" s="7">
        <v>5</v>
      </c>
      <c r="V172" s="7" t="str">
        <f>TEXT('E-Commerce Sales Data'!$B172,"mmmm")</f>
        <v>March</v>
      </c>
      <c r="W172" s="8">
        <f t="shared" si="8"/>
        <v>4542390</v>
      </c>
      <c r="X172">
        <f t="shared" si="9"/>
        <v>1030</v>
      </c>
      <c r="Y172">
        <f t="shared" si="10"/>
        <v>25788.179611650485</v>
      </c>
      <c r="Z172">
        <f t="shared" si="11"/>
        <v>55</v>
      </c>
    </row>
    <row r="173" spans="1:26" x14ac:dyDescent="0.25">
      <c r="A173" s="9" t="s">
        <v>276</v>
      </c>
      <c r="B173" s="10">
        <v>46829</v>
      </c>
      <c r="C173" s="11" t="s">
        <v>105</v>
      </c>
      <c r="D173" s="11" t="s">
        <v>58</v>
      </c>
      <c r="E173" s="11">
        <v>42</v>
      </c>
      <c r="F173" s="11" t="s">
        <v>38</v>
      </c>
      <c r="G173" s="11" t="s">
        <v>51</v>
      </c>
      <c r="H173" s="11" t="s">
        <v>51</v>
      </c>
      <c r="I173" s="11" t="s">
        <v>52</v>
      </c>
      <c r="J173" s="11" t="s">
        <v>42</v>
      </c>
      <c r="K173" s="11" t="s">
        <v>43</v>
      </c>
      <c r="L173" s="11" t="s">
        <v>68</v>
      </c>
      <c r="M173" s="11" t="s">
        <v>106</v>
      </c>
      <c r="N173" s="11">
        <v>23200</v>
      </c>
      <c r="O173" s="11">
        <v>1</v>
      </c>
      <c r="P173" s="17">
        <v>0.08</v>
      </c>
      <c r="Q173" s="11">
        <v>4420</v>
      </c>
      <c r="R173" s="11" t="s">
        <v>46</v>
      </c>
      <c r="S173" s="11" t="s">
        <v>47</v>
      </c>
      <c r="T173" s="11" t="s">
        <v>34</v>
      </c>
      <c r="U173" s="11">
        <v>4</v>
      </c>
      <c r="V173" s="11" t="str">
        <f>TEXT('E-Commerce Sales Data'!$B173,"mmmm")</f>
        <v>March</v>
      </c>
      <c r="W173" s="8">
        <f t="shared" si="8"/>
        <v>4542170</v>
      </c>
      <c r="X173">
        <f t="shared" si="9"/>
        <v>1029</v>
      </c>
      <c r="Y173">
        <f t="shared" si="10"/>
        <v>25812.502429543245</v>
      </c>
      <c r="Z173">
        <f t="shared" si="11"/>
        <v>55</v>
      </c>
    </row>
    <row r="174" spans="1:26" x14ac:dyDescent="0.25">
      <c r="A174" s="5" t="s">
        <v>277</v>
      </c>
      <c r="B174" s="6">
        <v>46836</v>
      </c>
      <c r="C174" s="7" t="s">
        <v>108</v>
      </c>
      <c r="D174" s="7" t="s">
        <v>23</v>
      </c>
      <c r="E174" s="7">
        <v>30</v>
      </c>
      <c r="F174" s="7" t="s">
        <v>24</v>
      </c>
      <c r="G174" s="7" t="s">
        <v>59</v>
      </c>
      <c r="H174" s="7" t="s">
        <v>26</v>
      </c>
      <c r="I174" s="7" t="s">
        <v>27</v>
      </c>
      <c r="J174" s="7" t="s">
        <v>28</v>
      </c>
      <c r="K174" s="7" t="s">
        <v>29</v>
      </c>
      <c r="L174" s="7" t="s">
        <v>30</v>
      </c>
      <c r="M174" s="7" t="s">
        <v>31</v>
      </c>
      <c r="N174" s="7">
        <v>66000</v>
      </c>
      <c r="O174" s="7">
        <v>1</v>
      </c>
      <c r="P174" s="16">
        <v>0.1</v>
      </c>
      <c r="Q174" s="7">
        <v>7350</v>
      </c>
      <c r="R174" s="7" t="s">
        <v>32</v>
      </c>
      <c r="S174" s="7" t="s">
        <v>47</v>
      </c>
      <c r="T174" s="7" t="s">
        <v>34</v>
      </c>
      <c r="U174" s="7">
        <v>5</v>
      </c>
      <c r="V174" s="7" t="str">
        <f>TEXT('E-Commerce Sales Data'!$B174,"mmmm")</f>
        <v>March</v>
      </c>
      <c r="W174" s="8">
        <f t="shared" si="8"/>
        <v>4537750</v>
      </c>
      <c r="X174">
        <f t="shared" si="9"/>
        <v>1028</v>
      </c>
      <c r="Y174">
        <f t="shared" si="10"/>
        <v>25815.043774319067</v>
      </c>
      <c r="Z174">
        <f t="shared" si="11"/>
        <v>55</v>
      </c>
    </row>
    <row r="175" spans="1:26" x14ac:dyDescent="0.25">
      <c r="A175" s="9" t="s">
        <v>278</v>
      </c>
      <c r="B175" s="10">
        <v>46843</v>
      </c>
      <c r="C175" s="11" t="s">
        <v>110</v>
      </c>
      <c r="D175" s="11" t="s">
        <v>37</v>
      </c>
      <c r="E175" s="11">
        <v>36</v>
      </c>
      <c r="F175" s="11" t="s">
        <v>38</v>
      </c>
      <c r="G175" s="11" t="s">
        <v>66</v>
      </c>
      <c r="H175" s="11" t="s">
        <v>67</v>
      </c>
      <c r="I175" s="11" t="s">
        <v>27</v>
      </c>
      <c r="J175" s="11" t="s">
        <v>28</v>
      </c>
      <c r="K175" s="11" t="s">
        <v>60</v>
      </c>
      <c r="L175" s="11" t="s">
        <v>92</v>
      </c>
      <c r="M175" s="11" t="s">
        <v>111</v>
      </c>
      <c r="N175" s="11">
        <v>960</v>
      </c>
      <c r="O175" s="11">
        <v>15</v>
      </c>
      <c r="P175" s="17">
        <v>0.05</v>
      </c>
      <c r="Q175" s="11">
        <v>280</v>
      </c>
      <c r="R175" s="11" t="s">
        <v>80</v>
      </c>
      <c r="S175" s="11" t="s">
        <v>33</v>
      </c>
      <c r="T175" s="11" t="s">
        <v>34</v>
      </c>
      <c r="U175" s="11">
        <v>4</v>
      </c>
      <c r="V175" s="11" t="str">
        <f>TEXT('E-Commerce Sales Data'!$B175,"mmmm")</f>
        <v>March</v>
      </c>
      <c r="W175" s="8">
        <f t="shared" si="8"/>
        <v>4530400</v>
      </c>
      <c r="X175">
        <f t="shared" si="9"/>
        <v>1027</v>
      </c>
      <c r="Y175">
        <f t="shared" si="10"/>
        <v>25775.915287244403</v>
      </c>
      <c r="Z175">
        <f t="shared" si="11"/>
        <v>55</v>
      </c>
    </row>
    <row r="176" spans="1:26" x14ac:dyDescent="0.25">
      <c r="A176" s="5" t="s">
        <v>279</v>
      </c>
      <c r="B176" s="6">
        <v>46850</v>
      </c>
      <c r="C176" s="7" t="s">
        <v>113</v>
      </c>
      <c r="D176" s="7" t="s">
        <v>114</v>
      </c>
      <c r="E176" s="7">
        <v>40</v>
      </c>
      <c r="F176" s="7" t="s">
        <v>24</v>
      </c>
      <c r="G176" s="7" t="s">
        <v>73</v>
      </c>
      <c r="H176" s="7" t="s">
        <v>74</v>
      </c>
      <c r="I176" s="7" t="s">
        <v>41</v>
      </c>
      <c r="J176" s="7" t="s">
        <v>42</v>
      </c>
      <c r="K176" s="7" t="s">
        <v>43</v>
      </c>
      <c r="L176" s="7" t="s">
        <v>44</v>
      </c>
      <c r="M176" s="7" t="s">
        <v>45</v>
      </c>
      <c r="N176" s="7">
        <v>9300</v>
      </c>
      <c r="O176" s="7">
        <v>4</v>
      </c>
      <c r="P176" s="16">
        <v>7.0000000000000007E-2</v>
      </c>
      <c r="Q176" s="7">
        <v>1980</v>
      </c>
      <c r="R176" s="7" t="s">
        <v>46</v>
      </c>
      <c r="S176" s="7" t="s">
        <v>33</v>
      </c>
      <c r="T176" s="7" t="s">
        <v>34</v>
      </c>
      <c r="U176" s="7">
        <v>4</v>
      </c>
      <c r="V176" s="7" t="str">
        <f>TEXT('E-Commerce Sales Data'!$B176,"mmmm")</f>
        <v>April</v>
      </c>
      <c r="W176" s="8">
        <f t="shared" si="8"/>
        <v>4530120</v>
      </c>
      <c r="X176">
        <f t="shared" si="9"/>
        <v>1026</v>
      </c>
      <c r="Y176">
        <f t="shared" si="10"/>
        <v>25800.102339181285</v>
      </c>
      <c r="Z176">
        <f t="shared" si="11"/>
        <v>55</v>
      </c>
    </row>
    <row r="177" spans="1:26" x14ac:dyDescent="0.25">
      <c r="A177" s="9" t="s">
        <v>280</v>
      </c>
      <c r="B177" s="10">
        <v>46857</v>
      </c>
      <c r="C177" s="11" t="s">
        <v>116</v>
      </c>
      <c r="D177" s="11" t="s">
        <v>83</v>
      </c>
      <c r="E177" s="11">
        <v>27</v>
      </c>
      <c r="F177" s="11" t="s">
        <v>38</v>
      </c>
      <c r="G177" s="11" t="s">
        <v>39</v>
      </c>
      <c r="H177" s="11" t="s">
        <v>40</v>
      </c>
      <c r="I177" s="11" t="s">
        <v>41</v>
      </c>
      <c r="J177" s="11" t="s">
        <v>28</v>
      </c>
      <c r="K177" s="11" t="s">
        <v>29</v>
      </c>
      <c r="L177" s="11" t="s">
        <v>53</v>
      </c>
      <c r="M177" s="11" t="s">
        <v>54</v>
      </c>
      <c r="N177" s="11">
        <v>21200</v>
      </c>
      <c r="O177" s="11">
        <v>2</v>
      </c>
      <c r="P177" s="17">
        <v>0.05</v>
      </c>
      <c r="Q177" s="11">
        <v>3720</v>
      </c>
      <c r="R177" s="11" t="s">
        <v>32</v>
      </c>
      <c r="S177" s="11" t="s">
        <v>47</v>
      </c>
      <c r="T177" s="11" t="s">
        <v>34</v>
      </c>
      <c r="U177" s="11">
        <v>5</v>
      </c>
      <c r="V177" s="11" t="str">
        <f>TEXT('E-Commerce Sales Data'!$B177,"mmmm")</f>
        <v>April</v>
      </c>
      <c r="W177" s="8">
        <f t="shared" si="8"/>
        <v>4528140</v>
      </c>
      <c r="X177">
        <f t="shared" si="9"/>
        <v>1025</v>
      </c>
      <c r="Y177">
        <f t="shared" si="10"/>
        <v>25816.2</v>
      </c>
      <c r="Z177">
        <f t="shared" si="11"/>
        <v>55</v>
      </c>
    </row>
    <row r="178" spans="1:26" x14ac:dyDescent="0.25">
      <c r="A178" s="5" t="s">
        <v>281</v>
      </c>
      <c r="B178" s="6">
        <v>46864</v>
      </c>
      <c r="C178" s="7" t="s">
        <v>118</v>
      </c>
      <c r="D178" s="7" t="s">
        <v>72</v>
      </c>
      <c r="E178" s="7">
        <v>35</v>
      </c>
      <c r="F178" s="7" t="s">
        <v>24</v>
      </c>
      <c r="G178" s="7" t="s">
        <v>84</v>
      </c>
      <c r="H178" s="7" t="s">
        <v>85</v>
      </c>
      <c r="I178" s="7" t="s">
        <v>52</v>
      </c>
      <c r="J178" s="7" t="s">
        <v>42</v>
      </c>
      <c r="K178" s="7" t="s">
        <v>60</v>
      </c>
      <c r="L178" s="7" t="s">
        <v>61</v>
      </c>
      <c r="M178" s="7" t="s">
        <v>62</v>
      </c>
      <c r="N178" s="7">
        <v>3950</v>
      </c>
      <c r="O178" s="7">
        <v>10</v>
      </c>
      <c r="P178" s="16">
        <v>0.03</v>
      </c>
      <c r="Q178" s="7">
        <v>950</v>
      </c>
      <c r="R178" s="7" t="s">
        <v>55</v>
      </c>
      <c r="S178" s="7" t="s">
        <v>33</v>
      </c>
      <c r="T178" s="7" t="s">
        <v>34</v>
      </c>
      <c r="U178" s="7">
        <v>4</v>
      </c>
      <c r="V178" s="7" t="str">
        <f>TEXT('E-Commerce Sales Data'!$B178,"mmmm")</f>
        <v>April</v>
      </c>
      <c r="W178" s="8">
        <f t="shared" si="8"/>
        <v>4524420</v>
      </c>
      <c r="X178">
        <f t="shared" si="9"/>
        <v>1024</v>
      </c>
      <c r="Y178">
        <f t="shared" si="10"/>
        <v>25820.7080078125</v>
      </c>
      <c r="Z178">
        <f t="shared" si="11"/>
        <v>55</v>
      </c>
    </row>
    <row r="179" spans="1:26" x14ac:dyDescent="0.25">
      <c r="A179" s="9" t="s">
        <v>282</v>
      </c>
      <c r="B179" s="10">
        <v>46871</v>
      </c>
      <c r="C179" s="11" t="s">
        <v>120</v>
      </c>
      <c r="D179" s="11" t="s">
        <v>23</v>
      </c>
      <c r="E179" s="11">
        <v>24</v>
      </c>
      <c r="F179" s="11" t="s">
        <v>38</v>
      </c>
      <c r="G179" s="11" t="s">
        <v>25</v>
      </c>
      <c r="H179" s="11" t="s">
        <v>26</v>
      </c>
      <c r="I179" s="11" t="s">
        <v>27</v>
      </c>
      <c r="J179" s="11" t="s">
        <v>28</v>
      </c>
      <c r="K179" s="11" t="s">
        <v>43</v>
      </c>
      <c r="L179" s="11" t="s">
        <v>68</v>
      </c>
      <c r="M179" s="11" t="s">
        <v>69</v>
      </c>
      <c r="N179" s="11">
        <v>17800</v>
      </c>
      <c r="O179" s="11">
        <v>2</v>
      </c>
      <c r="P179" s="17">
        <v>0.1</v>
      </c>
      <c r="Q179" s="11">
        <v>2750</v>
      </c>
      <c r="R179" s="11" t="s">
        <v>32</v>
      </c>
      <c r="S179" s="11" t="s">
        <v>47</v>
      </c>
      <c r="T179" s="11" t="s">
        <v>34</v>
      </c>
      <c r="U179" s="11">
        <v>5</v>
      </c>
      <c r="V179" s="11" t="str">
        <f>TEXT('E-Commerce Sales Data'!$B179,"mmmm")</f>
        <v>April</v>
      </c>
      <c r="W179" s="8">
        <f t="shared" si="8"/>
        <v>4523470</v>
      </c>
      <c r="X179">
        <f t="shared" si="9"/>
        <v>1023</v>
      </c>
      <c r="Y179">
        <f t="shared" si="10"/>
        <v>25842.086999022482</v>
      </c>
      <c r="Z179">
        <f t="shared" si="11"/>
        <v>55</v>
      </c>
    </row>
    <row r="180" spans="1:26" x14ac:dyDescent="0.25">
      <c r="A180" s="5" t="s">
        <v>283</v>
      </c>
      <c r="B180" s="6">
        <v>46878</v>
      </c>
      <c r="C180" s="7" t="s">
        <v>122</v>
      </c>
      <c r="D180" s="7" t="s">
        <v>50</v>
      </c>
      <c r="E180" s="7">
        <v>43</v>
      </c>
      <c r="F180" s="7" t="s">
        <v>24</v>
      </c>
      <c r="G180" s="7" t="s">
        <v>101</v>
      </c>
      <c r="H180" s="7" t="s">
        <v>102</v>
      </c>
      <c r="I180" s="7" t="s">
        <v>41</v>
      </c>
      <c r="J180" s="7" t="s">
        <v>42</v>
      </c>
      <c r="K180" s="7" t="s">
        <v>29</v>
      </c>
      <c r="L180" s="7" t="s">
        <v>53</v>
      </c>
      <c r="M180" s="7" t="s">
        <v>75</v>
      </c>
      <c r="N180" s="7">
        <v>3200</v>
      </c>
      <c r="O180" s="7">
        <v>4</v>
      </c>
      <c r="P180" s="16">
        <v>0.05</v>
      </c>
      <c r="Q180" s="7">
        <v>780</v>
      </c>
      <c r="R180" s="7" t="s">
        <v>46</v>
      </c>
      <c r="S180" s="7" t="s">
        <v>33</v>
      </c>
      <c r="T180" s="7" t="s">
        <v>34</v>
      </c>
      <c r="U180" s="7">
        <v>3</v>
      </c>
      <c r="V180" s="7" t="str">
        <f>TEXT('E-Commerce Sales Data'!$B180,"mmmm")</f>
        <v>May</v>
      </c>
      <c r="W180" s="8">
        <f t="shared" si="8"/>
        <v>4520720</v>
      </c>
      <c r="X180">
        <f t="shared" si="9"/>
        <v>1022</v>
      </c>
      <c r="Y180">
        <f t="shared" si="10"/>
        <v>25849.955968688846</v>
      </c>
      <c r="Z180">
        <f t="shared" si="11"/>
        <v>55</v>
      </c>
    </row>
    <row r="181" spans="1:26" x14ac:dyDescent="0.25">
      <c r="A181" s="9" t="s">
        <v>284</v>
      </c>
      <c r="B181" s="10">
        <v>46885</v>
      </c>
      <c r="C181" s="11" t="s">
        <v>124</v>
      </c>
      <c r="D181" s="11" t="s">
        <v>100</v>
      </c>
      <c r="E181" s="11">
        <v>32</v>
      </c>
      <c r="F181" s="11" t="s">
        <v>38</v>
      </c>
      <c r="G181" s="11" t="s">
        <v>78</v>
      </c>
      <c r="H181" s="11" t="s">
        <v>26</v>
      </c>
      <c r="I181" s="11" t="s">
        <v>27</v>
      </c>
      <c r="J181" s="11" t="s">
        <v>28</v>
      </c>
      <c r="K181" s="11" t="s">
        <v>29</v>
      </c>
      <c r="L181" s="11" t="s">
        <v>53</v>
      </c>
      <c r="M181" s="11" t="s">
        <v>79</v>
      </c>
      <c r="N181" s="11">
        <v>1480</v>
      </c>
      <c r="O181" s="11">
        <v>7</v>
      </c>
      <c r="P181" s="17">
        <v>0</v>
      </c>
      <c r="Q181" s="11">
        <v>430</v>
      </c>
      <c r="R181" s="11" t="s">
        <v>32</v>
      </c>
      <c r="S181" s="11" t="s">
        <v>33</v>
      </c>
      <c r="T181" s="11" t="s">
        <v>34</v>
      </c>
      <c r="U181" s="11">
        <v>4</v>
      </c>
      <c r="V181" s="11" t="str">
        <f>TEXT('E-Commerce Sales Data'!$B181,"mmmm")</f>
        <v>May</v>
      </c>
      <c r="W181" s="8">
        <f t="shared" si="8"/>
        <v>4519940</v>
      </c>
      <c r="X181">
        <f t="shared" si="9"/>
        <v>1021</v>
      </c>
      <c r="Y181">
        <f t="shared" si="10"/>
        <v>25872.140058765915</v>
      </c>
      <c r="Z181">
        <f t="shared" si="11"/>
        <v>55</v>
      </c>
    </row>
    <row r="182" spans="1:26" x14ac:dyDescent="0.25">
      <c r="A182" s="5" t="s">
        <v>285</v>
      </c>
      <c r="B182" s="6">
        <v>46892</v>
      </c>
      <c r="C182" s="7" t="s">
        <v>22</v>
      </c>
      <c r="D182" s="7" t="s">
        <v>23</v>
      </c>
      <c r="E182" s="7">
        <v>28</v>
      </c>
      <c r="F182" s="7" t="s">
        <v>24</v>
      </c>
      <c r="G182" s="7" t="s">
        <v>25</v>
      </c>
      <c r="H182" s="7" t="s">
        <v>26</v>
      </c>
      <c r="I182" s="7" t="s">
        <v>27</v>
      </c>
      <c r="J182" s="7" t="s">
        <v>28</v>
      </c>
      <c r="K182" s="7" t="s">
        <v>29</v>
      </c>
      <c r="L182" s="7" t="s">
        <v>30</v>
      </c>
      <c r="M182" s="7" t="s">
        <v>31</v>
      </c>
      <c r="N182" s="7">
        <v>63500</v>
      </c>
      <c r="O182" s="7">
        <v>1</v>
      </c>
      <c r="P182" s="16">
        <v>0.05</v>
      </c>
      <c r="Q182" s="7">
        <v>8300</v>
      </c>
      <c r="R182" s="7" t="s">
        <v>32</v>
      </c>
      <c r="S182" s="7" t="s">
        <v>47</v>
      </c>
      <c r="T182" s="7" t="s">
        <v>34</v>
      </c>
      <c r="U182" s="7">
        <v>5</v>
      </c>
      <c r="V182" s="7" t="str">
        <f>TEXT('E-Commerce Sales Data'!$B182,"mmmm")</f>
        <v>May</v>
      </c>
      <c r="W182" s="8">
        <f t="shared" si="8"/>
        <v>4519510</v>
      </c>
      <c r="X182">
        <f t="shared" si="9"/>
        <v>1020</v>
      </c>
      <c r="Y182">
        <f t="shared" si="10"/>
        <v>25896.053921568626</v>
      </c>
      <c r="Z182">
        <f t="shared" si="11"/>
        <v>55</v>
      </c>
    </row>
    <row r="183" spans="1:26" x14ac:dyDescent="0.25">
      <c r="A183" s="9" t="s">
        <v>286</v>
      </c>
      <c r="B183" s="10">
        <v>46899</v>
      </c>
      <c r="C183" s="11" t="s">
        <v>36</v>
      </c>
      <c r="D183" s="11" t="s">
        <v>37</v>
      </c>
      <c r="E183" s="11">
        <v>34</v>
      </c>
      <c r="F183" s="11" t="s">
        <v>38</v>
      </c>
      <c r="G183" s="11" t="s">
        <v>39</v>
      </c>
      <c r="H183" s="11" t="s">
        <v>40</v>
      </c>
      <c r="I183" s="11" t="s">
        <v>41</v>
      </c>
      <c r="J183" s="11" t="s">
        <v>42</v>
      </c>
      <c r="K183" s="11" t="s">
        <v>43</v>
      </c>
      <c r="L183" s="11" t="s">
        <v>44</v>
      </c>
      <c r="M183" s="11" t="s">
        <v>45</v>
      </c>
      <c r="N183" s="11">
        <v>8450</v>
      </c>
      <c r="O183" s="11">
        <v>3</v>
      </c>
      <c r="P183" s="17">
        <v>0.1</v>
      </c>
      <c r="Q183" s="11">
        <v>1820</v>
      </c>
      <c r="R183" s="11" t="s">
        <v>46</v>
      </c>
      <c r="S183" s="11" t="s">
        <v>33</v>
      </c>
      <c r="T183" s="11" t="s">
        <v>34</v>
      </c>
      <c r="U183" s="11">
        <v>4</v>
      </c>
      <c r="V183" s="11" t="str">
        <f>TEXT('E-Commerce Sales Data'!$B183,"mmmm")</f>
        <v>May</v>
      </c>
      <c r="W183" s="8">
        <f t="shared" si="8"/>
        <v>4511210</v>
      </c>
      <c r="X183">
        <f t="shared" si="9"/>
        <v>1019</v>
      </c>
      <c r="Y183">
        <f t="shared" si="10"/>
        <v>25859.151128557409</v>
      </c>
      <c r="Z183">
        <f t="shared" si="11"/>
        <v>55</v>
      </c>
    </row>
    <row r="184" spans="1:26" x14ac:dyDescent="0.25">
      <c r="A184" s="5" t="s">
        <v>287</v>
      </c>
      <c r="B184" s="6">
        <v>46906</v>
      </c>
      <c r="C184" s="7" t="s">
        <v>49</v>
      </c>
      <c r="D184" s="7" t="s">
        <v>50</v>
      </c>
      <c r="E184" s="7">
        <v>41</v>
      </c>
      <c r="F184" s="7" t="s">
        <v>24</v>
      </c>
      <c r="G184" s="7" t="s">
        <v>51</v>
      </c>
      <c r="H184" s="7" t="s">
        <v>51</v>
      </c>
      <c r="I184" s="7" t="s">
        <v>52</v>
      </c>
      <c r="J184" s="7" t="s">
        <v>28</v>
      </c>
      <c r="K184" s="7" t="s">
        <v>29</v>
      </c>
      <c r="L184" s="7" t="s">
        <v>53</v>
      </c>
      <c r="M184" s="7" t="s">
        <v>54</v>
      </c>
      <c r="N184" s="7">
        <v>19300</v>
      </c>
      <c r="O184" s="7">
        <v>2</v>
      </c>
      <c r="P184" s="16">
        <v>0.05</v>
      </c>
      <c r="Q184" s="7">
        <v>3400</v>
      </c>
      <c r="R184" s="7" t="s">
        <v>55</v>
      </c>
      <c r="S184" s="7" t="s">
        <v>33</v>
      </c>
      <c r="T184" s="7" t="s">
        <v>34</v>
      </c>
      <c r="U184" s="7">
        <v>4</v>
      </c>
      <c r="V184" s="7" t="str">
        <f>TEXT('E-Commerce Sales Data'!$B184,"mmmm")</f>
        <v>June</v>
      </c>
      <c r="W184" s="8">
        <f t="shared" si="8"/>
        <v>4509390</v>
      </c>
      <c r="X184">
        <f t="shared" si="9"/>
        <v>1018</v>
      </c>
      <c r="Y184">
        <f t="shared" si="10"/>
        <v>25876.252455795679</v>
      </c>
      <c r="Z184">
        <f t="shared" si="11"/>
        <v>55</v>
      </c>
    </row>
    <row r="185" spans="1:26" x14ac:dyDescent="0.25">
      <c r="A185" s="9" t="s">
        <v>288</v>
      </c>
      <c r="B185" s="10">
        <v>46913</v>
      </c>
      <c r="C185" s="11" t="s">
        <v>57</v>
      </c>
      <c r="D185" s="11" t="s">
        <v>58</v>
      </c>
      <c r="E185" s="11">
        <v>26</v>
      </c>
      <c r="F185" s="11" t="s">
        <v>38</v>
      </c>
      <c r="G185" s="11" t="s">
        <v>59</v>
      </c>
      <c r="H185" s="11" t="s">
        <v>26</v>
      </c>
      <c r="I185" s="11" t="s">
        <v>27</v>
      </c>
      <c r="J185" s="11" t="s">
        <v>28</v>
      </c>
      <c r="K185" s="11" t="s">
        <v>60</v>
      </c>
      <c r="L185" s="11" t="s">
        <v>61</v>
      </c>
      <c r="M185" s="11" t="s">
        <v>86</v>
      </c>
      <c r="N185" s="11">
        <v>560</v>
      </c>
      <c r="O185" s="11">
        <v>20</v>
      </c>
      <c r="P185" s="17">
        <v>0.02</v>
      </c>
      <c r="Q185" s="11">
        <v>155</v>
      </c>
      <c r="R185" s="11" t="s">
        <v>32</v>
      </c>
      <c r="S185" s="11" t="s">
        <v>33</v>
      </c>
      <c r="T185" s="11" t="s">
        <v>34</v>
      </c>
      <c r="U185" s="11">
        <v>5</v>
      </c>
      <c r="V185" s="11" t="str">
        <f>TEXT('E-Commerce Sales Data'!$B185,"mmmm")</f>
        <v>June</v>
      </c>
      <c r="W185" s="8">
        <f t="shared" si="8"/>
        <v>4505990</v>
      </c>
      <c r="X185">
        <f t="shared" si="9"/>
        <v>1017</v>
      </c>
      <c r="Y185">
        <f t="shared" si="10"/>
        <v>25882.718780727631</v>
      </c>
      <c r="Z185">
        <f t="shared" si="11"/>
        <v>55</v>
      </c>
    </row>
    <row r="186" spans="1:26" x14ac:dyDescent="0.25">
      <c r="A186" s="5" t="s">
        <v>289</v>
      </c>
      <c r="B186" s="6">
        <v>46920</v>
      </c>
      <c r="C186" s="7" t="s">
        <v>64</v>
      </c>
      <c r="D186" s="7" t="s">
        <v>65</v>
      </c>
      <c r="E186" s="7">
        <v>39</v>
      </c>
      <c r="F186" s="7" t="s">
        <v>24</v>
      </c>
      <c r="G186" s="7" t="s">
        <v>66</v>
      </c>
      <c r="H186" s="7" t="s">
        <v>67</v>
      </c>
      <c r="I186" s="7" t="s">
        <v>27</v>
      </c>
      <c r="J186" s="7" t="s">
        <v>42</v>
      </c>
      <c r="K186" s="7" t="s">
        <v>43</v>
      </c>
      <c r="L186" s="7" t="s">
        <v>68</v>
      </c>
      <c r="M186" s="7" t="s">
        <v>69</v>
      </c>
      <c r="N186" s="7">
        <v>18100</v>
      </c>
      <c r="O186" s="7">
        <v>2</v>
      </c>
      <c r="P186" s="16">
        <v>0.08</v>
      </c>
      <c r="Q186" s="7">
        <v>2980</v>
      </c>
      <c r="R186" s="7" t="s">
        <v>46</v>
      </c>
      <c r="S186" s="7" t="s">
        <v>47</v>
      </c>
      <c r="T186" s="7" t="s">
        <v>34</v>
      </c>
      <c r="U186" s="7">
        <v>4</v>
      </c>
      <c r="V186" s="7" t="str">
        <f>TEXT('E-Commerce Sales Data'!$B186,"mmmm")</f>
        <v>June</v>
      </c>
      <c r="W186" s="8">
        <f t="shared" si="8"/>
        <v>4505835</v>
      </c>
      <c r="X186">
        <f t="shared" si="9"/>
        <v>1016</v>
      </c>
      <c r="Y186">
        <f t="shared" si="10"/>
        <v>25907.642716535433</v>
      </c>
      <c r="Z186">
        <f t="shared" si="11"/>
        <v>55</v>
      </c>
    </row>
    <row r="187" spans="1:26" x14ac:dyDescent="0.25">
      <c r="A187" s="9" t="s">
        <v>290</v>
      </c>
      <c r="B187" s="10">
        <v>46927</v>
      </c>
      <c r="C187" s="11" t="s">
        <v>71</v>
      </c>
      <c r="D187" s="11" t="s">
        <v>72</v>
      </c>
      <c r="E187" s="11">
        <v>31</v>
      </c>
      <c r="F187" s="11" t="s">
        <v>38</v>
      </c>
      <c r="G187" s="11" t="s">
        <v>73</v>
      </c>
      <c r="H187" s="11" t="s">
        <v>74</v>
      </c>
      <c r="I187" s="11" t="s">
        <v>41</v>
      </c>
      <c r="J187" s="11" t="s">
        <v>28</v>
      </c>
      <c r="K187" s="11" t="s">
        <v>29</v>
      </c>
      <c r="L187" s="11" t="s">
        <v>53</v>
      </c>
      <c r="M187" s="11" t="s">
        <v>75</v>
      </c>
      <c r="N187" s="11">
        <v>2900</v>
      </c>
      <c r="O187" s="11">
        <v>3</v>
      </c>
      <c r="P187" s="17">
        <v>0.05</v>
      </c>
      <c r="Q187" s="11">
        <v>690</v>
      </c>
      <c r="R187" s="11" t="s">
        <v>32</v>
      </c>
      <c r="S187" s="11" t="s">
        <v>33</v>
      </c>
      <c r="T187" s="11" t="s">
        <v>34</v>
      </c>
      <c r="U187" s="11">
        <v>4</v>
      </c>
      <c r="V187" s="11" t="str">
        <f>TEXT('E-Commerce Sales Data'!$B187,"mmmm")</f>
        <v>June</v>
      </c>
      <c r="W187" s="8">
        <f t="shared" si="8"/>
        <v>4502855</v>
      </c>
      <c r="X187">
        <f t="shared" si="9"/>
        <v>1015</v>
      </c>
      <c r="Y187">
        <f t="shared" si="10"/>
        <v>25915.334975369457</v>
      </c>
      <c r="Z187">
        <f t="shared" si="11"/>
        <v>55</v>
      </c>
    </row>
    <row r="188" spans="1:26" x14ac:dyDescent="0.25">
      <c r="A188" s="5" t="s">
        <v>291</v>
      </c>
      <c r="B188" s="6">
        <v>46934</v>
      </c>
      <c r="C188" s="7" t="s">
        <v>77</v>
      </c>
      <c r="D188" s="7" t="s">
        <v>23</v>
      </c>
      <c r="E188" s="7">
        <v>29</v>
      </c>
      <c r="F188" s="7" t="s">
        <v>24</v>
      </c>
      <c r="G188" s="7" t="s">
        <v>78</v>
      </c>
      <c r="H188" s="7" t="s">
        <v>26</v>
      </c>
      <c r="I188" s="7" t="s">
        <v>27</v>
      </c>
      <c r="J188" s="7" t="s">
        <v>28</v>
      </c>
      <c r="K188" s="7" t="s">
        <v>29</v>
      </c>
      <c r="L188" s="7" t="s">
        <v>53</v>
      </c>
      <c r="M188" s="7" t="s">
        <v>79</v>
      </c>
      <c r="N188" s="7">
        <v>1520</v>
      </c>
      <c r="O188" s="7">
        <v>6</v>
      </c>
      <c r="P188" s="16">
        <v>0</v>
      </c>
      <c r="Q188" s="7">
        <v>445</v>
      </c>
      <c r="R188" s="7" t="s">
        <v>80</v>
      </c>
      <c r="S188" s="7" t="s">
        <v>33</v>
      </c>
      <c r="T188" s="7" t="s">
        <v>34</v>
      </c>
      <c r="U188" s="7">
        <v>3</v>
      </c>
      <c r="V188" s="7" t="str">
        <f>TEXT('E-Commerce Sales Data'!$B188,"mmmm")</f>
        <v>June</v>
      </c>
      <c r="W188" s="8">
        <f t="shared" si="8"/>
        <v>4502165</v>
      </c>
      <c r="X188">
        <f t="shared" si="9"/>
        <v>1014</v>
      </c>
      <c r="Y188">
        <f t="shared" si="10"/>
        <v>25938.032544378697</v>
      </c>
      <c r="Z188">
        <f t="shared" si="11"/>
        <v>55</v>
      </c>
    </row>
    <row r="189" spans="1:26" x14ac:dyDescent="0.25">
      <c r="A189" s="9" t="s">
        <v>292</v>
      </c>
      <c r="B189" s="10">
        <v>46941</v>
      </c>
      <c r="C189" s="11" t="s">
        <v>82</v>
      </c>
      <c r="D189" s="11" t="s">
        <v>83</v>
      </c>
      <c r="E189" s="11">
        <v>37</v>
      </c>
      <c r="F189" s="11" t="s">
        <v>38</v>
      </c>
      <c r="G189" s="11" t="s">
        <v>84</v>
      </c>
      <c r="H189" s="11" t="s">
        <v>85</v>
      </c>
      <c r="I189" s="11" t="s">
        <v>52</v>
      </c>
      <c r="J189" s="11" t="s">
        <v>42</v>
      </c>
      <c r="K189" s="11" t="s">
        <v>60</v>
      </c>
      <c r="L189" s="11" t="s">
        <v>61</v>
      </c>
      <c r="M189" s="11" t="s">
        <v>62</v>
      </c>
      <c r="N189" s="11">
        <v>4050</v>
      </c>
      <c r="O189" s="11">
        <v>10</v>
      </c>
      <c r="P189" s="17">
        <v>0.02</v>
      </c>
      <c r="Q189" s="11">
        <v>1030</v>
      </c>
      <c r="R189" s="11" t="s">
        <v>32</v>
      </c>
      <c r="S189" s="11" t="s">
        <v>33</v>
      </c>
      <c r="T189" s="11" t="s">
        <v>34</v>
      </c>
      <c r="U189" s="11">
        <v>5</v>
      </c>
      <c r="V189" s="11" t="str">
        <f>TEXT('E-Commerce Sales Data'!$B189,"mmmm")</f>
        <v>July</v>
      </c>
      <c r="W189" s="8">
        <f t="shared" si="8"/>
        <v>4501720</v>
      </c>
      <c r="X189">
        <f t="shared" si="9"/>
        <v>1013</v>
      </c>
      <c r="Y189">
        <f t="shared" si="10"/>
        <v>25962.137216189534</v>
      </c>
      <c r="Z189">
        <f t="shared" si="11"/>
        <v>55</v>
      </c>
    </row>
    <row r="190" spans="1:26" x14ac:dyDescent="0.25">
      <c r="A190" s="5" t="s">
        <v>293</v>
      </c>
      <c r="B190" s="6">
        <v>46948</v>
      </c>
      <c r="C190" s="7" t="s">
        <v>88</v>
      </c>
      <c r="D190" s="7" t="s">
        <v>37</v>
      </c>
      <c r="E190" s="7">
        <v>45</v>
      </c>
      <c r="F190" s="7" t="s">
        <v>24</v>
      </c>
      <c r="G190" s="7" t="s">
        <v>89</v>
      </c>
      <c r="H190" s="7" t="s">
        <v>90</v>
      </c>
      <c r="I190" s="7" t="s">
        <v>91</v>
      </c>
      <c r="J190" s="7" t="s">
        <v>42</v>
      </c>
      <c r="K190" s="7" t="s">
        <v>43</v>
      </c>
      <c r="L190" s="7" t="s">
        <v>92</v>
      </c>
      <c r="M190" s="7" t="s">
        <v>93</v>
      </c>
      <c r="N190" s="7">
        <v>13900</v>
      </c>
      <c r="O190" s="7">
        <v>1</v>
      </c>
      <c r="P190" s="16">
        <v>0.1</v>
      </c>
      <c r="Q190" s="7">
        <v>2350</v>
      </c>
      <c r="R190" s="7" t="s">
        <v>46</v>
      </c>
      <c r="S190" s="7" t="s">
        <v>47</v>
      </c>
      <c r="T190" s="7" t="s">
        <v>34</v>
      </c>
      <c r="U190" s="7">
        <v>4</v>
      </c>
      <c r="V190" s="7" t="str">
        <f>TEXT('E-Commerce Sales Data'!$B190,"mmmm")</f>
        <v>July</v>
      </c>
      <c r="W190" s="8">
        <f t="shared" si="8"/>
        <v>4500690</v>
      </c>
      <c r="X190">
        <f t="shared" si="9"/>
        <v>1012</v>
      </c>
      <c r="Y190">
        <f t="shared" si="10"/>
        <v>25983.7895256917</v>
      </c>
      <c r="Z190">
        <f t="shared" si="11"/>
        <v>55</v>
      </c>
    </row>
    <row r="191" spans="1:26" x14ac:dyDescent="0.25">
      <c r="A191" s="9" t="s">
        <v>294</v>
      </c>
      <c r="B191" s="10">
        <v>46955</v>
      </c>
      <c r="C191" s="11" t="s">
        <v>95</v>
      </c>
      <c r="D191" s="11" t="s">
        <v>65</v>
      </c>
      <c r="E191" s="11">
        <v>25</v>
      </c>
      <c r="F191" s="11" t="s">
        <v>38</v>
      </c>
      <c r="G191" s="11" t="s">
        <v>25</v>
      </c>
      <c r="H191" s="11" t="s">
        <v>26</v>
      </c>
      <c r="I191" s="11" t="s">
        <v>27</v>
      </c>
      <c r="J191" s="11" t="s">
        <v>28</v>
      </c>
      <c r="K191" s="11" t="s">
        <v>29</v>
      </c>
      <c r="L191" s="11" t="s">
        <v>96</v>
      </c>
      <c r="M191" s="11" t="s">
        <v>97</v>
      </c>
      <c r="N191" s="11">
        <v>16100</v>
      </c>
      <c r="O191" s="11">
        <v>2</v>
      </c>
      <c r="P191" s="17">
        <v>0.05</v>
      </c>
      <c r="Q191" s="11">
        <v>3020</v>
      </c>
      <c r="R191" s="11" t="s">
        <v>32</v>
      </c>
      <c r="S191" s="11" t="s">
        <v>33</v>
      </c>
      <c r="T191" s="11" t="s">
        <v>34</v>
      </c>
      <c r="U191" s="11">
        <v>4</v>
      </c>
      <c r="V191" s="11" t="str">
        <f>TEXT('E-Commerce Sales Data'!$B191,"mmmm")</f>
        <v>July</v>
      </c>
      <c r="W191" s="8">
        <f t="shared" si="8"/>
        <v>4498340</v>
      </c>
      <c r="X191">
        <f t="shared" si="9"/>
        <v>1011</v>
      </c>
      <c r="Y191">
        <f t="shared" si="10"/>
        <v>25995.74183976261</v>
      </c>
      <c r="Z191">
        <f t="shared" si="11"/>
        <v>55</v>
      </c>
    </row>
    <row r="192" spans="1:26" x14ac:dyDescent="0.25">
      <c r="A192" s="5" t="s">
        <v>295</v>
      </c>
      <c r="B192" s="6">
        <v>46962</v>
      </c>
      <c r="C192" s="7" t="s">
        <v>99</v>
      </c>
      <c r="D192" s="7" t="s">
        <v>100</v>
      </c>
      <c r="E192" s="7">
        <v>33</v>
      </c>
      <c r="F192" s="7" t="s">
        <v>24</v>
      </c>
      <c r="G192" s="7" t="s">
        <v>101</v>
      </c>
      <c r="H192" s="7" t="s">
        <v>102</v>
      </c>
      <c r="I192" s="7" t="s">
        <v>41</v>
      </c>
      <c r="J192" s="7" t="s">
        <v>28</v>
      </c>
      <c r="K192" s="7" t="s">
        <v>60</v>
      </c>
      <c r="L192" s="7" t="s">
        <v>53</v>
      </c>
      <c r="M192" s="7" t="s">
        <v>103</v>
      </c>
      <c r="N192" s="7">
        <v>780</v>
      </c>
      <c r="O192" s="7">
        <v>25</v>
      </c>
      <c r="P192" s="16">
        <v>0</v>
      </c>
      <c r="Q192" s="7">
        <v>230</v>
      </c>
      <c r="R192" s="7" t="s">
        <v>55</v>
      </c>
      <c r="S192" s="7" t="s">
        <v>33</v>
      </c>
      <c r="T192" s="7" t="s">
        <v>34</v>
      </c>
      <c r="U192" s="7">
        <v>5</v>
      </c>
      <c r="V192" s="7" t="str">
        <f>TEXT('E-Commerce Sales Data'!$B192,"mmmm")</f>
        <v>July</v>
      </c>
      <c r="W192" s="8">
        <f t="shared" si="8"/>
        <v>4495320</v>
      </c>
      <c r="X192">
        <f t="shared" si="9"/>
        <v>1010</v>
      </c>
      <c r="Y192">
        <f t="shared" si="10"/>
        <v>26005.539603960395</v>
      </c>
      <c r="Z192">
        <f t="shared" si="11"/>
        <v>55</v>
      </c>
    </row>
    <row r="193" spans="1:26" x14ac:dyDescent="0.25">
      <c r="A193" s="9" t="s">
        <v>296</v>
      </c>
      <c r="B193" s="10">
        <v>46969</v>
      </c>
      <c r="C193" s="11" t="s">
        <v>105</v>
      </c>
      <c r="D193" s="11" t="s">
        <v>58</v>
      </c>
      <c r="E193" s="11">
        <v>42</v>
      </c>
      <c r="F193" s="11" t="s">
        <v>38</v>
      </c>
      <c r="G193" s="11" t="s">
        <v>51</v>
      </c>
      <c r="H193" s="11" t="s">
        <v>51</v>
      </c>
      <c r="I193" s="11" t="s">
        <v>52</v>
      </c>
      <c r="J193" s="11" t="s">
        <v>42</v>
      </c>
      <c r="K193" s="11" t="s">
        <v>43</v>
      </c>
      <c r="L193" s="11" t="s">
        <v>68</v>
      </c>
      <c r="M193" s="11" t="s">
        <v>106</v>
      </c>
      <c r="N193" s="11">
        <v>23800</v>
      </c>
      <c r="O193" s="11">
        <v>1</v>
      </c>
      <c r="P193" s="17">
        <v>0.08</v>
      </c>
      <c r="Q193" s="11">
        <v>4550</v>
      </c>
      <c r="R193" s="11" t="s">
        <v>46</v>
      </c>
      <c r="S193" s="11" t="s">
        <v>47</v>
      </c>
      <c r="T193" s="11" t="s">
        <v>34</v>
      </c>
      <c r="U193" s="11">
        <v>4</v>
      </c>
      <c r="V193" s="11" t="str">
        <f>TEXT('E-Commerce Sales Data'!$B193,"mmmm")</f>
        <v>August</v>
      </c>
      <c r="W193" s="8">
        <f t="shared" si="8"/>
        <v>4495090</v>
      </c>
      <c r="X193">
        <f t="shared" si="9"/>
        <v>1009</v>
      </c>
      <c r="Y193">
        <f t="shared" si="10"/>
        <v>26030.540138751239</v>
      </c>
      <c r="Z193">
        <f t="shared" si="11"/>
        <v>55</v>
      </c>
    </row>
    <row r="194" spans="1:26" x14ac:dyDescent="0.25">
      <c r="A194" s="5" t="s">
        <v>297</v>
      </c>
      <c r="B194" s="6">
        <v>46976</v>
      </c>
      <c r="C194" s="7" t="s">
        <v>108</v>
      </c>
      <c r="D194" s="7" t="s">
        <v>23</v>
      </c>
      <c r="E194" s="7">
        <v>30</v>
      </c>
      <c r="F194" s="7" t="s">
        <v>24</v>
      </c>
      <c r="G194" s="7" t="s">
        <v>59</v>
      </c>
      <c r="H194" s="7" t="s">
        <v>26</v>
      </c>
      <c r="I194" s="7" t="s">
        <v>27</v>
      </c>
      <c r="J194" s="7" t="s">
        <v>28</v>
      </c>
      <c r="K194" s="7" t="s">
        <v>29</v>
      </c>
      <c r="L194" s="7" t="s">
        <v>30</v>
      </c>
      <c r="M194" s="7" t="s">
        <v>31</v>
      </c>
      <c r="N194" s="7">
        <v>68000</v>
      </c>
      <c r="O194" s="7">
        <v>1</v>
      </c>
      <c r="P194" s="16">
        <v>0.1</v>
      </c>
      <c r="Q194" s="7">
        <v>7600</v>
      </c>
      <c r="R194" s="7" t="s">
        <v>32</v>
      </c>
      <c r="S194" s="7" t="s">
        <v>47</v>
      </c>
      <c r="T194" s="7" t="s">
        <v>34</v>
      </c>
      <c r="U194" s="7">
        <v>5</v>
      </c>
      <c r="V194" s="7" t="str">
        <f>TEXT('E-Commerce Sales Data'!$B194,"mmmm")</f>
        <v>August</v>
      </c>
      <c r="W194" s="8">
        <f t="shared" si="8"/>
        <v>4490540</v>
      </c>
      <c r="X194">
        <f t="shared" si="9"/>
        <v>1008</v>
      </c>
      <c r="Y194">
        <f t="shared" si="10"/>
        <v>26032.752976190477</v>
      </c>
      <c r="Z194">
        <f t="shared" si="11"/>
        <v>55</v>
      </c>
    </row>
    <row r="195" spans="1:26" x14ac:dyDescent="0.25">
      <c r="A195" s="9" t="s">
        <v>298</v>
      </c>
      <c r="B195" s="10">
        <v>46983</v>
      </c>
      <c r="C195" s="11" t="s">
        <v>110</v>
      </c>
      <c r="D195" s="11" t="s">
        <v>37</v>
      </c>
      <c r="E195" s="11">
        <v>36</v>
      </c>
      <c r="F195" s="11" t="s">
        <v>38</v>
      </c>
      <c r="G195" s="11" t="s">
        <v>66</v>
      </c>
      <c r="H195" s="11" t="s">
        <v>67</v>
      </c>
      <c r="I195" s="11" t="s">
        <v>27</v>
      </c>
      <c r="J195" s="11" t="s">
        <v>28</v>
      </c>
      <c r="K195" s="11" t="s">
        <v>60</v>
      </c>
      <c r="L195" s="11" t="s">
        <v>92</v>
      </c>
      <c r="M195" s="11" t="s">
        <v>111</v>
      </c>
      <c r="N195" s="11">
        <v>1020</v>
      </c>
      <c r="O195" s="11">
        <v>15</v>
      </c>
      <c r="P195" s="17">
        <v>0.05</v>
      </c>
      <c r="Q195" s="11">
        <v>300</v>
      </c>
      <c r="R195" s="11" t="s">
        <v>80</v>
      </c>
      <c r="S195" s="11" t="s">
        <v>33</v>
      </c>
      <c r="T195" s="11" t="s">
        <v>34</v>
      </c>
      <c r="U195" s="11">
        <v>4</v>
      </c>
      <c r="V195" s="11" t="str">
        <f>TEXT('E-Commerce Sales Data'!$B195,"mmmm")</f>
        <v>August</v>
      </c>
      <c r="W195" s="8">
        <f t="shared" ref="W195:W258" si="12">SUM(Q195:Q1394)</f>
        <v>4482940</v>
      </c>
      <c r="X195">
        <f t="shared" ref="X195:X258" si="13">COUNT(E195:E1394)</f>
        <v>1007</v>
      </c>
      <c r="Y195">
        <f t="shared" ref="Y195:Y258" si="14">AVERAGE(N195:N1394)</f>
        <v>25991.077457795433</v>
      </c>
      <c r="Z195">
        <f t="shared" ref="Z195:Z258" si="15">MAX(E195:E1394)</f>
        <v>55</v>
      </c>
    </row>
    <row r="196" spans="1:26" x14ac:dyDescent="0.25">
      <c r="A196" s="5" t="s">
        <v>299</v>
      </c>
      <c r="B196" s="6">
        <v>46990</v>
      </c>
      <c r="C196" s="7" t="s">
        <v>113</v>
      </c>
      <c r="D196" s="7" t="s">
        <v>114</v>
      </c>
      <c r="E196" s="7">
        <v>40</v>
      </c>
      <c r="F196" s="7" t="s">
        <v>24</v>
      </c>
      <c r="G196" s="7" t="s">
        <v>73</v>
      </c>
      <c r="H196" s="7" t="s">
        <v>74</v>
      </c>
      <c r="I196" s="7" t="s">
        <v>41</v>
      </c>
      <c r="J196" s="7" t="s">
        <v>42</v>
      </c>
      <c r="K196" s="7" t="s">
        <v>43</v>
      </c>
      <c r="L196" s="7" t="s">
        <v>44</v>
      </c>
      <c r="M196" s="7" t="s">
        <v>45</v>
      </c>
      <c r="N196" s="7">
        <v>9500</v>
      </c>
      <c r="O196" s="7">
        <v>4</v>
      </c>
      <c r="P196" s="16">
        <v>7.0000000000000007E-2</v>
      </c>
      <c r="Q196" s="7">
        <v>2050</v>
      </c>
      <c r="R196" s="7" t="s">
        <v>46</v>
      </c>
      <c r="S196" s="7" t="s">
        <v>33</v>
      </c>
      <c r="T196" s="7" t="s">
        <v>34</v>
      </c>
      <c r="U196" s="7">
        <v>4</v>
      </c>
      <c r="V196" s="7" t="str">
        <f>TEXT('E-Commerce Sales Data'!$B196,"mmmm")</f>
        <v>August</v>
      </c>
      <c r="W196" s="8">
        <f t="shared" si="12"/>
        <v>4482640</v>
      </c>
      <c r="X196">
        <f t="shared" si="13"/>
        <v>1006</v>
      </c>
      <c r="Y196">
        <f t="shared" si="14"/>
        <v>26015.899602385685</v>
      </c>
      <c r="Z196">
        <f t="shared" si="15"/>
        <v>55</v>
      </c>
    </row>
    <row r="197" spans="1:26" x14ac:dyDescent="0.25">
      <c r="A197" s="9" t="s">
        <v>300</v>
      </c>
      <c r="B197" s="10">
        <v>46997</v>
      </c>
      <c r="C197" s="11" t="s">
        <v>116</v>
      </c>
      <c r="D197" s="11" t="s">
        <v>83</v>
      </c>
      <c r="E197" s="11">
        <v>27</v>
      </c>
      <c r="F197" s="11" t="s">
        <v>38</v>
      </c>
      <c r="G197" s="11" t="s">
        <v>39</v>
      </c>
      <c r="H197" s="11" t="s">
        <v>40</v>
      </c>
      <c r="I197" s="11" t="s">
        <v>41</v>
      </c>
      <c r="J197" s="11" t="s">
        <v>28</v>
      </c>
      <c r="K197" s="11" t="s">
        <v>29</v>
      </c>
      <c r="L197" s="11" t="s">
        <v>53</v>
      </c>
      <c r="M197" s="11" t="s">
        <v>54</v>
      </c>
      <c r="N197" s="11">
        <v>21800</v>
      </c>
      <c r="O197" s="11">
        <v>2</v>
      </c>
      <c r="P197" s="17">
        <v>0.05</v>
      </c>
      <c r="Q197" s="11">
        <v>3800</v>
      </c>
      <c r="R197" s="11" t="s">
        <v>32</v>
      </c>
      <c r="S197" s="11" t="s">
        <v>47</v>
      </c>
      <c r="T197" s="11" t="s">
        <v>34</v>
      </c>
      <c r="U197" s="11">
        <v>5</v>
      </c>
      <c r="V197" s="11" t="str">
        <f>TEXT('E-Commerce Sales Data'!$B197,"mmmm")</f>
        <v>September</v>
      </c>
      <c r="W197" s="8">
        <f t="shared" si="12"/>
        <v>4480590</v>
      </c>
      <c r="X197">
        <f t="shared" si="13"/>
        <v>1005</v>
      </c>
      <c r="Y197">
        <f t="shared" si="14"/>
        <v>26032.333333333332</v>
      </c>
      <c r="Z197">
        <f t="shared" si="15"/>
        <v>55</v>
      </c>
    </row>
    <row r="198" spans="1:26" x14ac:dyDescent="0.25">
      <c r="A198" s="5" t="s">
        <v>301</v>
      </c>
      <c r="B198" s="6">
        <v>47004</v>
      </c>
      <c r="C198" s="7" t="s">
        <v>118</v>
      </c>
      <c r="D198" s="7" t="s">
        <v>72</v>
      </c>
      <c r="E198" s="7">
        <v>35</v>
      </c>
      <c r="F198" s="7" t="s">
        <v>24</v>
      </c>
      <c r="G198" s="7" t="s">
        <v>84</v>
      </c>
      <c r="H198" s="7" t="s">
        <v>85</v>
      </c>
      <c r="I198" s="7" t="s">
        <v>52</v>
      </c>
      <c r="J198" s="7" t="s">
        <v>42</v>
      </c>
      <c r="K198" s="7" t="s">
        <v>60</v>
      </c>
      <c r="L198" s="7" t="s">
        <v>61</v>
      </c>
      <c r="M198" s="7" t="s">
        <v>62</v>
      </c>
      <c r="N198" s="7">
        <v>4150</v>
      </c>
      <c r="O198" s="7">
        <v>10</v>
      </c>
      <c r="P198" s="16">
        <v>0.03</v>
      </c>
      <c r="Q198" s="7">
        <v>980</v>
      </c>
      <c r="R198" s="7" t="s">
        <v>55</v>
      </c>
      <c r="S198" s="7" t="s">
        <v>33</v>
      </c>
      <c r="T198" s="7" t="s">
        <v>34</v>
      </c>
      <c r="U198" s="7">
        <v>4</v>
      </c>
      <c r="V198" s="7" t="str">
        <f>TEXT('E-Commerce Sales Data'!$B198,"mmmm")</f>
        <v>September</v>
      </c>
      <c r="W198" s="8">
        <f t="shared" si="12"/>
        <v>4476790</v>
      </c>
      <c r="X198">
        <f t="shared" si="13"/>
        <v>1004</v>
      </c>
      <c r="Y198">
        <f t="shared" si="14"/>
        <v>26036.548804780876</v>
      </c>
      <c r="Z198">
        <f t="shared" si="15"/>
        <v>55</v>
      </c>
    </row>
    <row r="199" spans="1:26" x14ac:dyDescent="0.25">
      <c r="A199" s="9" t="s">
        <v>302</v>
      </c>
      <c r="B199" s="10">
        <v>47011</v>
      </c>
      <c r="C199" s="11" t="s">
        <v>120</v>
      </c>
      <c r="D199" s="11" t="s">
        <v>23</v>
      </c>
      <c r="E199" s="11">
        <v>24</v>
      </c>
      <c r="F199" s="11" t="s">
        <v>38</v>
      </c>
      <c r="G199" s="11" t="s">
        <v>25</v>
      </c>
      <c r="H199" s="11" t="s">
        <v>26</v>
      </c>
      <c r="I199" s="11" t="s">
        <v>27</v>
      </c>
      <c r="J199" s="11" t="s">
        <v>28</v>
      </c>
      <c r="K199" s="11" t="s">
        <v>43</v>
      </c>
      <c r="L199" s="11" t="s">
        <v>68</v>
      </c>
      <c r="M199" s="11" t="s">
        <v>69</v>
      </c>
      <c r="N199" s="11">
        <v>18500</v>
      </c>
      <c r="O199" s="11">
        <v>2</v>
      </c>
      <c r="P199" s="17">
        <v>0.1</v>
      </c>
      <c r="Q199" s="11">
        <v>2850</v>
      </c>
      <c r="R199" s="11" t="s">
        <v>32</v>
      </c>
      <c r="S199" s="11" t="s">
        <v>47</v>
      </c>
      <c r="T199" s="11" t="s">
        <v>34</v>
      </c>
      <c r="U199" s="11">
        <v>5</v>
      </c>
      <c r="V199" s="11" t="str">
        <f>TEXT('E-Commerce Sales Data'!$B199,"mmmm")</f>
        <v>September</v>
      </c>
      <c r="W199" s="8">
        <f t="shared" si="12"/>
        <v>4475810</v>
      </c>
      <c r="X199">
        <f t="shared" si="13"/>
        <v>1003</v>
      </c>
      <c r="Y199">
        <f t="shared" si="14"/>
        <v>26058.369890329013</v>
      </c>
      <c r="Z199">
        <f t="shared" si="15"/>
        <v>55</v>
      </c>
    </row>
    <row r="200" spans="1:26" x14ac:dyDescent="0.25">
      <c r="A200" s="5" t="s">
        <v>303</v>
      </c>
      <c r="B200" s="6">
        <v>47018</v>
      </c>
      <c r="C200" s="7" t="s">
        <v>122</v>
      </c>
      <c r="D200" s="7" t="s">
        <v>50</v>
      </c>
      <c r="E200" s="7">
        <v>43</v>
      </c>
      <c r="F200" s="7" t="s">
        <v>24</v>
      </c>
      <c r="G200" s="7" t="s">
        <v>101</v>
      </c>
      <c r="H200" s="7" t="s">
        <v>102</v>
      </c>
      <c r="I200" s="7" t="s">
        <v>41</v>
      </c>
      <c r="J200" s="7" t="s">
        <v>42</v>
      </c>
      <c r="K200" s="7" t="s">
        <v>29</v>
      </c>
      <c r="L200" s="7" t="s">
        <v>53</v>
      </c>
      <c r="M200" s="7" t="s">
        <v>75</v>
      </c>
      <c r="N200" s="7">
        <v>3350</v>
      </c>
      <c r="O200" s="7">
        <v>4</v>
      </c>
      <c r="P200" s="16">
        <v>0.05</v>
      </c>
      <c r="Q200" s="7">
        <v>810</v>
      </c>
      <c r="R200" s="7" t="s">
        <v>46</v>
      </c>
      <c r="S200" s="7" t="s">
        <v>33</v>
      </c>
      <c r="T200" s="7" t="s">
        <v>34</v>
      </c>
      <c r="U200" s="7">
        <v>3</v>
      </c>
      <c r="V200" s="7" t="str">
        <f>TEXT('E-Commerce Sales Data'!$B200,"mmmm")</f>
        <v>September</v>
      </c>
      <c r="W200" s="8">
        <f t="shared" si="12"/>
        <v>4472960</v>
      </c>
      <c r="X200">
        <f t="shared" si="13"/>
        <v>1002</v>
      </c>
      <c r="Y200">
        <f t="shared" si="14"/>
        <v>26065.913173652694</v>
      </c>
      <c r="Z200">
        <f t="shared" si="15"/>
        <v>55</v>
      </c>
    </row>
    <row r="201" spans="1:26" x14ac:dyDescent="0.25">
      <c r="A201" s="9" t="s">
        <v>304</v>
      </c>
      <c r="B201" s="10">
        <v>47025</v>
      </c>
      <c r="C201" s="11" t="s">
        <v>124</v>
      </c>
      <c r="D201" s="11" t="s">
        <v>100</v>
      </c>
      <c r="E201" s="11">
        <v>32</v>
      </c>
      <c r="F201" s="11" t="s">
        <v>38</v>
      </c>
      <c r="G201" s="11" t="s">
        <v>78</v>
      </c>
      <c r="H201" s="11" t="s">
        <v>26</v>
      </c>
      <c r="I201" s="11" t="s">
        <v>27</v>
      </c>
      <c r="J201" s="11" t="s">
        <v>28</v>
      </c>
      <c r="K201" s="11" t="s">
        <v>29</v>
      </c>
      <c r="L201" s="11" t="s">
        <v>53</v>
      </c>
      <c r="M201" s="11" t="s">
        <v>79</v>
      </c>
      <c r="N201" s="11">
        <v>1580</v>
      </c>
      <c r="O201" s="11">
        <v>7</v>
      </c>
      <c r="P201" s="17">
        <v>0</v>
      </c>
      <c r="Q201" s="11">
        <v>460</v>
      </c>
      <c r="R201" s="11" t="s">
        <v>32</v>
      </c>
      <c r="S201" s="11" t="s">
        <v>33</v>
      </c>
      <c r="T201" s="11" t="s">
        <v>34</v>
      </c>
      <c r="U201" s="11">
        <v>4</v>
      </c>
      <c r="V201" s="11" t="str">
        <f>TEXT('E-Commerce Sales Data'!$B201,"mmmm")</f>
        <v>September</v>
      </c>
      <c r="W201" s="8">
        <f t="shared" si="12"/>
        <v>4472150</v>
      </c>
      <c r="X201">
        <f t="shared" si="13"/>
        <v>1001</v>
      </c>
      <c r="Y201">
        <f t="shared" si="14"/>
        <v>26088.606393606395</v>
      </c>
      <c r="Z201">
        <f t="shared" si="15"/>
        <v>55</v>
      </c>
    </row>
    <row r="202" spans="1:26" x14ac:dyDescent="0.25">
      <c r="A202" s="5" t="s">
        <v>305</v>
      </c>
      <c r="B202" s="6">
        <v>47032</v>
      </c>
      <c r="C202" s="7" t="s">
        <v>22</v>
      </c>
      <c r="D202" s="7" t="s">
        <v>23</v>
      </c>
      <c r="E202" s="7">
        <v>28</v>
      </c>
      <c r="F202" s="7" t="s">
        <v>24</v>
      </c>
      <c r="G202" s="7" t="s">
        <v>25</v>
      </c>
      <c r="H202" s="7" t="s">
        <v>26</v>
      </c>
      <c r="I202" s="7" t="s">
        <v>27</v>
      </c>
      <c r="J202" s="7" t="s">
        <v>28</v>
      </c>
      <c r="K202" s="7" t="s">
        <v>29</v>
      </c>
      <c r="L202" s="7" t="s">
        <v>30</v>
      </c>
      <c r="M202" s="7" t="s">
        <v>31</v>
      </c>
      <c r="N202" s="7">
        <v>64500</v>
      </c>
      <c r="O202" s="7">
        <v>1</v>
      </c>
      <c r="P202" s="16">
        <v>0.05</v>
      </c>
      <c r="Q202" s="7">
        <v>8400</v>
      </c>
      <c r="R202" s="7" t="s">
        <v>32</v>
      </c>
      <c r="S202" s="7" t="s">
        <v>47</v>
      </c>
      <c r="T202" s="7" t="s">
        <v>34</v>
      </c>
      <c r="U202" s="7">
        <v>5</v>
      </c>
      <c r="V202" s="7" t="str">
        <f>TEXT('E-Commerce Sales Data'!$B202,"mmmm")</f>
        <v>October</v>
      </c>
      <c r="W202" s="8">
        <f t="shared" si="12"/>
        <v>4471690</v>
      </c>
      <c r="X202">
        <f t="shared" si="13"/>
        <v>1000</v>
      </c>
      <c r="Y202">
        <f t="shared" si="14"/>
        <v>26113.115000000002</v>
      </c>
      <c r="Z202">
        <f t="shared" si="15"/>
        <v>55</v>
      </c>
    </row>
    <row r="203" spans="1:26" x14ac:dyDescent="0.25">
      <c r="A203" s="9" t="s">
        <v>306</v>
      </c>
      <c r="B203" s="10">
        <v>47039</v>
      </c>
      <c r="C203" s="11" t="s">
        <v>36</v>
      </c>
      <c r="D203" s="11" t="s">
        <v>37</v>
      </c>
      <c r="E203" s="11">
        <v>34</v>
      </c>
      <c r="F203" s="11" t="s">
        <v>38</v>
      </c>
      <c r="G203" s="11" t="s">
        <v>39</v>
      </c>
      <c r="H203" s="11" t="s">
        <v>40</v>
      </c>
      <c r="I203" s="11" t="s">
        <v>41</v>
      </c>
      <c r="J203" s="11" t="s">
        <v>42</v>
      </c>
      <c r="K203" s="11" t="s">
        <v>43</v>
      </c>
      <c r="L203" s="11" t="s">
        <v>44</v>
      </c>
      <c r="M203" s="11" t="s">
        <v>45</v>
      </c>
      <c r="N203" s="11">
        <v>8750</v>
      </c>
      <c r="O203" s="11">
        <v>3</v>
      </c>
      <c r="P203" s="17">
        <v>0.1</v>
      </c>
      <c r="Q203" s="11">
        <v>1900</v>
      </c>
      <c r="R203" s="11" t="s">
        <v>46</v>
      </c>
      <c r="S203" s="11" t="s">
        <v>33</v>
      </c>
      <c r="T203" s="11" t="s">
        <v>34</v>
      </c>
      <c r="U203" s="11">
        <v>4</v>
      </c>
      <c r="V203" s="11" t="str">
        <f>TEXT('E-Commerce Sales Data'!$B203,"mmmm")</f>
        <v>October</v>
      </c>
      <c r="W203" s="8">
        <f t="shared" si="12"/>
        <v>4463290</v>
      </c>
      <c r="X203">
        <f t="shared" si="13"/>
        <v>999</v>
      </c>
      <c r="Y203">
        <f t="shared" si="14"/>
        <v>26074.689689689691</v>
      </c>
      <c r="Z203">
        <f t="shared" si="15"/>
        <v>55</v>
      </c>
    </row>
    <row r="204" spans="1:26" x14ac:dyDescent="0.25">
      <c r="A204" s="5" t="s">
        <v>307</v>
      </c>
      <c r="B204" s="6">
        <v>47046</v>
      </c>
      <c r="C204" s="7" t="s">
        <v>49</v>
      </c>
      <c r="D204" s="7" t="s">
        <v>50</v>
      </c>
      <c r="E204" s="7">
        <v>41</v>
      </c>
      <c r="F204" s="7" t="s">
        <v>24</v>
      </c>
      <c r="G204" s="7" t="s">
        <v>51</v>
      </c>
      <c r="H204" s="7" t="s">
        <v>51</v>
      </c>
      <c r="I204" s="7" t="s">
        <v>52</v>
      </c>
      <c r="J204" s="7" t="s">
        <v>28</v>
      </c>
      <c r="K204" s="7" t="s">
        <v>29</v>
      </c>
      <c r="L204" s="7" t="s">
        <v>53</v>
      </c>
      <c r="M204" s="7" t="s">
        <v>54</v>
      </c>
      <c r="N204" s="7">
        <v>19600</v>
      </c>
      <c r="O204" s="7">
        <v>2</v>
      </c>
      <c r="P204" s="16">
        <v>0.05</v>
      </c>
      <c r="Q204" s="7">
        <v>3450</v>
      </c>
      <c r="R204" s="7" t="s">
        <v>55</v>
      </c>
      <c r="S204" s="7" t="s">
        <v>33</v>
      </c>
      <c r="T204" s="7" t="s">
        <v>34</v>
      </c>
      <c r="U204" s="7">
        <v>4</v>
      </c>
      <c r="V204" s="7" t="str">
        <f>TEXT('E-Commerce Sales Data'!$B204,"mmmm")</f>
        <v>October</v>
      </c>
      <c r="W204" s="8">
        <f t="shared" si="12"/>
        <v>4461390</v>
      </c>
      <c r="X204">
        <f t="shared" si="13"/>
        <v>998</v>
      </c>
      <c r="Y204">
        <f t="shared" si="14"/>
        <v>26092.049098196392</v>
      </c>
      <c r="Z204">
        <f t="shared" si="15"/>
        <v>55</v>
      </c>
    </row>
    <row r="205" spans="1:26" x14ac:dyDescent="0.25">
      <c r="A205" s="9" t="s">
        <v>308</v>
      </c>
      <c r="B205" s="10">
        <v>47053</v>
      </c>
      <c r="C205" s="11" t="s">
        <v>57</v>
      </c>
      <c r="D205" s="11" t="s">
        <v>58</v>
      </c>
      <c r="E205" s="11">
        <v>26</v>
      </c>
      <c r="F205" s="11" t="s">
        <v>38</v>
      </c>
      <c r="G205" s="11" t="s">
        <v>59</v>
      </c>
      <c r="H205" s="11" t="s">
        <v>26</v>
      </c>
      <c r="I205" s="11" t="s">
        <v>27</v>
      </c>
      <c r="J205" s="11" t="s">
        <v>28</v>
      </c>
      <c r="K205" s="11" t="s">
        <v>60</v>
      </c>
      <c r="L205" s="11" t="s">
        <v>61</v>
      </c>
      <c r="M205" s="11" t="s">
        <v>86</v>
      </c>
      <c r="N205" s="11">
        <v>575</v>
      </c>
      <c r="O205" s="11">
        <v>20</v>
      </c>
      <c r="P205" s="17">
        <v>0.02</v>
      </c>
      <c r="Q205" s="11">
        <v>160</v>
      </c>
      <c r="R205" s="11" t="s">
        <v>32</v>
      </c>
      <c r="S205" s="11" t="s">
        <v>33</v>
      </c>
      <c r="T205" s="11" t="s">
        <v>34</v>
      </c>
      <c r="U205" s="11">
        <v>5</v>
      </c>
      <c r="V205" s="11" t="str">
        <f>TEXT('E-Commerce Sales Data'!$B205,"mmmm")</f>
        <v>October</v>
      </c>
      <c r="W205" s="8">
        <f t="shared" si="12"/>
        <v>4457940</v>
      </c>
      <c r="X205">
        <f t="shared" si="13"/>
        <v>997</v>
      </c>
      <c r="Y205">
        <f t="shared" si="14"/>
        <v>26098.56068204614</v>
      </c>
      <c r="Z205">
        <f t="shared" si="15"/>
        <v>55</v>
      </c>
    </row>
    <row r="206" spans="1:26" x14ac:dyDescent="0.25">
      <c r="A206" s="5" t="s">
        <v>309</v>
      </c>
      <c r="B206" s="6">
        <v>47060</v>
      </c>
      <c r="C206" s="7" t="s">
        <v>64</v>
      </c>
      <c r="D206" s="7" t="s">
        <v>65</v>
      </c>
      <c r="E206" s="7">
        <v>39</v>
      </c>
      <c r="F206" s="7" t="s">
        <v>24</v>
      </c>
      <c r="G206" s="7" t="s">
        <v>66</v>
      </c>
      <c r="H206" s="7" t="s">
        <v>67</v>
      </c>
      <c r="I206" s="7" t="s">
        <v>27</v>
      </c>
      <c r="J206" s="7" t="s">
        <v>42</v>
      </c>
      <c r="K206" s="7" t="s">
        <v>43</v>
      </c>
      <c r="L206" s="7" t="s">
        <v>68</v>
      </c>
      <c r="M206" s="7" t="s">
        <v>69</v>
      </c>
      <c r="N206" s="7">
        <v>18800</v>
      </c>
      <c r="O206" s="7">
        <v>2</v>
      </c>
      <c r="P206" s="16">
        <v>0.08</v>
      </c>
      <c r="Q206" s="7">
        <v>3100</v>
      </c>
      <c r="R206" s="7" t="s">
        <v>46</v>
      </c>
      <c r="S206" s="7" t="s">
        <v>47</v>
      </c>
      <c r="T206" s="7" t="s">
        <v>34</v>
      </c>
      <c r="U206" s="7">
        <v>4</v>
      </c>
      <c r="V206" s="7" t="str">
        <f>TEXT('E-Commerce Sales Data'!$B206,"mmmm")</f>
        <v>November</v>
      </c>
      <c r="W206" s="8">
        <f t="shared" si="12"/>
        <v>4457780</v>
      </c>
      <c r="X206">
        <f t="shared" si="13"/>
        <v>996</v>
      </c>
      <c r="Y206">
        <f t="shared" si="14"/>
        <v>26124.186746987951</v>
      </c>
      <c r="Z206">
        <f t="shared" si="15"/>
        <v>55</v>
      </c>
    </row>
    <row r="207" spans="1:26" x14ac:dyDescent="0.25">
      <c r="A207" s="9" t="s">
        <v>310</v>
      </c>
      <c r="B207" s="10">
        <v>47067</v>
      </c>
      <c r="C207" s="11" t="s">
        <v>71</v>
      </c>
      <c r="D207" s="11" t="s">
        <v>72</v>
      </c>
      <c r="E207" s="11">
        <v>31</v>
      </c>
      <c r="F207" s="11" t="s">
        <v>38</v>
      </c>
      <c r="G207" s="11" t="s">
        <v>73</v>
      </c>
      <c r="H207" s="11" t="s">
        <v>74</v>
      </c>
      <c r="I207" s="11" t="s">
        <v>41</v>
      </c>
      <c r="J207" s="11" t="s">
        <v>28</v>
      </c>
      <c r="K207" s="11" t="s">
        <v>29</v>
      </c>
      <c r="L207" s="11" t="s">
        <v>53</v>
      </c>
      <c r="M207" s="11" t="s">
        <v>75</v>
      </c>
      <c r="N207" s="11">
        <v>3050</v>
      </c>
      <c r="O207" s="11">
        <v>3</v>
      </c>
      <c r="P207" s="17">
        <v>0.05</v>
      </c>
      <c r="Q207" s="11">
        <v>720</v>
      </c>
      <c r="R207" s="11" t="s">
        <v>32</v>
      </c>
      <c r="S207" s="11" t="s">
        <v>33</v>
      </c>
      <c r="T207" s="11" t="s">
        <v>34</v>
      </c>
      <c r="U207" s="11">
        <v>4</v>
      </c>
      <c r="V207" s="11" t="str">
        <f>TEXT('E-Commerce Sales Data'!$B207,"mmmm")</f>
        <v>November</v>
      </c>
      <c r="W207" s="8">
        <f t="shared" si="12"/>
        <v>4454680</v>
      </c>
      <c r="X207">
        <f t="shared" si="13"/>
        <v>995</v>
      </c>
      <c r="Y207">
        <f t="shared" si="14"/>
        <v>26131.547738693469</v>
      </c>
      <c r="Z207">
        <f t="shared" si="15"/>
        <v>55</v>
      </c>
    </row>
    <row r="208" spans="1:26" x14ac:dyDescent="0.25">
      <c r="A208" s="5" t="s">
        <v>311</v>
      </c>
      <c r="B208" s="6">
        <v>47074</v>
      </c>
      <c r="C208" s="7" t="s">
        <v>77</v>
      </c>
      <c r="D208" s="7" t="s">
        <v>23</v>
      </c>
      <c r="E208" s="7">
        <v>29</v>
      </c>
      <c r="F208" s="7" t="s">
        <v>24</v>
      </c>
      <c r="G208" s="7" t="s">
        <v>78</v>
      </c>
      <c r="H208" s="7" t="s">
        <v>26</v>
      </c>
      <c r="I208" s="7" t="s">
        <v>27</v>
      </c>
      <c r="J208" s="7" t="s">
        <v>28</v>
      </c>
      <c r="K208" s="7" t="s">
        <v>29</v>
      </c>
      <c r="L208" s="7" t="s">
        <v>53</v>
      </c>
      <c r="M208" s="7" t="s">
        <v>79</v>
      </c>
      <c r="N208" s="7">
        <v>1600</v>
      </c>
      <c r="O208" s="7">
        <v>6</v>
      </c>
      <c r="P208" s="16">
        <v>0</v>
      </c>
      <c r="Q208" s="7">
        <v>470</v>
      </c>
      <c r="R208" s="7" t="s">
        <v>80</v>
      </c>
      <c r="S208" s="7" t="s">
        <v>33</v>
      </c>
      <c r="T208" s="7" t="s">
        <v>34</v>
      </c>
      <c r="U208" s="7">
        <v>3</v>
      </c>
      <c r="V208" s="7" t="str">
        <f>TEXT('E-Commerce Sales Data'!$B208,"mmmm")</f>
        <v>November</v>
      </c>
      <c r="W208" s="8">
        <f t="shared" si="12"/>
        <v>4453960</v>
      </c>
      <c r="X208">
        <f t="shared" si="13"/>
        <v>994</v>
      </c>
      <c r="Y208">
        <f t="shared" si="14"/>
        <v>26154.768611670021</v>
      </c>
      <c r="Z208">
        <f t="shared" si="15"/>
        <v>55</v>
      </c>
    </row>
    <row r="209" spans="1:26" x14ac:dyDescent="0.25">
      <c r="A209" s="9" t="s">
        <v>312</v>
      </c>
      <c r="B209" s="10">
        <v>47081</v>
      </c>
      <c r="C209" s="11" t="s">
        <v>82</v>
      </c>
      <c r="D209" s="11" t="s">
        <v>83</v>
      </c>
      <c r="E209" s="11">
        <v>37</v>
      </c>
      <c r="F209" s="11" t="s">
        <v>38</v>
      </c>
      <c r="G209" s="11" t="s">
        <v>84</v>
      </c>
      <c r="H209" s="11" t="s">
        <v>85</v>
      </c>
      <c r="I209" s="11" t="s">
        <v>52</v>
      </c>
      <c r="J209" s="11" t="s">
        <v>42</v>
      </c>
      <c r="K209" s="11" t="s">
        <v>60</v>
      </c>
      <c r="L209" s="11" t="s">
        <v>61</v>
      </c>
      <c r="M209" s="11" t="s">
        <v>62</v>
      </c>
      <c r="N209" s="11">
        <v>4250</v>
      </c>
      <c r="O209" s="11">
        <v>10</v>
      </c>
      <c r="P209" s="17">
        <v>0.02</v>
      </c>
      <c r="Q209" s="11">
        <v>1060</v>
      </c>
      <c r="R209" s="11" t="s">
        <v>32</v>
      </c>
      <c r="S209" s="11" t="s">
        <v>33</v>
      </c>
      <c r="T209" s="11" t="s">
        <v>34</v>
      </c>
      <c r="U209" s="11">
        <v>5</v>
      </c>
      <c r="V209" s="11" t="str">
        <f>TEXT('E-Commerce Sales Data'!$B209,"mmmm")</f>
        <v>November</v>
      </c>
      <c r="W209" s="8">
        <f t="shared" si="12"/>
        <v>4453490</v>
      </c>
      <c r="X209">
        <f t="shared" si="13"/>
        <v>993</v>
      </c>
      <c r="Y209">
        <f t="shared" si="14"/>
        <v>26179.496475327291</v>
      </c>
      <c r="Z209">
        <f t="shared" si="15"/>
        <v>55</v>
      </c>
    </row>
    <row r="210" spans="1:26" x14ac:dyDescent="0.25">
      <c r="A210" s="5" t="s">
        <v>313</v>
      </c>
      <c r="B210" s="6">
        <v>47088</v>
      </c>
      <c r="C210" s="7" t="s">
        <v>88</v>
      </c>
      <c r="D210" s="7" t="s">
        <v>37</v>
      </c>
      <c r="E210" s="7">
        <v>45</v>
      </c>
      <c r="F210" s="7" t="s">
        <v>24</v>
      </c>
      <c r="G210" s="7" t="s">
        <v>89</v>
      </c>
      <c r="H210" s="7" t="s">
        <v>90</v>
      </c>
      <c r="I210" s="7" t="s">
        <v>91</v>
      </c>
      <c r="J210" s="7" t="s">
        <v>42</v>
      </c>
      <c r="K210" s="7" t="s">
        <v>43</v>
      </c>
      <c r="L210" s="7" t="s">
        <v>92</v>
      </c>
      <c r="M210" s="7" t="s">
        <v>93</v>
      </c>
      <c r="N210" s="7">
        <v>14200</v>
      </c>
      <c r="O210" s="7">
        <v>1</v>
      </c>
      <c r="P210" s="16">
        <v>0.1</v>
      </c>
      <c r="Q210" s="7">
        <v>2400</v>
      </c>
      <c r="R210" s="7" t="s">
        <v>46</v>
      </c>
      <c r="S210" s="7" t="s">
        <v>47</v>
      </c>
      <c r="T210" s="7" t="s">
        <v>34</v>
      </c>
      <c r="U210" s="7">
        <v>4</v>
      </c>
      <c r="V210" s="7" t="str">
        <f>TEXT('E-Commerce Sales Data'!$B210,"mmmm")</f>
        <v>December</v>
      </c>
      <c r="W210" s="8">
        <f t="shared" si="12"/>
        <v>4452430</v>
      </c>
      <c r="X210">
        <f t="shared" si="13"/>
        <v>992</v>
      </c>
      <c r="Y210">
        <f t="shared" si="14"/>
        <v>26201.602822580644</v>
      </c>
      <c r="Z210">
        <f t="shared" si="15"/>
        <v>55</v>
      </c>
    </row>
    <row r="211" spans="1:26" x14ac:dyDescent="0.25">
      <c r="A211" s="9" t="s">
        <v>314</v>
      </c>
      <c r="B211" s="10">
        <v>47095</v>
      </c>
      <c r="C211" s="11" t="s">
        <v>95</v>
      </c>
      <c r="D211" s="11" t="s">
        <v>65</v>
      </c>
      <c r="E211" s="11">
        <v>25</v>
      </c>
      <c r="F211" s="11" t="s">
        <v>38</v>
      </c>
      <c r="G211" s="11" t="s">
        <v>25</v>
      </c>
      <c r="H211" s="11" t="s">
        <v>26</v>
      </c>
      <c r="I211" s="11" t="s">
        <v>27</v>
      </c>
      <c r="J211" s="11" t="s">
        <v>28</v>
      </c>
      <c r="K211" s="11" t="s">
        <v>29</v>
      </c>
      <c r="L211" s="11" t="s">
        <v>96</v>
      </c>
      <c r="M211" s="11" t="s">
        <v>97</v>
      </c>
      <c r="N211" s="11">
        <v>16400</v>
      </c>
      <c r="O211" s="11">
        <v>2</v>
      </c>
      <c r="P211" s="17">
        <v>0.05</v>
      </c>
      <c r="Q211" s="11">
        <v>3100</v>
      </c>
      <c r="R211" s="11" t="s">
        <v>32</v>
      </c>
      <c r="S211" s="11" t="s">
        <v>33</v>
      </c>
      <c r="T211" s="11" t="s">
        <v>34</v>
      </c>
      <c r="U211" s="11">
        <v>4</v>
      </c>
      <c r="V211" s="11" t="str">
        <f>TEXT('E-Commerce Sales Data'!$B211,"mmmm")</f>
        <v>December</v>
      </c>
      <c r="W211" s="8">
        <f t="shared" si="12"/>
        <v>4450030</v>
      </c>
      <c r="X211">
        <f t="shared" si="13"/>
        <v>991</v>
      </c>
      <c r="Y211">
        <f t="shared" si="14"/>
        <v>26213.713420787084</v>
      </c>
      <c r="Z211">
        <f t="shared" si="15"/>
        <v>55</v>
      </c>
    </row>
    <row r="212" spans="1:26" x14ac:dyDescent="0.25">
      <c r="A212" s="5" t="s">
        <v>315</v>
      </c>
      <c r="B212" s="6">
        <v>47102</v>
      </c>
      <c r="C212" s="7" t="s">
        <v>99</v>
      </c>
      <c r="D212" s="7" t="s">
        <v>100</v>
      </c>
      <c r="E212" s="7">
        <v>33</v>
      </c>
      <c r="F212" s="7" t="s">
        <v>24</v>
      </c>
      <c r="G212" s="7" t="s">
        <v>101</v>
      </c>
      <c r="H212" s="7" t="s">
        <v>102</v>
      </c>
      <c r="I212" s="7" t="s">
        <v>41</v>
      </c>
      <c r="J212" s="7" t="s">
        <v>28</v>
      </c>
      <c r="K212" s="7" t="s">
        <v>60</v>
      </c>
      <c r="L212" s="7" t="s">
        <v>53</v>
      </c>
      <c r="M212" s="7" t="s">
        <v>103</v>
      </c>
      <c r="N212" s="7">
        <v>810</v>
      </c>
      <c r="O212" s="7">
        <v>25</v>
      </c>
      <c r="P212" s="16">
        <v>0</v>
      </c>
      <c r="Q212" s="7">
        <v>240</v>
      </c>
      <c r="R212" s="7" t="s">
        <v>55</v>
      </c>
      <c r="S212" s="7" t="s">
        <v>33</v>
      </c>
      <c r="T212" s="7" t="s">
        <v>34</v>
      </c>
      <c r="U212" s="7">
        <v>5</v>
      </c>
      <c r="V212" s="7" t="str">
        <f>TEXT('E-Commerce Sales Data'!$B212,"mmmm")</f>
        <v>December</v>
      </c>
      <c r="W212" s="8">
        <f t="shared" si="12"/>
        <v>4446930</v>
      </c>
      <c r="X212">
        <f t="shared" si="13"/>
        <v>990</v>
      </c>
      <c r="Y212">
        <f t="shared" si="14"/>
        <v>26223.626262626261</v>
      </c>
      <c r="Z212">
        <f t="shared" si="15"/>
        <v>55</v>
      </c>
    </row>
    <row r="213" spans="1:26" x14ac:dyDescent="0.25">
      <c r="A213" s="9" t="s">
        <v>316</v>
      </c>
      <c r="B213" s="10">
        <v>47109</v>
      </c>
      <c r="C213" s="11" t="s">
        <v>105</v>
      </c>
      <c r="D213" s="11" t="s">
        <v>58</v>
      </c>
      <c r="E213" s="11">
        <v>42</v>
      </c>
      <c r="F213" s="11" t="s">
        <v>38</v>
      </c>
      <c r="G213" s="11" t="s">
        <v>51</v>
      </c>
      <c r="H213" s="11" t="s">
        <v>51</v>
      </c>
      <c r="I213" s="11" t="s">
        <v>52</v>
      </c>
      <c r="J213" s="11" t="s">
        <v>42</v>
      </c>
      <c r="K213" s="11" t="s">
        <v>43</v>
      </c>
      <c r="L213" s="11" t="s">
        <v>68</v>
      </c>
      <c r="M213" s="11" t="s">
        <v>106</v>
      </c>
      <c r="N213" s="11">
        <v>24200</v>
      </c>
      <c r="O213" s="11">
        <v>1</v>
      </c>
      <c r="P213" s="17">
        <v>0.08</v>
      </c>
      <c r="Q213" s="11">
        <v>4620</v>
      </c>
      <c r="R213" s="11" t="s">
        <v>46</v>
      </c>
      <c r="S213" s="11" t="s">
        <v>47</v>
      </c>
      <c r="T213" s="11" t="s">
        <v>34</v>
      </c>
      <c r="U213" s="11">
        <v>4</v>
      </c>
      <c r="V213" s="11" t="str">
        <f>TEXT('E-Commerce Sales Data'!$B213,"mmmm")</f>
        <v>December</v>
      </c>
      <c r="W213" s="8">
        <f t="shared" si="12"/>
        <v>4446690</v>
      </c>
      <c r="X213">
        <f t="shared" si="13"/>
        <v>989</v>
      </c>
      <c r="Y213">
        <f t="shared" si="14"/>
        <v>26249.322548028311</v>
      </c>
      <c r="Z213">
        <f t="shared" si="15"/>
        <v>55</v>
      </c>
    </row>
    <row r="214" spans="1:26" x14ac:dyDescent="0.25">
      <c r="A214" s="5" t="s">
        <v>317</v>
      </c>
      <c r="B214" s="6">
        <v>47116</v>
      </c>
      <c r="C214" s="7" t="s">
        <v>108</v>
      </c>
      <c r="D214" s="7" t="s">
        <v>23</v>
      </c>
      <c r="E214" s="7">
        <v>30</v>
      </c>
      <c r="F214" s="7" t="s">
        <v>24</v>
      </c>
      <c r="G214" s="7" t="s">
        <v>59</v>
      </c>
      <c r="H214" s="7" t="s">
        <v>26</v>
      </c>
      <c r="I214" s="7" t="s">
        <v>27</v>
      </c>
      <c r="J214" s="7" t="s">
        <v>28</v>
      </c>
      <c r="K214" s="7" t="s">
        <v>29</v>
      </c>
      <c r="L214" s="7" t="s">
        <v>30</v>
      </c>
      <c r="M214" s="7" t="s">
        <v>31</v>
      </c>
      <c r="N214" s="7">
        <v>69500</v>
      </c>
      <c r="O214" s="7">
        <v>1</v>
      </c>
      <c r="P214" s="16">
        <v>0.1</v>
      </c>
      <c r="Q214" s="7">
        <v>7750</v>
      </c>
      <c r="R214" s="7" t="s">
        <v>32</v>
      </c>
      <c r="S214" s="7" t="s">
        <v>47</v>
      </c>
      <c r="T214" s="7" t="s">
        <v>34</v>
      </c>
      <c r="U214" s="7">
        <v>5</v>
      </c>
      <c r="V214" s="7" t="str">
        <f>TEXT('E-Commerce Sales Data'!$B214,"mmmm")</f>
        <v>December</v>
      </c>
      <c r="W214" s="8">
        <f t="shared" si="12"/>
        <v>4442070</v>
      </c>
      <c r="X214">
        <f t="shared" si="13"/>
        <v>988</v>
      </c>
      <c r="Y214">
        <f t="shared" si="14"/>
        <v>26251.396761133605</v>
      </c>
      <c r="Z214">
        <f t="shared" si="15"/>
        <v>55</v>
      </c>
    </row>
    <row r="215" spans="1:26" x14ac:dyDescent="0.25">
      <c r="A215" s="9" t="s">
        <v>318</v>
      </c>
      <c r="B215" s="10">
        <v>47123</v>
      </c>
      <c r="C215" s="11" t="s">
        <v>110</v>
      </c>
      <c r="D215" s="11" t="s">
        <v>37</v>
      </c>
      <c r="E215" s="11">
        <v>36</v>
      </c>
      <c r="F215" s="11" t="s">
        <v>38</v>
      </c>
      <c r="G215" s="11" t="s">
        <v>66</v>
      </c>
      <c r="H215" s="11" t="s">
        <v>67</v>
      </c>
      <c r="I215" s="11" t="s">
        <v>27</v>
      </c>
      <c r="J215" s="11" t="s">
        <v>28</v>
      </c>
      <c r="K215" s="11" t="s">
        <v>60</v>
      </c>
      <c r="L215" s="11" t="s">
        <v>92</v>
      </c>
      <c r="M215" s="11" t="s">
        <v>111</v>
      </c>
      <c r="N215" s="11">
        <v>1050</v>
      </c>
      <c r="O215" s="11">
        <v>15</v>
      </c>
      <c r="P215" s="17">
        <v>0.05</v>
      </c>
      <c r="Q215" s="11">
        <v>310</v>
      </c>
      <c r="R215" s="11" t="s">
        <v>80</v>
      </c>
      <c r="S215" s="11" t="s">
        <v>33</v>
      </c>
      <c r="T215" s="11" t="s">
        <v>34</v>
      </c>
      <c r="U215" s="11">
        <v>4</v>
      </c>
      <c r="V215" s="11" t="str">
        <f>TEXT('E-Commerce Sales Data'!$B215,"mmmm")</f>
        <v>January</v>
      </c>
      <c r="W215" s="8">
        <f t="shared" si="12"/>
        <v>4434320</v>
      </c>
      <c r="X215">
        <f t="shared" si="13"/>
        <v>987</v>
      </c>
      <c r="Y215">
        <f t="shared" si="14"/>
        <v>26207.57852077001</v>
      </c>
      <c r="Z215">
        <f t="shared" si="15"/>
        <v>55</v>
      </c>
    </row>
    <row r="216" spans="1:26" x14ac:dyDescent="0.25">
      <c r="A216" s="5" t="s">
        <v>319</v>
      </c>
      <c r="B216" s="6">
        <v>47130</v>
      </c>
      <c r="C216" s="7" t="s">
        <v>113</v>
      </c>
      <c r="D216" s="7" t="s">
        <v>114</v>
      </c>
      <c r="E216" s="7">
        <v>40</v>
      </c>
      <c r="F216" s="7" t="s">
        <v>24</v>
      </c>
      <c r="G216" s="7" t="s">
        <v>73</v>
      </c>
      <c r="H216" s="7" t="s">
        <v>74</v>
      </c>
      <c r="I216" s="7" t="s">
        <v>41</v>
      </c>
      <c r="J216" s="7" t="s">
        <v>42</v>
      </c>
      <c r="K216" s="7" t="s">
        <v>43</v>
      </c>
      <c r="L216" s="7" t="s">
        <v>44</v>
      </c>
      <c r="M216" s="7" t="s">
        <v>45</v>
      </c>
      <c r="N216" s="7">
        <v>9800</v>
      </c>
      <c r="O216" s="7">
        <v>4</v>
      </c>
      <c r="P216" s="16">
        <v>7.0000000000000007E-2</v>
      </c>
      <c r="Q216" s="7">
        <v>2100</v>
      </c>
      <c r="R216" s="7" t="s">
        <v>46</v>
      </c>
      <c r="S216" s="7" t="s">
        <v>33</v>
      </c>
      <c r="T216" s="7" t="s">
        <v>34</v>
      </c>
      <c r="U216" s="7">
        <v>4</v>
      </c>
      <c r="V216" s="7" t="str">
        <f>TEXT('E-Commerce Sales Data'!$B216,"mmmm")</f>
        <v>January</v>
      </c>
      <c r="W216" s="8">
        <f t="shared" si="12"/>
        <v>4434010</v>
      </c>
      <c r="X216">
        <f t="shared" si="13"/>
        <v>986</v>
      </c>
      <c r="Y216">
        <f t="shared" si="14"/>
        <v>26233.093306288032</v>
      </c>
      <c r="Z216">
        <f t="shared" si="15"/>
        <v>55</v>
      </c>
    </row>
    <row r="217" spans="1:26" x14ac:dyDescent="0.25">
      <c r="A217" s="9" t="s">
        <v>320</v>
      </c>
      <c r="B217" s="10">
        <v>47137</v>
      </c>
      <c r="C217" s="11" t="s">
        <v>116</v>
      </c>
      <c r="D217" s="11" t="s">
        <v>83</v>
      </c>
      <c r="E217" s="11">
        <v>27</v>
      </c>
      <c r="F217" s="11" t="s">
        <v>38</v>
      </c>
      <c r="G217" s="11" t="s">
        <v>39</v>
      </c>
      <c r="H217" s="11" t="s">
        <v>40</v>
      </c>
      <c r="I217" s="11" t="s">
        <v>41</v>
      </c>
      <c r="J217" s="11" t="s">
        <v>28</v>
      </c>
      <c r="K217" s="11" t="s">
        <v>29</v>
      </c>
      <c r="L217" s="11" t="s">
        <v>53</v>
      </c>
      <c r="M217" s="11" t="s">
        <v>54</v>
      </c>
      <c r="N217" s="11">
        <v>22500</v>
      </c>
      <c r="O217" s="11">
        <v>2</v>
      </c>
      <c r="P217" s="17">
        <v>0.05</v>
      </c>
      <c r="Q217" s="11">
        <v>3950</v>
      </c>
      <c r="R217" s="11" t="s">
        <v>32</v>
      </c>
      <c r="S217" s="11" t="s">
        <v>47</v>
      </c>
      <c r="T217" s="11" t="s">
        <v>34</v>
      </c>
      <c r="U217" s="11">
        <v>5</v>
      </c>
      <c r="V217" s="11" t="str">
        <f>TEXT('E-Commerce Sales Data'!$B217,"mmmm")</f>
        <v>January</v>
      </c>
      <c r="W217" s="8">
        <f t="shared" si="12"/>
        <v>4431910</v>
      </c>
      <c r="X217">
        <f t="shared" si="13"/>
        <v>985</v>
      </c>
      <c r="Y217">
        <f t="shared" si="14"/>
        <v>26249.776649746193</v>
      </c>
      <c r="Z217">
        <f t="shared" si="15"/>
        <v>55</v>
      </c>
    </row>
    <row r="218" spans="1:26" x14ac:dyDescent="0.25">
      <c r="A218" s="5" t="s">
        <v>321</v>
      </c>
      <c r="B218" s="6">
        <v>47144</v>
      </c>
      <c r="C218" s="7" t="s">
        <v>118</v>
      </c>
      <c r="D218" s="7" t="s">
        <v>72</v>
      </c>
      <c r="E218" s="7">
        <v>35</v>
      </c>
      <c r="F218" s="7" t="s">
        <v>24</v>
      </c>
      <c r="G218" s="7" t="s">
        <v>84</v>
      </c>
      <c r="H218" s="7" t="s">
        <v>85</v>
      </c>
      <c r="I218" s="7" t="s">
        <v>52</v>
      </c>
      <c r="J218" s="7" t="s">
        <v>42</v>
      </c>
      <c r="K218" s="7" t="s">
        <v>60</v>
      </c>
      <c r="L218" s="7" t="s">
        <v>61</v>
      </c>
      <c r="M218" s="7" t="s">
        <v>62</v>
      </c>
      <c r="N218" s="7">
        <v>4300</v>
      </c>
      <c r="O218" s="7">
        <v>10</v>
      </c>
      <c r="P218" s="16">
        <v>0.03</v>
      </c>
      <c r="Q218" s="7">
        <v>1010</v>
      </c>
      <c r="R218" s="7" t="s">
        <v>55</v>
      </c>
      <c r="S218" s="7" t="s">
        <v>33</v>
      </c>
      <c r="T218" s="7" t="s">
        <v>34</v>
      </c>
      <c r="U218" s="7">
        <v>4</v>
      </c>
      <c r="V218" s="7" t="str">
        <f>TEXT('E-Commerce Sales Data'!$B218,"mmmm")</f>
        <v>January</v>
      </c>
      <c r="W218" s="8">
        <f t="shared" si="12"/>
        <v>4427960</v>
      </c>
      <c r="X218">
        <f t="shared" si="13"/>
        <v>984</v>
      </c>
      <c r="Y218">
        <f t="shared" si="14"/>
        <v>26253.587398373984</v>
      </c>
      <c r="Z218">
        <f t="shared" si="15"/>
        <v>55</v>
      </c>
    </row>
    <row r="219" spans="1:26" x14ac:dyDescent="0.25">
      <c r="A219" s="9" t="s">
        <v>322</v>
      </c>
      <c r="B219" s="10">
        <v>47151</v>
      </c>
      <c r="C219" s="11" t="s">
        <v>120</v>
      </c>
      <c r="D219" s="11" t="s">
        <v>23</v>
      </c>
      <c r="E219" s="11">
        <v>24</v>
      </c>
      <c r="F219" s="11" t="s">
        <v>38</v>
      </c>
      <c r="G219" s="11" t="s">
        <v>25</v>
      </c>
      <c r="H219" s="11" t="s">
        <v>26</v>
      </c>
      <c r="I219" s="11" t="s">
        <v>27</v>
      </c>
      <c r="J219" s="11" t="s">
        <v>28</v>
      </c>
      <c r="K219" s="11" t="s">
        <v>43</v>
      </c>
      <c r="L219" s="11" t="s">
        <v>68</v>
      </c>
      <c r="M219" s="11" t="s">
        <v>69</v>
      </c>
      <c r="N219" s="11">
        <v>19200</v>
      </c>
      <c r="O219" s="11">
        <v>2</v>
      </c>
      <c r="P219" s="17">
        <v>0.1</v>
      </c>
      <c r="Q219" s="11">
        <v>2950</v>
      </c>
      <c r="R219" s="11" t="s">
        <v>32</v>
      </c>
      <c r="S219" s="11" t="s">
        <v>47</v>
      </c>
      <c r="T219" s="11" t="s">
        <v>34</v>
      </c>
      <c r="U219" s="11">
        <v>5</v>
      </c>
      <c r="V219" s="11" t="str">
        <f>TEXT('E-Commerce Sales Data'!$B219,"mmmm")</f>
        <v>February</v>
      </c>
      <c r="W219" s="8">
        <f t="shared" si="12"/>
        <v>4426950</v>
      </c>
      <c r="X219">
        <f t="shared" si="13"/>
        <v>983</v>
      </c>
      <c r="Y219">
        <f t="shared" si="14"/>
        <v>26275.920651068158</v>
      </c>
      <c r="Z219">
        <f t="shared" si="15"/>
        <v>55</v>
      </c>
    </row>
    <row r="220" spans="1:26" x14ac:dyDescent="0.25">
      <c r="A220" s="5" t="s">
        <v>323</v>
      </c>
      <c r="B220" s="6">
        <v>47158</v>
      </c>
      <c r="C220" s="7" t="s">
        <v>122</v>
      </c>
      <c r="D220" s="7" t="s">
        <v>50</v>
      </c>
      <c r="E220" s="7">
        <v>43</v>
      </c>
      <c r="F220" s="7" t="s">
        <v>24</v>
      </c>
      <c r="G220" s="7" t="s">
        <v>101</v>
      </c>
      <c r="H220" s="7" t="s">
        <v>102</v>
      </c>
      <c r="I220" s="7" t="s">
        <v>41</v>
      </c>
      <c r="J220" s="7" t="s">
        <v>42</v>
      </c>
      <c r="K220" s="7" t="s">
        <v>29</v>
      </c>
      <c r="L220" s="7" t="s">
        <v>53</v>
      </c>
      <c r="M220" s="7" t="s">
        <v>75</v>
      </c>
      <c r="N220" s="7">
        <v>3450</v>
      </c>
      <c r="O220" s="7">
        <v>4</v>
      </c>
      <c r="P220" s="16">
        <v>0.05</v>
      </c>
      <c r="Q220" s="7">
        <v>830</v>
      </c>
      <c r="R220" s="7" t="s">
        <v>46</v>
      </c>
      <c r="S220" s="7" t="s">
        <v>33</v>
      </c>
      <c r="T220" s="7" t="s">
        <v>34</v>
      </c>
      <c r="U220" s="7">
        <v>3</v>
      </c>
      <c r="V220" s="7" t="str">
        <f>TEXT('E-Commerce Sales Data'!$B220,"mmmm")</f>
        <v>February</v>
      </c>
      <c r="W220" s="8">
        <f t="shared" si="12"/>
        <v>4424000</v>
      </c>
      <c r="X220">
        <f t="shared" si="13"/>
        <v>982</v>
      </c>
      <c r="Y220">
        <f t="shared" si="14"/>
        <v>26283.126272912425</v>
      </c>
      <c r="Z220">
        <f t="shared" si="15"/>
        <v>55</v>
      </c>
    </row>
    <row r="221" spans="1:26" x14ac:dyDescent="0.25">
      <c r="A221" s="9" t="s">
        <v>324</v>
      </c>
      <c r="B221" s="10">
        <v>47165</v>
      </c>
      <c r="C221" s="11" t="s">
        <v>124</v>
      </c>
      <c r="D221" s="11" t="s">
        <v>100</v>
      </c>
      <c r="E221" s="11">
        <v>32</v>
      </c>
      <c r="F221" s="11" t="s">
        <v>38</v>
      </c>
      <c r="G221" s="11" t="s">
        <v>78</v>
      </c>
      <c r="H221" s="11" t="s">
        <v>26</v>
      </c>
      <c r="I221" s="11" t="s">
        <v>27</v>
      </c>
      <c r="J221" s="11" t="s">
        <v>28</v>
      </c>
      <c r="K221" s="11" t="s">
        <v>29</v>
      </c>
      <c r="L221" s="11" t="s">
        <v>53</v>
      </c>
      <c r="M221" s="11" t="s">
        <v>79</v>
      </c>
      <c r="N221" s="11">
        <v>1650</v>
      </c>
      <c r="O221" s="11">
        <v>7</v>
      </c>
      <c r="P221" s="17">
        <v>0</v>
      </c>
      <c r="Q221" s="11">
        <v>480</v>
      </c>
      <c r="R221" s="11" t="s">
        <v>32</v>
      </c>
      <c r="S221" s="11" t="s">
        <v>33</v>
      </c>
      <c r="T221" s="11" t="s">
        <v>34</v>
      </c>
      <c r="U221" s="11">
        <v>4</v>
      </c>
      <c r="V221" s="11" t="str">
        <f>TEXT('E-Commerce Sales Data'!$B221,"mmmm")</f>
        <v>February</v>
      </c>
      <c r="W221" s="8">
        <f t="shared" si="12"/>
        <v>4423170</v>
      </c>
      <c r="X221">
        <f t="shared" si="13"/>
        <v>981</v>
      </c>
      <c r="Y221">
        <f t="shared" si="14"/>
        <v>26306.401630988788</v>
      </c>
      <c r="Z221">
        <f t="shared" si="15"/>
        <v>55</v>
      </c>
    </row>
    <row r="222" spans="1:26" x14ac:dyDescent="0.25">
      <c r="A222" s="5" t="s">
        <v>325</v>
      </c>
      <c r="B222" s="6">
        <v>47172</v>
      </c>
      <c r="C222" s="7" t="s">
        <v>22</v>
      </c>
      <c r="D222" s="7" t="s">
        <v>23</v>
      </c>
      <c r="E222" s="7">
        <v>28</v>
      </c>
      <c r="F222" s="7" t="s">
        <v>24</v>
      </c>
      <c r="G222" s="7" t="s">
        <v>25</v>
      </c>
      <c r="H222" s="7" t="s">
        <v>26</v>
      </c>
      <c r="I222" s="7" t="s">
        <v>27</v>
      </c>
      <c r="J222" s="7" t="s">
        <v>28</v>
      </c>
      <c r="K222" s="7" t="s">
        <v>29</v>
      </c>
      <c r="L222" s="7" t="s">
        <v>30</v>
      </c>
      <c r="M222" s="7" t="s">
        <v>31</v>
      </c>
      <c r="N222" s="7">
        <v>65500</v>
      </c>
      <c r="O222" s="7">
        <v>1</v>
      </c>
      <c r="P222" s="16">
        <v>0.05</v>
      </c>
      <c r="Q222" s="7">
        <v>8500</v>
      </c>
      <c r="R222" s="7" t="s">
        <v>32</v>
      </c>
      <c r="S222" s="7" t="s">
        <v>47</v>
      </c>
      <c r="T222" s="7" t="s">
        <v>34</v>
      </c>
      <c r="U222" s="7">
        <v>5</v>
      </c>
      <c r="V222" s="7" t="str">
        <f>TEXT('E-Commerce Sales Data'!$B222,"mmmm")</f>
        <v>February</v>
      </c>
      <c r="W222" s="8">
        <f t="shared" si="12"/>
        <v>4422690</v>
      </c>
      <c r="X222">
        <f t="shared" si="13"/>
        <v>980</v>
      </c>
      <c r="Y222">
        <f t="shared" si="14"/>
        <v>26331.561224489797</v>
      </c>
      <c r="Z222">
        <f t="shared" si="15"/>
        <v>55</v>
      </c>
    </row>
    <row r="223" spans="1:26" x14ac:dyDescent="0.25">
      <c r="A223" s="9" t="s">
        <v>326</v>
      </c>
      <c r="B223" s="10">
        <v>47179</v>
      </c>
      <c r="C223" s="11" t="s">
        <v>36</v>
      </c>
      <c r="D223" s="11" t="s">
        <v>37</v>
      </c>
      <c r="E223" s="11">
        <v>34</v>
      </c>
      <c r="F223" s="11" t="s">
        <v>38</v>
      </c>
      <c r="G223" s="11" t="s">
        <v>39</v>
      </c>
      <c r="H223" s="11" t="s">
        <v>40</v>
      </c>
      <c r="I223" s="11" t="s">
        <v>41</v>
      </c>
      <c r="J223" s="11" t="s">
        <v>42</v>
      </c>
      <c r="K223" s="11" t="s">
        <v>43</v>
      </c>
      <c r="L223" s="11" t="s">
        <v>44</v>
      </c>
      <c r="M223" s="11" t="s">
        <v>45</v>
      </c>
      <c r="N223" s="11">
        <v>8900</v>
      </c>
      <c r="O223" s="11">
        <v>3</v>
      </c>
      <c r="P223" s="17">
        <v>0.1</v>
      </c>
      <c r="Q223" s="11">
        <v>1950</v>
      </c>
      <c r="R223" s="11" t="s">
        <v>46</v>
      </c>
      <c r="S223" s="11" t="s">
        <v>33</v>
      </c>
      <c r="T223" s="11" t="s">
        <v>34</v>
      </c>
      <c r="U223" s="11">
        <v>4</v>
      </c>
      <c r="V223" s="11" t="str">
        <f>TEXT('E-Commerce Sales Data'!$B223,"mmmm")</f>
        <v>March</v>
      </c>
      <c r="W223" s="8">
        <f t="shared" si="12"/>
        <v>4414190</v>
      </c>
      <c r="X223">
        <f t="shared" si="13"/>
        <v>979</v>
      </c>
      <c r="Y223">
        <f t="shared" si="14"/>
        <v>26291.552604698671</v>
      </c>
      <c r="Z223">
        <f t="shared" si="15"/>
        <v>55</v>
      </c>
    </row>
    <row r="224" spans="1:26" x14ac:dyDescent="0.25">
      <c r="A224" s="5" t="s">
        <v>327</v>
      </c>
      <c r="B224" s="6">
        <v>47186</v>
      </c>
      <c r="C224" s="7" t="s">
        <v>49</v>
      </c>
      <c r="D224" s="7" t="s">
        <v>50</v>
      </c>
      <c r="E224" s="7">
        <v>41</v>
      </c>
      <c r="F224" s="7" t="s">
        <v>24</v>
      </c>
      <c r="G224" s="7" t="s">
        <v>51</v>
      </c>
      <c r="H224" s="7" t="s">
        <v>51</v>
      </c>
      <c r="I224" s="7" t="s">
        <v>52</v>
      </c>
      <c r="J224" s="7" t="s">
        <v>28</v>
      </c>
      <c r="K224" s="7" t="s">
        <v>29</v>
      </c>
      <c r="L224" s="7" t="s">
        <v>53</v>
      </c>
      <c r="M224" s="7" t="s">
        <v>54</v>
      </c>
      <c r="N224" s="7">
        <v>20100</v>
      </c>
      <c r="O224" s="7">
        <v>2</v>
      </c>
      <c r="P224" s="16">
        <v>0.05</v>
      </c>
      <c r="Q224" s="7">
        <v>3550</v>
      </c>
      <c r="R224" s="7" t="s">
        <v>55</v>
      </c>
      <c r="S224" s="7" t="s">
        <v>33</v>
      </c>
      <c r="T224" s="7" t="s">
        <v>34</v>
      </c>
      <c r="U224" s="7">
        <v>4</v>
      </c>
      <c r="V224" s="7" t="str">
        <f>TEXT('E-Commerce Sales Data'!$B224,"mmmm")</f>
        <v>March</v>
      </c>
      <c r="W224" s="8">
        <f t="shared" si="12"/>
        <v>4412240</v>
      </c>
      <c r="X224">
        <f t="shared" si="13"/>
        <v>978</v>
      </c>
      <c r="Y224">
        <f t="shared" si="14"/>
        <v>26309.335378323107</v>
      </c>
      <c r="Z224">
        <f t="shared" si="15"/>
        <v>55</v>
      </c>
    </row>
    <row r="225" spans="1:26" x14ac:dyDescent="0.25">
      <c r="A225" s="9" t="s">
        <v>328</v>
      </c>
      <c r="B225" s="10">
        <v>47193</v>
      </c>
      <c r="C225" s="11" t="s">
        <v>57</v>
      </c>
      <c r="D225" s="11" t="s">
        <v>58</v>
      </c>
      <c r="E225" s="11">
        <v>26</v>
      </c>
      <c r="F225" s="11" t="s">
        <v>38</v>
      </c>
      <c r="G225" s="11" t="s">
        <v>59</v>
      </c>
      <c r="H225" s="11" t="s">
        <v>26</v>
      </c>
      <c r="I225" s="11" t="s">
        <v>27</v>
      </c>
      <c r="J225" s="11" t="s">
        <v>28</v>
      </c>
      <c r="K225" s="11" t="s">
        <v>60</v>
      </c>
      <c r="L225" s="11" t="s">
        <v>61</v>
      </c>
      <c r="M225" s="11" t="s">
        <v>86</v>
      </c>
      <c r="N225" s="11">
        <v>590</v>
      </c>
      <c r="O225" s="11">
        <v>20</v>
      </c>
      <c r="P225" s="17">
        <v>0.02</v>
      </c>
      <c r="Q225" s="11">
        <v>165</v>
      </c>
      <c r="R225" s="11" t="s">
        <v>32</v>
      </c>
      <c r="S225" s="11" t="s">
        <v>33</v>
      </c>
      <c r="T225" s="11" t="s">
        <v>34</v>
      </c>
      <c r="U225" s="11">
        <v>5</v>
      </c>
      <c r="V225" s="11" t="str">
        <f>TEXT('E-Commerce Sales Data'!$B225,"mmmm")</f>
        <v>March</v>
      </c>
      <c r="W225" s="8">
        <f t="shared" si="12"/>
        <v>4408690</v>
      </c>
      <c r="X225">
        <f t="shared" si="13"/>
        <v>977</v>
      </c>
      <c r="Y225">
        <f t="shared" si="14"/>
        <v>26315.690890481066</v>
      </c>
      <c r="Z225">
        <f t="shared" si="15"/>
        <v>55</v>
      </c>
    </row>
    <row r="226" spans="1:26" x14ac:dyDescent="0.25">
      <c r="A226" s="5" t="s">
        <v>329</v>
      </c>
      <c r="B226" s="6">
        <v>47200</v>
      </c>
      <c r="C226" s="7" t="s">
        <v>64</v>
      </c>
      <c r="D226" s="7" t="s">
        <v>65</v>
      </c>
      <c r="E226" s="7">
        <v>39</v>
      </c>
      <c r="F226" s="7" t="s">
        <v>24</v>
      </c>
      <c r="G226" s="7" t="s">
        <v>66</v>
      </c>
      <c r="H226" s="7" t="s">
        <v>67</v>
      </c>
      <c r="I226" s="7" t="s">
        <v>27</v>
      </c>
      <c r="J226" s="7" t="s">
        <v>42</v>
      </c>
      <c r="K226" s="7" t="s">
        <v>43</v>
      </c>
      <c r="L226" s="7" t="s">
        <v>68</v>
      </c>
      <c r="M226" s="7" t="s">
        <v>69</v>
      </c>
      <c r="N226" s="7">
        <v>19500</v>
      </c>
      <c r="O226" s="7">
        <v>2</v>
      </c>
      <c r="P226" s="16">
        <v>0.08</v>
      </c>
      <c r="Q226" s="7">
        <v>3250</v>
      </c>
      <c r="R226" s="7" t="s">
        <v>46</v>
      </c>
      <c r="S226" s="7" t="s">
        <v>47</v>
      </c>
      <c r="T226" s="7" t="s">
        <v>34</v>
      </c>
      <c r="U226" s="7">
        <v>4</v>
      </c>
      <c r="V226" s="7" t="str">
        <f>TEXT('E-Commerce Sales Data'!$B226,"mmmm")</f>
        <v>March</v>
      </c>
      <c r="W226" s="8">
        <f t="shared" si="12"/>
        <v>4408525</v>
      </c>
      <c r="X226">
        <f t="shared" si="13"/>
        <v>976</v>
      </c>
      <c r="Y226">
        <f t="shared" si="14"/>
        <v>26342.049180327867</v>
      </c>
      <c r="Z226">
        <f t="shared" si="15"/>
        <v>55</v>
      </c>
    </row>
    <row r="227" spans="1:26" x14ac:dyDescent="0.25">
      <c r="A227" s="9" t="s">
        <v>330</v>
      </c>
      <c r="B227" s="10">
        <v>47207</v>
      </c>
      <c r="C227" s="11" t="s">
        <v>71</v>
      </c>
      <c r="D227" s="11" t="s">
        <v>72</v>
      </c>
      <c r="E227" s="11">
        <v>31</v>
      </c>
      <c r="F227" s="11" t="s">
        <v>38</v>
      </c>
      <c r="G227" s="11" t="s">
        <v>73</v>
      </c>
      <c r="H227" s="11" t="s">
        <v>74</v>
      </c>
      <c r="I227" s="11" t="s">
        <v>41</v>
      </c>
      <c r="J227" s="11" t="s">
        <v>28</v>
      </c>
      <c r="K227" s="11" t="s">
        <v>29</v>
      </c>
      <c r="L227" s="11" t="s">
        <v>53</v>
      </c>
      <c r="M227" s="11" t="s">
        <v>75</v>
      </c>
      <c r="N227" s="11">
        <v>3150</v>
      </c>
      <c r="O227" s="11">
        <v>3</v>
      </c>
      <c r="P227" s="17">
        <v>0.05</v>
      </c>
      <c r="Q227" s="11">
        <v>750</v>
      </c>
      <c r="R227" s="11" t="s">
        <v>32</v>
      </c>
      <c r="S227" s="11" t="s">
        <v>33</v>
      </c>
      <c r="T227" s="11" t="s">
        <v>34</v>
      </c>
      <c r="U227" s="11">
        <v>4</v>
      </c>
      <c r="V227" s="11" t="str">
        <f>TEXT('E-Commerce Sales Data'!$B227,"mmmm")</f>
        <v>March</v>
      </c>
      <c r="W227" s="8">
        <f t="shared" si="12"/>
        <v>4405275</v>
      </c>
      <c r="X227">
        <f t="shared" si="13"/>
        <v>975</v>
      </c>
      <c r="Y227">
        <f t="shared" si="14"/>
        <v>26349.066666666666</v>
      </c>
      <c r="Z227">
        <f t="shared" si="15"/>
        <v>55</v>
      </c>
    </row>
    <row r="228" spans="1:26" x14ac:dyDescent="0.25">
      <c r="A228" s="5" t="s">
        <v>331</v>
      </c>
      <c r="B228" s="6">
        <v>47214</v>
      </c>
      <c r="C228" s="7" t="s">
        <v>77</v>
      </c>
      <c r="D228" s="7" t="s">
        <v>23</v>
      </c>
      <c r="E228" s="7">
        <v>29</v>
      </c>
      <c r="F228" s="7" t="s">
        <v>24</v>
      </c>
      <c r="G228" s="7" t="s">
        <v>78</v>
      </c>
      <c r="H228" s="7" t="s">
        <v>26</v>
      </c>
      <c r="I228" s="7" t="s">
        <v>27</v>
      </c>
      <c r="J228" s="7" t="s">
        <v>28</v>
      </c>
      <c r="K228" s="7" t="s">
        <v>29</v>
      </c>
      <c r="L228" s="7" t="s">
        <v>53</v>
      </c>
      <c r="M228" s="7" t="s">
        <v>79</v>
      </c>
      <c r="N228" s="7">
        <v>1720</v>
      </c>
      <c r="O228" s="7">
        <v>6</v>
      </c>
      <c r="P228" s="16">
        <v>0</v>
      </c>
      <c r="Q228" s="7">
        <v>500</v>
      </c>
      <c r="R228" s="7" t="s">
        <v>80</v>
      </c>
      <c r="S228" s="7" t="s">
        <v>33</v>
      </c>
      <c r="T228" s="7" t="s">
        <v>34</v>
      </c>
      <c r="U228" s="7">
        <v>3</v>
      </c>
      <c r="V228" s="7" t="str">
        <f>TEXT('E-Commerce Sales Data'!$B228,"mmmm")</f>
        <v>April</v>
      </c>
      <c r="W228" s="8">
        <f t="shared" si="12"/>
        <v>4404525</v>
      </c>
      <c r="X228">
        <f t="shared" si="13"/>
        <v>974</v>
      </c>
      <c r="Y228">
        <f t="shared" si="14"/>
        <v>26372.885010266942</v>
      </c>
      <c r="Z228">
        <f t="shared" si="15"/>
        <v>55</v>
      </c>
    </row>
    <row r="229" spans="1:26" x14ac:dyDescent="0.25">
      <c r="A229" s="9" t="s">
        <v>332</v>
      </c>
      <c r="B229" s="10">
        <v>47221</v>
      </c>
      <c r="C229" s="11" t="s">
        <v>82</v>
      </c>
      <c r="D229" s="11" t="s">
        <v>83</v>
      </c>
      <c r="E229" s="11">
        <v>37</v>
      </c>
      <c r="F229" s="11" t="s">
        <v>38</v>
      </c>
      <c r="G229" s="11" t="s">
        <v>84</v>
      </c>
      <c r="H229" s="11" t="s">
        <v>85</v>
      </c>
      <c r="I229" s="11" t="s">
        <v>52</v>
      </c>
      <c r="J229" s="11" t="s">
        <v>42</v>
      </c>
      <c r="K229" s="11" t="s">
        <v>60</v>
      </c>
      <c r="L229" s="11" t="s">
        <v>61</v>
      </c>
      <c r="M229" s="11" t="s">
        <v>62</v>
      </c>
      <c r="N229" s="11">
        <v>4400</v>
      </c>
      <c r="O229" s="11">
        <v>10</v>
      </c>
      <c r="P229" s="17">
        <v>0.02</v>
      </c>
      <c r="Q229" s="11">
        <v>1100</v>
      </c>
      <c r="R229" s="11" t="s">
        <v>32</v>
      </c>
      <c r="S229" s="11" t="s">
        <v>33</v>
      </c>
      <c r="T229" s="11" t="s">
        <v>34</v>
      </c>
      <c r="U229" s="11">
        <v>5</v>
      </c>
      <c r="V229" s="11" t="str">
        <f>TEXT('E-Commerce Sales Data'!$B229,"mmmm")</f>
        <v>April</v>
      </c>
      <c r="W229" s="8">
        <f t="shared" si="12"/>
        <v>4404025</v>
      </c>
      <c r="X229">
        <f t="shared" si="13"/>
        <v>973</v>
      </c>
      <c r="Y229">
        <f t="shared" si="14"/>
        <v>26398.221993833504</v>
      </c>
      <c r="Z229">
        <f t="shared" si="15"/>
        <v>55</v>
      </c>
    </row>
    <row r="230" spans="1:26" x14ac:dyDescent="0.25">
      <c r="A230" s="5" t="s">
        <v>333</v>
      </c>
      <c r="B230" s="6">
        <v>47228</v>
      </c>
      <c r="C230" s="7" t="s">
        <v>88</v>
      </c>
      <c r="D230" s="7" t="s">
        <v>37</v>
      </c>
      <c r="E230" s="7">
        <v>45</v>
      </c>
      <c r="F230" s="7" t="s">
        <v>24</v>
      </c>
      <c r="G230" s="7" t="s">
        <v>89</v>
      </c>
      <c r="H230" s="7" t="s">
        <v>90</v>
      </c>
      <c r="I230" s="7" t="s">
        <v>91</v>
      </c>
      <c r="J230" s="7" t="s">
        <v>42</v>
      </c>
      <c r="K230" s="7" t="s">
        <v>43</v>
      </c>
      <c r="L230" s="7" t="s">
        <v>92</v>
      </c>
      <c r="M230" s="7" t="s">
        <v>93</v>
      </c>
      <c r="N230" s="7">
        <v>14600</v>
      </c>
      <c r="O230" s="7">
        <v>1</v>
      </c>
      <c r="P230" s="16">
        <v>0.1</v>
      </c>
      <c r="Q230" s="7">
        <v>2480</v>
      </c>
      <c r="R230" s="7" t="s">
        <v>46</v>
      </c>
      <c r="S230" s="7" t="s">
        <v>47</v>
      </c>
      <c r="T230" s="7" t="s">
        <v>34</v>
      </c>
      <c r="U230" s="7">
        <v>4</v>
      </c>
      <c r="V230" s="7" t="str">
        <f>TEXT('E-Commerce Sales Data'!$B230,"mmmm")</f>
        <v>April</v>
      </c>
      <c r="W230" s="8">
        <f t="shared" si="12"/>
        <v>4402925</v>
      </c>
      <c r="X230">
        <f t="shared" si="13"/>
        <v>972</v>
      </c>
      <c r="Y230">
        <f t="shared" si="14"/>
        <v>26420.853909465022</v>
      </c>
      <c r="Z230">
        <f t="shared" si="15"/>
        <v>55</v>
      </c>
    </row>
    <row r="231" spans="1:26" x14ac:dyDescent="0.25">
      <c r="A231" s="9" t="s">
        <v>334</v>
      </c>
      <c r="B231" s="10">
        <v>47235</v>
      </c>
      <c r="C231" s="11" t="s">
        <v>95</v>
      </c>
      <c r="D231" s="11" t="s">
        <v>65</v>
      </c>
      <c r="E231" s="11">
        <v>25</v>
      </c>
      <c r="F231" s="11" t="s">
        <v>38</v>
      </c>
      <c r="G231" s="11" t="s">
        <v>25</v>
      </c>
      <c r="H231" s="11" t="s">
        <v>26</v>
      </c>
      <c r="I231" s="11" t="s">
        <v>27</v>
      </c>
      <c r="J231" s="11" t="s">
        <v>28</v>
      </c>
      <c r="K231" s="11" t="s">
        <v>29</v>
      </c>
      <c r="L231" s="11" t="s">
        <v>96</v>
      </c>
      <c r="M231" s="11" t="s">
        <v>97</v>
      </c>
      <c r="N231" s="11">
        <v>16800</v>
      </c>
      <c r="O231" s="11">
        <v>2</v>
      </c>
      <c r="P231" s="17">
        <v>0.05</v>
      </c>
      <c r="Q231" s="11">
        <v>3180</v>
      </c>
      <c r="R231" s="11" t="s">
        <v>32</v>
      </c>
      <c r="S231" s="11" t="s">
        <v>33</v>
      </c>
      <c r="T231" s="11" t="s">
        <v>34</v>
      </c>
      <c r="U231" s="11">
        <v>4</v>
      </c>
      <c r="V231" s="11" t="str">
        <f>TEXT('E-Commerce Sales Data'!$B231,"mmmm")</f>
        <v>April</v>
      </c>
      <c r="W231" s="8">
        <f t="shared" si="12"/>
        <v>4400445</v>
      </c>
      <c r="X231">
        <f t="shared" si="13"/>
        <v>971</v>
      </c>
      <c r="Y231">
        <f t="shared" si="14"/>
        <v>26433.027806385169</v>
      </c>
      <c r="Z231">
        <f t="shared" si="15"/>
        <v>55</v>
      </c>
    </row>
    <row r="232" spans="1:26" x14ac:dyDescent="0.25">
      <c r="A232" s="5" t="s">
        <v>335</v>
      </c>
      <c r="B232" s="6">
        <v>47242</v>
      </c>
      <c r="C232" s="7" t="s">
        <v>99</v>
      </c>
      <c r="D232" s="7" t="s">
        <v>100</v>
      </c>
      <c r="E232" s="7">
        <v>33</v>
      </c>
      <c r="F232" s="7" t="s">
        <v>24</v>
      </c>
      <c r="G232" s="7" t="s">
        <v>101</v>
      </c>
      <c r="H232" s="7" t="s">
        <v>102</v>
      </c>
      <c r="I232" s="7" t="s">
        <v>41</v>
      </c>
      <c r="J232" s="7" t="s">
        <v>28</v>
      </c>
      <c r="K232" s="7" t="s">
        <v>60</v>
      </c>
      <c r="L232" s="7" t="s">
        <v>53</v>
      </c>
      <c r="M232" s="7" t="s">
        <v>103</v>
      </c>
      <c r="N232" s="7">
        <v>840</v>
      </c>
      <c r="O232" s="7">
        <v>25</v>
      </c>
      <c r="P232" s="16">
        <v>0</v>
      </c>
      <c r="Q232" s="7">
        <v>250</v>
      </c>
      <c r="R232" s="7" t="s">
        <v>55</v>
      </c>
      <c r="S232" s="7" t="s">
        <v>33</v>
      </c>
      <c r="T232" s="7" t="s">
        <v>34</v>
      </c>
      <c r="U232" s="7">
        <v>5</v>
      </c>
      <c r="V232" s="7" t="str">
        <f>TEXT('E-Commerce Sales Data'!$B232,"mmmm")</f>
        <v>May</v>
      </c>
      <c r="W232" s="8">
        <f t="shared" si="12"/>
        <v>4397265</v>
      </c>
      <c r="X232">
        <f t="shared" si="13"/>
        <v>970</v>
      </c>
      <c r="Y232">
        <f t="shared" si="14"/>
        <v>26442.958762886599</v>
      </c>
      <c r="Z232">
        <f t="shared" si="15"/>
        <v>55</v>
      </c>
    </row>
    <row r="233" spans="1:26" x14ac:dyDescent="0.25">
      <c r="A233" s="9" t="s">
        <v>336</v>
      </c>
      <c r="B233" s="10">
        <v>47249</v>
      </c>
      <c r="C233" s="11" t="s">
        <v>105</v>
      </c>
      <c r="D233" s="11" t="s">
        <v>58</v>
      </c>
      <c r="E233" s="11">
        <v>42</v>
      </c>
      <c r="F233" s="11" t="s">
        <v>38</v>
      </c>
      <c r="G233" s="11" t="s">
        <v>51</v>
      </c>
      <c r="H233" s="11" t="s">
        <v>51</v>
      </c>
      <c r="I233" s="11" t="s">
        <v>52</v>
      </c>
      <c r="J233" s="11" t="s">
        <v>42</v>
      </c>
      <c r="K233" s="11" t="s">
        <v>43</v>
      </c>
      <c r="L233" s="11" t="s">
        <v>68</v>
      </c>
      <c r="M233" s="11" t="s">
        <v>106</v>
      </c>
      <c r="N233" s="11">
        <v>24800</v>
      </c>
      <c r="O233" s="11">
        <v>1</v>
      </c>
      <c r="P233" s="17">
        <v>0.08</v>
      </c>
      <c r="Q233" s="11">
        <v>4750</v>
      </c>
      <c r="R233" s="11" t="s">
        <v>46</v>
      </c>
      <c r="S233" s="11" t="s">
        <v>47</v>
      </c>
      <c r="T233" s="11" t="s">
        <v>34</v>
      </c>
      <c r="U233" s="11">
        <v>4</v>
      </c>
      <c r="V233" s="11" t="str">
        <f>TEXT('E-Commerce Sales Data'!$B233,"mmmm")</f>
        <v>May</v>
      </c>
      <c r="W233" s="8">
        <f t="shared" si="12"/>
        <v>4397015</v>
      </c>
      <c r="X233">
        <f t="shared" si="13"/>
        <v>969</v>
      </c>
      <c r="Y233">
        <f t="shared" si="14"/>
        <v>26469.380804953562</v>
      </c>
      <c r="Z233">
        <f t="shared" si="15"/>
        <v>55</v>
      </c>
    </row>
    <row r="234" spans="1:26" x14ac:dyDescent="0.25">
      <c r="A234" s="5" t="s">
        <v>337</v>
      </c>
      <c r="B234" s="6">
        <v>47256</v>
      </c>
      <c r="C234" s="7" t="s">
        <v>108</v>
      </c>
      <c r="D234" s="7" t="s">
        <v>23</v>
      </c>
      <c r="E234" s="7">
        <v>30</v>
      </c>
      <c r="F234" s="7" t="s">
        <v>24</v>
      </c>
      <c r="G234" s="7" t="s">
        <v>59</v>
      </c>
      <c r="H234" s="7" t="s">
        <v>26</v>
      </c>
      <c r="I234" s="7" t="s">
        <v>27</v>
      </c>
      <c r="J234" s="7" t="s">
        <v>28</v>
      </c>
      <c r="K234" s="7" t="s">
        <v>29</v>
      </c>
      <c r="L234" s="7" t="s">
        <v>30</v>
      </c>
      <c r="M234" s="7" t="s">
        <v>31</v>
      </c>
      <c r="N234" s="7">
        <v>71000</v>
      </c>
      <c r="O234" s="7">
        <v>1</v>
      </c>
      <c r="P234" s="16">
        <v>0.1</v>
      </c>
      <c r="Q234" s="7">
        <v>7900</v>
      </c>
      <c r="R234" s="7" t="s">
        <v>32</v>
      </c>
      <c r="S234" s="7" t="s">
        <v>47</v>
      </c>
      <c r="T234" s="7" t="s">
        <v>34</v>
      </c>
      <c r="U234" s="7">
        <v>5</v>
      </c>
      <c r="V234" s="7" t="str">
        <f>TEXT('E-Commerce Sales Data'!$B234,"mmmm")</f>
        <v>May</v>
      </c>
      <c r="W234" s="8">
        <f t="shared" si="12"/>
        <v>4392265</v>
      </c>
      <c r="X234">
        <f t="shared" si="13"/>
        <v>968</v>
      </c>
      <c r="Y234">
        <f t="shared" si="14"/>
        <v>26471.105371900827</v>
      </c>
      <c r="Z234">
        <f t="shared" si="15"/>
        <v>55</v>
      </c>
    </row>
    <row r="235" spans="1:26" x14ac:dyDescent="0.25">
      <c r="A235" s="9" t="s">
        <v>338</v>
      </c>
      <c r="B235" s="10">
        <v>47263</v>
      </c>
      <c r="C235" s="11" t="s">
        <v>110</v>
      </c>
      <c r="D235" s="11" t="s">
        <v>37</v>
      </c>
      <c r="E235" s="11">
        <v>36</v>
      </c>
      <c r="F235" s="11" t="s">
        <v>38</v>
      </c>
      <c r="G235" s="11" t="s">
        <v>66</v>
      </c>
      <c r="H235" s="11" t="s">
        <v>67</v>
      </c>
      <c r="I235" s="11" t="s">
        <v>27</v>
      </c>
      <c r="J235" s="11" t="s">
        <v>28</v>
      </c>
      <c r="K235" s="11" t="s">
        <v>60</v>
      </c>
      <c r="L235" s="11" t="s">
        <v>92</v>
      </c>
      <c r="M235" s="11" t="s">
        <v>111</v>
      </c>
      <c r="N235" s="11">
        <v>1080</v>
      </c>
      <c r="O235" s="11">
        <v>15</v>
      </c>
      <c r="P235" s="17">
        <v>0.05</v>
      </c>
      <c r="Q235" s="11">
        <v>320</v>
      </c>
      <c r="R235" s="11" t="s">
        <v>80</v>
      </c>
      <c r="S235" s="11" t="s">
        <v>33</v>
      </c>
      <c r="T235" s="11" t="s">
        <v>34</v>
      </c>
      <c r="U235" s="11">
        <v>4</v>
      </c>
      <c r="V235" s="11" t="str">
        <f>TEXT('E-Commerce Sales Data'!$B235,"mmmm")</f>
        <v>May</v>
      </c>
      <c r="W235" s="8">
        <f t="shared" si="12"/>
        <v>4384365</v>
      </c>
      <c r="X235">
        <f t="shared" si="13"/>
        <v>967</v>
      </c>
      <c r="Y235">
        <f t="shared" si="14"/>
        <v>26425.056876938987</v>
      </c>
      <c r="Z235">
        <f t="shared" si="15"/>
        <v>55</v>
      </c>
    </row>
    <row r="236" spans="1:26" x14ac:dyDescent="0.25">
      <c r="A236" s="5" t="s">
        <v>339</v>
      </c>
      <c r="B236" s="6">
        <v>47270</v>
      </c>
      <c r="C236" s="7" t="s">
        <v>113</v>
      </c>
      <c r="D236" s="7" t="s">
        <v>114</v>
      </c>
      <c r="E236" s="7">
        <v>40</v>
      </c>
      <c r="F236" s="7" t="s">
        <v>24</v>
      </c>
      <c r="G236" s="7" t="s">
        <v>73</v>
      </c>
      <c r="H236" s="7" t="s">
        <v>74</v>
      </c>
      <c r="I236" s="7" t="s">
        <v>41</v>
      </c>
      <c r="J236" s="7" t="s">
        <v>42</v>
      </c>
      <c r="K236" s="7" t="s">
        <v>43</v>
      </c>
      <c r="L236" s="7" t="s">
        <v>44</v>
      </c>
      <c r="M236" s="7" t="s">
        <v>45</v>
      </c>
      <c r="N236" s="7">
        <v>10100</v>
      </c>
      <c r="O236" s="7">
        <v>4</v>
      </c>
      <c r="P236" s="16">
        <v>7.0000000000000007E-2</v>
      </c>
      <c r="Q236" s="7">
        <v>2180</v>
      </c>
      <c r="R236" s="7" t="s">
        <v>46</v>
      </c>
      <c r="S236" s="7" t="s">
        <v>33</v>
      </c>
      <c r="T236" s="7" t="s">
        <v>34</v>
      </c>
      <c r="U236" s="7">
        <v>4</v>
      </c>
      <c r="V236" s="7" t="str">
        <f>TEXT('E-Commerce Sales Data'!$B236,"mmmm")</f>
        <v>June</v>
      </c>
      <c r="W236" s="8">
        <f t="shared" si="12"/>
        <v>4384045</v>
      </c>
      <c r="X236">
        <f t="shared" si="13"/>
        <v>966</v>
      </c>
      <c r="Y236">
        <f t="shared" si="14"/>
        <v>26451.293995859214</v>
      </c>
      <c r="Z236">
        <f t="shared" si="15"/>
        <v>55</v>
      </c>
    </row>
    <row r="237" spans="1:26" x14ac:dyDescent="0.25">
      <c r="A237" s="9" t="s">
        <v>340</v>
      </c>
      <c r="B237" s="10">
        <v>47277</v>
      </c>
      <c r="C237" s="11" t="s">
        <v>116</v>
      </c>
      <c r="D237" s="11" t="s">
        <v>83</v>
      </c>
      <c r="E237" s="11">
        <v>27</v>
      </c>
      <c r="F237" s="11" t="s">
        <v>38</v>
      </c>
      <c r="G237" s="11" t="s">
        <v>39</v>
      </c>
      <c r="H237" s="11" t="s">
        <v>40</v>
      </c>
      <c r="I237" s="11" t="s">
        <v>41</v>
      </c>
      <c r="J237" s="11" t="s">
        <v>28</v>
      </c>
      <c r="K237" s="11" t="s">
        <v>29</v>
      </c>
      <c r="L237" s="11" t="s">
        <v>53</v>
      </c>
      <c r="M237" s="11" t="s">
        <v>54</v>
      </c>
      <c r="N237" s="11">
        <v>23100</v>
      </c>
      <c r="O237" s="11">
        <v>2</v>
      </c>
      <c r="P237" s="17">
        <v>0.05</v>
      </c>
      <c r="Q237" s="11">
        <v>4100</v>
      </c>
      <c r="R237" s="11" t="s">
        <v>32</v>
      </c>
      <c r="S237" s="11" t="s">
        <v>47</v>
      </c>
      <c r="T237" s="11" t="s">
        <v>34</v>
      </c>
      <c r="U237" s="11">
        <v>5</v>
      </c>
      <c r="V237" s="11" t="str">
        <f>TEXT('E-Commerce Sales Data'!$B237,"mmmm")</f>
        <v>June</v>
      </c>
      <c r="W237" s="8">
        <f t="shared" si="12"/>
        <v>4381865</v>
      </c>
      <c r="X237">
        <f t="shared" si="13"/>
        <v>965</v>
      </c>
      <c r="Y237">
        <f t="shared" si="14"/>
        <v>26468.23834196891</v>
      </c>
      <c r="Z237">
        <f t="shared" si="15"/>
        <v>55</v>
      </c>
    </row>
    <row r="238" spans="1:26" x14ac:dyDescent="0.25">
      <c r="A238" s="5" t="s">
        <v>341</v>
      </c>
      <c r="B238" s="6">
        <v>47284</v>
      </c>
      <c r="C238" s="7" t="s">
        <v>118</v>
      </c>
      <c r="D238" s="7" t="s">
        <v>72</v>
      </c>
      <c r="E238" s="7">
        <v>35</v>
      </c>
      <c r="F238" s="7" t="s">
        <v>24</v>
      </c>
      <c r="G238" s="7" t="s">
        <v>84</v>
      </c>
      <c r="H238" s="7" t="s">
        <v>85</v>
      </c>
      <c r="I238" s="7" t="s">
        <v>52</v>
      </c>
      <c r="J238" s="7" t="s">
        <v>42</v>
      </c>
      <c r="K238" s="7" t="s">
        <v>60</v>
      </c>
      <c r="L238" s="7" t="s">
        <v>61</v>
      </c>
      <c r="M238" s="7" t="s">
        <v>62</v>
      </c>
      <c r="N238" s="7">
        <v>4500</v>
      </c>
      <c r="O238" s="7">
        <v>10</v>
      </c>
      <c r="P238" s="16">
        <v>0.03</v>
      </c>
      <c r="Q238" s="7">
        <v>1060</v>
      </c>
      <c r="R238" s="7" t="s">
        <v>55</v>
      </c>
      <c r="S238" s="7" t="s">
        <v>33</v>
      </c>
      <c r="T238" s="7" t="s">
        <v>34</v>
      </c>
      <c r="U238" s="7">
        <v>4</v>
      </c>
      <c r="V238" s="7" t="str">
        <f>TEXT('E-Commerce Sales Data'!$B238,"mmmm")</f>
        <v>June</v>
      </c>
      <c r="W238" s="8">
        <f t="shared" si="12"/>
        <v>4377765</v>
      </c>
      <c r="X238">
        <f t="shared" si="13"/>
        <v>964</v>
      </c>
      <c r="Y238">
        <f t="shared" si="14"/>
        <v>26471.732365145228</v>
      </c>
      <c r="Z238">
        <f t="shared" si="15"/>
        <v>55</v>
      </c>
    </row>
    <row r="239" spans="1:26" x14ac:dyDescent="0.25">
      <c r="A239" s="9" t="s">
        <v>342</v>
      </c>
      <c r="B239" s="10">
        <v>47291</v>
      </c>
      <c r="C239" s="11" t="s">
        <v>120</v>
      </c>
      <c r="D239" s="11" t="s">
        <v>23</v>
      </c>
      <c r="E239" s="11">
        <v>24</v>
      </c>
      <c r="F239" s="11" t="s">
        <v>38</v>
      </c>
      <c r="G239" s="11" t="s">
        <v>25</v>
      </c>
      <c r="H239" s="11" t="s">
        <v>26</v>
      </c>
      <c r="I239" s="11" t="s">
        <v>27</v>
      </c>
      <c r="J239" s="11" t="s">
        <v>28</v>
      </c>
      <c r="K239" s="11" t="s">
        <v>43</v>
      </c>
      <c r="L239" s="11" t="s">
        <v>68</v>
      </c>
      <c r="M239" s="11" t="s">
        <v>69</v>
      </c>
      <c r="N239" s="11">
        <v>19800</v>
      </c>
      <c r="O239" s="11">
        <v>2</v>
      </c>
      <c r="P239" s="17">
        <v>0.1</v>
      </c>
      <c r="Q239" s="11">
        <v>3050</v>
      </c>
      <c r="R239" s="11" t="s">
        <v>32</v>
      </c>
      <c r="S239" s="11" t="s">
        <v>47</v>
      </c>
      <c r="T239" s="11" t="s">
        <v>34</v>
      </c>
      <c r="U239" s="11">
        <v>5</v>
      </c>
      <c r="V239" s="11" t="str">
        <f>TEXT('E-Commerce Sales Data'!$B239,"mmmm")</f>
        <v>June</v>
      </c>
      <c r="W239" s="8">
        <f t="shared" si="12"/>
        <v>4376705</v>
      </c>
      <c r="X239">
        <f t="shared" si="13"/>
        <v>963</v>
      </c>
      <c r="Y239">
        <f t="shared" si="14"/>
        <v>26494.54828660436</v>
      </c>
      <c r="Z239">
        <f t="shared" si="15"/>
        <v>55</v>
      </c>
    </row>
    <row r="240" spans="1:26" x14ac:dyDescent="0.25">
      <c r="A240" s="5" t="s">
        <v>343</v>
      </c>
      <c r="B240" s="6">
        <v>47298</v>
      </c>
      <c r="C240" s="7" t="s">
        <v>122</v>
      </c>
      <c r="D240" s="7" t="s">
        <v>50</v>
      </c>
      <c r="E240" s="7">
        <v>43</v>
      </c>
      <c r="F240" s="7" t="s">
        <v>24</v>
      </c>
      <c r="G240" s="7" t="s">
        <v>101</v>
      </c>
      <c r="H240" s="7" t="s">
        <v>102</v>
      </c>
      <c r="I240" s="7" t="s">
        <v>41</v>
      </c>
      <c r="J240" s="7" t="s">
        <v>42</v>
      </c>
      <c r="K240" s="7" t="s">
        <v>29</v>
      </c>
      <c r="L240" s="7" t="s">
        <v>53</v>
      </c>
      <c r="M240" s="7" t="s">
        <v>75</v>
      </c>
      <c r="N240" s="7">
        <v>3550</v>
      </c>
      <c r="O240" s="7">
        <v>4</v>
      </c>
      <c r="P240" s="16">
        <v>0.05</v>
      </c>
      <c r="Q240" s="7">
        <v>850</v>
      </c>
      <c r="R240" s="7" t="s">
        <v>46</v>
      </c>
      <c r="S240" s="7" t="s">
        <v>33</v>
      </c>
      <c r="T240" s="7" t="s">
        <v>34</v>
      </c>
      <c r="U240" s="7">
        <v>3</v>
      </c>
      <c r="V240" s="7" t="str">
        <f>TEXT('E-Commerce Sales Data'!$B240,"mmmm")</f>
        <v>June</v>
      </c>
      <c r="W240" s="8">
        <f t="shared" si="12"/>
        <v>4373655</v>
      </c>
      <c r="X240">
        <f t="shared" si="13"/>
        <v>962</v>
      </c>
      <c r="Y240">
        <f t="shared" si="14"/>
        <v>26501.507276507276</v>
      </c>
      <c r="Z240">
        <f t="shared" si="15"/>
        <v>55</v>
      </c>
    </row>
    <row r="241" spans="1:26" x14ac:dyDescent="0.25">
      <c r="A241" s="9" t="s">
        <v>344</v>
      </c>
      <c r="B241" s="10">
        <v>47305</v>
      </c>
      <c r="C241" s="11" t="s">
        <v>124</v>
      </c>
      <c r="D241" s="11" t="s">
        <v>100</v>
      </c>
      <c r="E241" s="11">
        <v>32</v>
      </c>
      <c r="F241" s="11" t="s">
        <v>38</v>
      </c>
      <c r="G241" s="11" t="s">
        <v>78</v>
      </c>
      <c r="H241" s="11" t="s">
        <v>26</v>
      </c>
      <c r="I241" s="11" t="s">
        <v>27</v>
      </c>
      <c r="J241" s="11" t="s">
        <v>28</v>
      </c>
      <c r="K241" s="11" t="s">
        <v>29</v>
      </c>
      <c r="L241" s="11" t="s">
        <v>53</v>
      </c>
      <c r="M241" s="11" t="s">
        <v>79</v>
      </c>
      <c r="N241" s="11">
        <v>1780</v>
      </c>
      <c r="O241" s="11">
        <v>7</v>
      </c>
      <c r="P241" s="17">
        <v>0</v>
      </c>
      <c r="Q241" s="11">
        <v>520</v>
      </c>
      <c r="R241" s="11" t="s">
        <v>32</v>
      </c>
      <c r="S241" s="11" t="s">
        <v>33</v>
      </c>
      <c r="T241" s="11" t="s">
        <v>34</v>
      </c>
      <c r="U241" s="11">
        <v>4</v>
      </c>
      <c r="V241" s="11" t="str">
        <f>TEXT('E-Commerce Sales Data'!$B241,"mmmm")</f>
        <v>July</v>
      </c>
      <c r="W241" s="8">
        <f t="shared" si="12"/>
        <v>4372805</v>
      </c>
      <c r="X241">
        <f t="shared" si="13"/>
        <v>961</v>
      </c>
      <c r="Y241">
        <f t="shared" si="14"/>
        <v>26525.390218522374</v>
      </c>
      <c r="Z241">
        <f t="shared" si="15"/>
        <v>55</v>
      </c>
    </row>
    <row r="242" spans="1:26" x14ac:dyDescent="0.25">
      <c r="A242" s="5" t="s">
        <v>345</v>
      </c>
      <c r="B242" s="6">
        <v>47312</v>
      </c>
      <c r="C242" s="7" t="s">
        <v>22</v>
      </c>
      <c r="D242" s="7" t="s">
        <v>23</v>
      </c>
      <c r="E242" s="7">
        <v>28</v>
      </c>
      <c r="F242" s="7" t="s">
        <v>24</v>
      </c>
      <c r="G242" s="7" t="s">
        <v>25</v>
      </c>
      <c r="H242" s="7" t="s">
        <v>26</v>
      </c>
      <c r="I242" s="7" t="s">
        <v>27</v>
      </c>
      <c r="J242" s="7" t="s">
        <v>28</v>
      </c>
      <c r="K242" s="7" t="s">
        <v>29</v>
      </c>
      <c r="L242" s="7" t="s">
        <v>30</v>
      </c>
      <c r="M242" s="7" t="s">
        <v>31</v>
      </c>
      <c r="N242" s="7">
        <v>67000</v>
      </c>
      <c r="O242" s="7">
        <v>1</v>
      </c>
      <c r="P242" s="16">
        <v>0.05</v>
      </c>
      <c r="Q242" s="7">
        <v>8750</v>
      </c>
      <c r="R242" s="7" t="s">
        <v>32</v>
      </c>
      <c r="S242" s="7" t="s">
        <v>47</v>
      </c>
      <c r="T242" s="7" t="s">
        <v>34</v>
      </c>
      <c r="U242" s="7">
        <v>5</v>
      </c>
      <c r="V242" s="7" t="str">
        <f>TEXT('E-Commerce Sales Data'!$B242,"mmmm")</f>
        <v>July</v>
      </c>
      <c r="W242" s="8">
        <f t="shared" si="12"/>
        <v>4372285</v>
      </c>
      <c r="X242">
        <f t="shared" si="13"/>
        <v>960</v>
      </c>
      <c r="Y242">
        <f t="shared" si="14"/>
        <v>26551.166666666668</v>
      </c>
      <c r="Z242">
        <f t="shared" si="15"/>
        <v>55</v>
      </c>
    </row>
    <row r="243" spans="1:26" x14ac:dyDescent="0.25">
      <c r="A243" s="9" t="s">
        <v>346</v>
      </c>
      <c r="B243" s="10">
        <v>47319</v>
      </c>
      <c r="C243" s="11" t="s">
        <v>36</v>
      </c>
      <c r="D243" s="11" t="s">
        <v>37</v>
      </c>
      <c r="E243" s="11">
        <v>34</v>
      </c>
      <c r="F243" s="11" t="s">
        <v>38</v>
      </c>
      <c r="G243" s="11" t="s">
        <v>39</v>
      </c>
      <c r="H243" s="11" t="s">
        <v>40</v>
      </c>
      <c r="I243" s="11" t="s">
        <v>41</v>
      </c>
      <c r="J243" s="11" t="s">
        <v>42</v>
      </c>
      <c r="K243" s="11" t="s">
        <v>43</v>
      </c>
      <c r="L243" s="11" t="s">
        <v>44</v>
      </c>
      <c r="M243" s="11" t="s">
        <v>45</v>
      </c>
      <c r="N243" s="11">
        <v>9200</v>
      </c>
      <c r="O243" s="11">
        <v>3</v>
      </c>
      <c r="P243" s="17">
        <v>0.1</v>
      </c>
      <c r="Q243" s="11">
        <v>2020</v>
      </c>
      <c r="R243" s="11" t="s">
        <v>46</v>
      </c>
      <c r="S243" s="11" t="s">
        <v>33</v>
      </c>
      <c r="T243" s="11" t="s">
        <v>34</v>
      </c>
      <c r="U243" s="11">
        <v>4</v>
      </c>
      <c r="V243" s="11" t="str">
        <f>TEXT('E-Commerce Sales Data'!$B243,"mmmm")</f>
        <v>July</v>
      </c>
      <c r="W243" s="8">
        <f t="shared" si="12"/>
        <v>4363535</v>
      </c>
      <c r="X243">
        <f t="shared" si="13"/>
        <v>959</v>
      </c>
      <c r="Y243">
        <f t="shared" si="14"/>
        <v>26508.988529718456</v>
      </c>
      <c r="Z243">
        <f t="shared" si="15"/>
        <v>55</v>
      </c>
    </row>
    <row r="244" spans="1:26" x14ac:dyDescent="0.25">
      <c r="A244" s="5" t="s">
        <v>347</v>
      </c>
      <c r="B244" s="6">
        <v>47326</v>
      </c>
      <c r="C244" s="7" t="s">
        <v>49</v>
      </c>
      <c r="D244" s="7" t="s">
        <v>50</v>
      </c>
      <c r="E244" s="7">
        <v>41</v>
      </c>
      <c r="F244" s="7" t="s">
        <v>24</v>
      </c>
      <c r="G244" s="7" t="s">
        <v>51</v>
      </c>
      <c r="H244" s="7" t="s">
        <v>51</v>
      </c>
      <c r="I244" s="7" t="s">
        <v>52</v>
      </c>
      <c r="J244" s="7" t="s">
        <v>28</v>
      </c>
      <c r="K244" s="7" t="s">
        <v>29</v>
      </c>
      <c r="L244" s="7" t="s">
        <v>53</v>
      </c>
      <c r="M244" s="7" t="s">
        <v>54</v>
      </c>
      <c r="N244" s="7">
        <v>20800</v>
      </c>
      <c r="O244" s="7">
        <v>2</v>
      </c>
      <c r="P244" s="16">
        <v>0.05</v>
      </c>
      <c r="Q244" s="7">
        <v>3680</v>
      </c>
      <c r="R244" s="7" t="s">
        <v>55</v>
      </c>
      <c r="S244" s="7" t="s">
        <v>33</v>
      </c>
      <c r="T244" s="7" t="s">
        <v>34</v>
      </c>
      <c r="U244" s="7">
        <v>4</v>
      </c>
      <c r="V244" s="7" t="str">
        <f>TEXT('E-Commerce Sales Data'!$B244,"mmmm")</f>
        <v>July</v>
      </c>
      <c r="W244" s="8">
        <f t="shared" si="12"/>
        <v>4361515</v>
      </c>
      <c r="X244">
        <f t="shared" si="13"/>
        <v>958</v>
      </c>
      <c r="Y244">
        <f t="shared" si="14"/>
        <v>26527.056367432149</v>
      </c>
      <c r="Z244">
        <f t="shared" si="15"/>
        <v>55</v>
      </c>
    </row>
    <row r="245" spans="1:26" x14ac:dyDescent="0.25">
      <c r="A245" s="9" t="s">
        <v>348</v>
      </c>
      <c r="B245" s="10">
        <v>47333</v>
      </c>
      <c r="C245" s="11" t="s">
        <v>57</v>
      </c>
      <c r="D245" s="11" t="s">
        <v>58</v>
      </c>
      <c r="E245" s="11">
        <v>26</v>
      </c>
      <c r="F245" s="11" t="s">
        <v>38</v>
      </c>
      <c r="G245" s="11" t="s">
        <v>59</v>
      </c>
      <c r="H245" s="11" t="s">
        <v>26</v>
      </c>
      <c r="I245" s="11" t="s">
        <v>27</v>
      </c>
      <c r="J245" s="11" t="s">
        <v>28</v>
      </c>
      <c r="K245" s="11" t="s">
        <v>60</v>
      </c>
      <c r="L245" s="11" t="s">
        <v>61</v>
      </c>
      <c r="M245" s="11" t="s">
        <v>86</v>
      </c>
      <c r="N245" s="11">
        <v>610</v>
      </c>
      <c r="O245" s="11">
        <v>20</v>
      </c>
      <c r="P245" s="17">
        <v>0.02</v>
      </c>
      <c r="Q245" s="11">
        <v>170</v>
      </c>
      <c r="R245" s="11" t="s">
        <v>32</v>
      </c>
      <c r="S245" s="11" t="s">
        <v>33</v>
      </c>
      <c r="T245" s="11" t="s">
        <v>34</v>
      </c>
      <c r="U245" s="11">
        <v>5</v>
      </c>
      <c r="V245" s="11" t="str">
        <f>TEXT('E-Commerce Sales Data'!$B245,"mmmm")</f>
        <v>August</v>
      </c>
      <c r="W245" s="8">
        <f t="shared" si="12"/>
        <v>4357835</v>
      </c>
      <c r="X245">
        <f t="shared" si="13"/>
        <v>957</v>
      </c>
      <c r="Y245">
        <f t="shared" si="14"/>
        <v>26533.040752351098</v>
      </c>
      <c r="Z245">
        <f t="shared" si="15"/>
        <v>55</v>
      </c>
    </row>
    <row r="246" spans="1:26" x14ac:dyDescent="0.25">
      <c r="A246" s="5" t="s">
        <v>349</v>
      </c>
      <c r="B246" s="6">
        <v>47340</v>
      </c>
      <c r="C246" s="7" t="s">
        <v>64</v>
      </c>
      <c r="D246" s="7" t="s">
        <v>65</v>
      </c>
      <c r="E246" s="7">
        <v>39</v>
      </c>
      <c r="F246" s="7" t="s">
        <v>24</v>
      </c>
      <c r="G246" s="7" t="s">
        <v>66</v>
      </c>
      <c r="H246" s="7" t="s">
        <v>67</v>
      </c>
      <c r="I246" s="7" t="s">
        <v>27</v>
      </c>
      <c r="J246" s="7" t="s">
        <v>42</v>
      </c>
      <c r="K246" s="7" t="s">
        <v>43</v>
      </c>
      <c r="L246" s="7" t="s">
        <v>68</v>
      </c>
      <c r="M246" s="7" t="s">
        <v>69</v>
      </c>
      <c r="N246" s="7">
        <v>20200</v>
      </c>
      <c r="O246" s="7">
        <v>2</v>
      </c>
      <c r="P246" s="16">
        <v>0.08</v>
      </c>
      <c r="Q246" s="7">
        <v>3370</v>
      </c>
      <c r="R246" s="7" t="s">
        <v>46</v>
      </c>
      <c r="S246" s="7" t="s">
        <v>47</v>
      </c>
      <c r="T246" s="7" t="s">
        <v>34</v>
      </c>
      <c r="U246" s="7">
        <v>4</v>
      </c>
      <c r="V246" s="7" t="str">
        <f>TEXT('E-Commerce Sales Data'!$B246,"mmmm")</f>
        <v>August</v>
      </c>
      <c r="W246" s="8">
        <f t="shared" si="12"/>
        <v>4357665</v>
      </c>
      <c r="X246">
        <f t="shared" si="13"/>
        <v>956</v>
      </c>
      <c r="Y246">
        <f t="shared" si="14"/>
        <v>26560.156903765692</v>
      </c>
      <c r="Z246">
        <f t="shared" si="15"/>
        <v>55</v>
      </c>
    </row>
    <row r="247" spans="1:26" x14ac:dyDescent="0.25">
      <c r="A247" s="9" t="s">
        <v>350</v>
      </c>
      <c r="B247" s="10">
        <v>47347</v>
      </c>
      <c r="C247" s="11" t="s">
        <v>71</v>
      </c>
      <c r="D247" s="11" t="s">
        <v>72</v>
      </c>
      <c r="E247" s="11">
        <v>31</v>
      </c>
      <c r="F247" s="11" t="s">
        <v>38</v>
      </c>
      <c r="G247" s="11" t="s">
        <v>73</v>
      </c>
      <c r="H247" s="11" t="s">
        <v>74</v>
      </c>
      <c r="I247" s="11" t="s">
        <v>41</v>
      </c>
      <c r="J247" s="11" t="s">
        <v>28</v>
      </c>
      <c r="K247" s="11" t="s">
        <v>29</v>
      </c>
      <c r="L247" s="11" t="s">
        <v>53</v>
      </c>
      <c r="M247" s="11" t="s">
        <v>75</v>
      </c>
      <c r="N247" s="11">
        <v>3250</v>
      </c>
      <c r="O247" s="11">
        <v>3</v>
      </c>
      <c r="P247" s="17">
        <v>0.05</v>
      </c>
      <c r="Q247" s="11">
        <v>780</v>
      </c>
      <c r="R247" s="11" t="s">
        <v>32</v>
      </c>
      <c r="S247" s="11" t="s">
        <v>33</v>
      </c>
      <c r="T247" s="11" t="s">
        <v>34</v>
      </c>
      <c r="U247" s="11">
        <v>4</v>
      </c>
      <c r="V247" s="11" t="str">
        <f>TEXT('E-Commerce Sales Data'!$B247,"mmmm")</f>
        <v>August</v>
      </c>
      <c r="W247" s="8">
        <f t="shared" si="12"/>
        <v>4354295</v>
      </c>
      <c r="X247">
        <f t="shared" si="13"/>
        <v>955</v>
      </c>
      <c r="Y247">
        <f t="shared" si="14"/>
        <v>26566.816753926701</v>
      </c>
      <c r="Z247">
        <f t="shared" si="15"/>
        <v>55</v>
      </c>
    </row>
    <row r="248" spans="1:26" x14ac:dyDescent="0.25">
      <c r="A248" s="5" t="s">
        <v>351</v>
      </c>
      <c r="B248" s="6">
        <v>47354</v>
      </c>
      <c r="C248" s="7" t="s">
        <v>77</v>
      </c>
      <c r="D248" s="7" t="s">
        <v>23</v>
      </c>
      <c r="E248" s="7">
        <v>29</v>
      </c>
      <c r="F248" s="7" t="s">
        <v>24</v>
      </c>
      <c r="G248" s="7" t="s">
        <v>78</v>
      </c>
      <c r="H248" s="7" t="s">
        <v>26</v>
      </c>
      <c r="I248" s="7" t="s">
        <v>27</v>
      </c>
      <c r="J248" s="7" t="s">
        <v>28</v>
      </c>
      <c r="K248" s="7" t="s">
        <v>29</v>
      </c>
      <c r="L248" s="7" t="s">
        <v>53</v>
      </c>
      <c r="M248" s="7" t="s">
        <v>79</v>
      </c>
      <c r="N248" s="7">
        <v>1850</v>
      </c>
      <c r="O248" s="7">
        <v>6</v>
      </c>
      <c r="P248" s="16">
        <v>0</v>
      </c>
      <c r="Q248" s="7">
        <v>540</v>
      </c>
      <c r="R248" s="7" t="s">
        <v>80</v>
      </c>
      <c r="S248" s="7" t="s">
        <v>33</v>
      </c>
      <c r="T248" s="7" t="s">
        <v>34</v>
      </c>
      <c r="U248" s="7">
        <v>3</v>
      </c>
      <c r="V248" s="7" t="str">
        <f>TEXT('E-Commerce Sales Data'!$B248,"mmmm")</f>
        <v>August</v>
      </c>
      <c r="W248" s="8">
        <f t="shared" si="12"/>
        <v>4353515</v>
      </c>
      <c r="X248">
        <f t="shared" si="13"/>
        <v>954</v>
      </c>
      <c r="Y248">
        <f t="shared" si="14"/>
        <v>26591.257861635218</v>
      </c>
      <c r="Z248">
        <f t="shared" si="15"/>
        <v>55</v>
      </c>
    </row>
    <row r="249" spans="1:26" x14ac:dyDescent="0.25">
      <c r="A249" s="9" t="s">
        <v>352</v>
      </c>
      <c r="B249" s="10">
        <v>47361</v>
      </c>
      <c r="C249" s="11" t="s">
        <v>82</v>
      </c>
      <c r="D249" s="11" t="s">
        <v>83</v>
      </c>
      <c r="E249" s="11">
        <v>37</v>
      </c>
      <c r="F249" s="11" t="s">
        <v>38</v>
      </c>
      <c r="G249" s="11" t="s">
        <v>84</v>
      </c>
      <c r="H249" s="11" t="s">
        <v>85</v>
      </c>
      <c r="I249" s="11" t="s">
        <v>52</v>
      </c>
      <c r="J249" s="11" t="s">
        <v>42</v>
      </c>
      <c r="K249" s="11" t="s">
        <v>60</v>
      </c>
      <c r="L249" s="11" t="s">
        <v>61</v>
      </c>
      <c r="M249" s="11" t="s">
        <v>62</v>
      </c>
      <c r="N249" s="11">
        <v>4600</v>
      </c>
      <c r="O249" s="11">
        <v>10</v>
      </c>
      <c r="P249" s="17">
        <v>0.02</v>
      </c>
      <c r="Q249" s="11">
        <v>1140</v>
      </c>
      <c r="R249" s="11" t="s">
        <v>32</v>
      </c>
      <c r="S249" s="11" t="s">
        <v>33</v>
      </c>
      <c r="T249" s="11" t="s">
        <v>34</v>
      </c>
      <c r="U249" s="11">
        <v>5</v>
      </c>
      <c r="V249" s="11" t="str">
        <f>TEXT('E-Commerce Sales Data'!$B249,"mmmm")</f>
        <v>August</v>
      </c>
      <c r="W249" s="8">
        <f t="shared" si="12"/>
        <v>4352975</v>
      </c>
      <c r="X249">
        <f t="shared" si="13"/>
        <v>953</v>
      </c>
      <c r="Y249">
        <f t="shared" si="14"/>
        <v>26617.219307450156</v>
      </c>
      <c r="Z249">
        <f t="shared" si="15"/>
        <v>55</v>
      </c>
    </row>
    <row r="250" spans="1:26" x14ac:dyDescent="0.25">
      <c r="A250" s="5" t="s">
        <v>353</v>
      </c>
      <c r="B250" s="6">
        <v>47368</v>
      </c>
      <c r="C250" s="7" t="s">
        <v>88</v>
      </c>
      <c r="D250" s="7" t="s">
        <v>37</v>
      </c>
      <c r="E250" s="7">
        <v>45</v>
      </c>
      <c r="F250" s="7" t="s">
        <v>24</v>
      </c>
      <c r="G250" s="7" t="s">
        <v>89</v>
      </c>
      <c r="H250" s="7" t="s">
        <v>90</v>
      </c>
      <c r="I250" s="7" t="s">
        <v>91</v>
      </c>
      <c r="J250" s="7" t="s">
        <v>42</v>
      </c>
      <c r="K250" s="7" t="s">
        <v>43</v>
      </c>
      <c r="L250" s="7" t="s">
        <v>92</v>
      </c>
      <c r="M250" s="7" t="s">
        <v>93</v>
      </c>
      <c r="N250" s="7">
        <v>15000</v>
      </c>
      <c r="O250" s="7">
        <v>1</v>
      </c>
      <c r="P250" s="16">
        <v>0.1</v>
      </c>
      <c r="Q250" s="7">
        <v>2550</v>
      </c>
      <c r="R250" s="7" t="s">
        <v>46</v>
      </c>
      <c r="S250" s="7" t="s">
        <v>47</v>
      </c>
      <c r="T250" s="7" t="s">
        <v>34</v>
      </c>
      <c r="U250" s="7">
        <v>4</v>
      </c>
      <c r="V250" s="7" t="str">
        <f>TEXT('E-Commerce Sales Data'!$B250,"mmmm")</f>
        <v>September</v>
      </c>
      <c r="W250" s="8">
        <f t="shared" si="12"/>
        <v>4351835</v>
      </c>
      <c r="X250">
        <f t="shared" si="13"/>
        <v>952</v>
      </c>
      <c r="Y250">
        <f t="shared" si="14"/>
        <v>26640.346638655461</v>
      </c>
      <c r="Z250">
        <f t="shared" si="15"/>
        <v>55</v>
      </c>
    </row>
    <row r="251" spans="1:26" x14ac:dyDescent="0.25">
      <c r="A251" s="9" t="s">
        <v>354</v>
      </c>
      <c r="B251" s="10">
        <v>47375</v>
      </c>
      <c r="C251" s="11" t="s">
        <v>95</v>
      </c>
      <c r="D251" s="11" t="s">
        <v>65</v>
      </c>
      <c r="E251" s="11">
        <v>25</v>
      </c>
      <c r="F251" s="11" t="s">
        <v>38</v>
      </c>
      <c r="G251" s="11" t="s">
        <v>25</v>
      </c>
      <c r="H251" s="11" t="s">
        <v>26</v>
      </c>
      <c r="I251" s="11" t="s">
        <v>27</v>
      </c>
      <c r="J251" s="11" t="s">
        <v>28</v>
      </c>
      <c r="K251" s="11" t="s">
        <v>29</v>
      </c>
      <c r="L251" s="11" t="s">
        <v>96</v>
      </c>
      <c r="M251" s="11" t="s">
        <v>97</v>
      </c>
      <c r="N251" s="11">
        <v>17200</v>
      </c>
      <c r="O251" s="11">
        <v>2</v>
      </c>
      <c r="P251" s="17">
        <v>0.05</v>
      </c>
      <c r="Q251" s="11">
        <v>3260</v>
      </c>
      <c r="R251" s="11" t="s">
        <v>32</v>
      </c>
      <c r="S251" s="11" t="s">
        <v>33</v>
      </c>
      <c r="T251" s="11" t="s">
        <v>34</v>
      </c>
      <c r="U251" s="11">
        <v>4</v>
      </c>
      <c r="V251" s="11" t="str">
        <f>TEXT('E-Commerce Sales Data'!$B251,"mmmm")</f>
        <v>September</v>
      </c>
      <c r="W251" s="8">
        <f t="shared" si="12"/>
        <v>4349285</v>
      </c>
      <c r="X251">
        <f t="shared" si="13"/>
        <v>951</v>
      </c>
      <c r="Y251">
        <f t="shared" si="14"/>
        <v>26652.586750788643</v>
      </c>
      <c r="Z251">
        <f t="shared" si="15"/>
        <v>55</v>
      </c>
    </row>
    <row r="252" spans="1:26" x14ac:dyDescent="0.25">
      <c r="A252" s="5" t="s">
        <v>355</v>
      </c>
      <c r="B252" s="6">
        <v>47382</v>
      </c>
      <c r="C252" s="7" t="s">
        <v>99</v>
      </c>
      <c r="D252" s="7" t="s">
        <v>100</v>
      </c>
      <c r="E252" s="7">
        <v>33</v>
      </c>
      <c r="F252" s="7" t="s">
        <v>24</v>
      </c>
      <c r="G252" s="7" t="s">
        <v>101</v>
      </c>
      <c r="H252" s="7" t="s">
        <v>102</v>
      </c>
      <c r="I252" s="7" t="s">
        <v>41</v>
      </c>
      <c r="J252" s="7" t="s">
        <v>28</v>
      </c>
      <c r="K252" s="7" t="s">
        <v>60</v>
      </c>
      <c r="L252" s="7" t="s">
        <v>53</v>
      </c>
      <c r="M252" s="7" t="s">
        <v>103</v>
      </c>
      <c r="N252" s="7">
        <v>870</v>
      </c>
      <c r="O252" s="7">
        <v>25</v>
      </c>
      <c r="P252" s="16">
        <v>0</v>
      </c>
      <c r="Q252" s="7">
        <v>260</v>
      </c>
      <c r="R252" s="7" t="s">
        <v>55</v>
      </c>
      <c r="S252" s="7" t="s">
        <v>33</v>
      </c>
      <c r="T252" s="7" t="s">
        <v>34</v>
      </c>
      <c r="U252" s="7">
        <v>5</v>
      </c>
      <c r="V252" s="7" t="str">
        <f>TEXT('E-Commerce Sales Data'!$B252,"mmmm")</f>
        <v>September</v>
      </c>
      <c r="W252" s="8">
        <f t="shared" si="12"/>
        <v>4346025</v>
      </c>
      <c r="X252">
        <f t="shared" si="13"/>
        <v>950</v>
      </c>
      <c r="Y252">
        <f t="shared" si="14"/>
        <v>26662.536842105263</v>
      </c>
      <c r="Z252">
        <f t="shared" si="15"/>
        <v>55</v>
      </c>
    </row>
    <row r="253" spans="1:26" x14ac:dyDescent="0.25">
      <c r="A253" s="9" t="s">
        <v>356</v>
      </c>
      <c r="B253" s="10">
        <v>47389</v>
      </c>
      <c r="C253" s="11" t="s">
        <v>105</v>
      </c>
      <c r="D253" s="11" t="s">
        <v>58</v>
      </c>
      <c r="E253" s="11">
        <v>42</v>
      </c>
      <c r="F253" s="11" t="s">
        <v>38</v>
      </c>
      <c r="G253" s="11" t="s">
        <v>51</v>
      </c>
      <c r="H253" s="11" t="s">
        <v>51</v>
      </c>
      <c r="I253" s="11" t="s">
        <v>52</v>
      </c>
      <c r="J253" s="11" t="s">
        <v>42</v>
      </c>
      <c r="K253" s="11" t="s">
        <v>43</v>
      </c>
      <c r="L253" s="11" t="s">
        <v>68</v>
      </c>
      <c r="M253" s="11" t="s">
        <v>106</v>
      </c>
      <c r="N253" s="11">
        <v>25400</v>
      </c>
      <c r="O253" s="11">
        <v>1</v>
      </c>
      <c r="P253" s="17">
        <v>0.08</v>
      </c>
      <c r="Q253" s="11">
        <v>4900</v>
      </c>
      <c r="R253" s="11" t="s">
        <v>46</v>
      </c>
      <c r="S253" s="11" t="s">
        <v>47</v>
      </c>
      <c r="T253" s="11" t="s">
        <v>34</v>
      </c>
      <c r="U253" s="11">
        <v>4</v>
      </c>
      <c r="V253" s="11" t="str">
        <f>TEXT('E-Commerce Sales Data'!$B253,"mmmm")</f>
        <v>September</v>
      </c>
      <c r="W253" s="8">
        <f t="shared" si="12"/>
        <v>4345765</v>
      </c>
      <c r="X253">
        <f t="shared" si="13"/>
        <v>949</v>
      </c>
      <c r="Y253">
        <f t="shared" si="14"/>
        <v>26689.715489989463</v>
      </c>
      <c r="Z253">
        <f t="shared" si="15"/>
        <v>55</v>
      </c>
    </row>
    <row r="254" spans="1:26" x14ac:dyDescent="0.25">
      <c r="A254" s="5" t="s">
        <v>357</v>
      </c>
      <c r="B254" s="6">
        <v>47396</v>
      </c>
      <c r="C254" s="7" t="s">
        <v>108</v>
      </c>
      <c r="D254" s="7" t="s">
        <v>23</v>
      </c>
      <c r="E254" s="7">
        <v>30</v>
      </c>
      <c r="F254" s="7" t="s">
        <v>24</v>
      </c>
      <c r="G254" s="7" t="s">
        <v>59</v>
      </c>
      <c r="H254" s="7" t="s">
        <v>26</v>
      </c>
      <c r="I254" s="7" t="s">
        <v>27</v>
      </c>
      <c r="J254" s="7" t="s">
        <v>28</v>
      </c>
      <c r="K254" s="7" t="s">
        <v>29</v>
      </c>
      <c r="L254" s="7" t="s">
        <v>30</v>
      </c>
      <c r="M254" s="7" t="s">
        <v>31</v>
      </c>
      <c r="N254" s="7">
        <v>72500</v>
      </c>
      <c r="O254" s="7">
        <v>1</v>
      </c>
      <c r="P254" s="16">
        <v>0.1</v>
      </c>
      <c r="Q254" s="7">
        <v>8050</v>
      </c>
      <c r="R254" s="7" t="s">
        <v>32</v>
      </c>
      <c r="S254" s="7" t="s">
        <v>47</v>
      </c>
      <c r="T254" s="7" t="s">
        <v>34</v>
      </c>
      <c r="U254" s="7">
        <v>5</v>
      </c>
      <c r="V254" s="7" t="str">
        <f>TEXT('E-Commerce Sales Data'!$B254,"mmmm")</f>
        <v>October</v>
      </c>
      <c r="W254" s="8">
        <f t="shared" si="12"/>
        <v>4340865</v>
      </c>
      <c r="X254">
        <f t="shared" si="13"/>
        <v>948</v>
      </c>
      <c r="Y254">
        <f t="shared" si="14"/>
        <v>26691.075949367088</v>
      </c>
      <c r="Z254">
        <f t="shared" si="15"/>
        <v>55</v>
      </c>
    </row>
    <row r="255" spans="1:26" x14ac:dyDescent="0.25">
      <c r="A255" s="9" t="s">
        <v>358</v>
      </c>
      <c r="B255" s="10">
        <v>47403</v>
      </c>
      <c r="C255" s="11" t="s">
        <v>110</v>
      </c>
      <c r="D255" s="11" t="s">
        <v>37</v>
      </c>
      <c r="E255" s="11">
        <v>36</v>
      </c>
      <c r="F255" s="11" t="s">
        <v>38</v>
      </c>
      <c r="G255" s="11" t="s">
        <v>66</v>
      </c>
      <c r="H255" s="11" t="s">
        <v>67</v>
      </c>
      <c r="I255" s="11" t="s">
        <v>27</v>
      </c>
      <c r="J255" s="11" t="s">
        <v>28</v>
      </c>
      <c r="K255" s="11" t="s">
        <v>60</v>
      </c>
      <c r="L255" s="11" t="s">
        <v>92</v>
      </c>
      <c r="M255" s="11" t="s">
        <v>111</v>
      </c>
      <c r="N255" s="11">
        <v>1120</v>
      </c>
      <c r="O255" s="11">
        <v>15</v>
      </c>
      <c r="P255" s="17">
        <v>0.05</v>
      </c>
      <c r="Q255" s="11">
        <v>330</v>
      </c>
      <c r="R255" s="11" t="s">
        <v>80</v>
      </c>
      <c r="S255" s="11" t="s">
        <v>33</v>
      </c>
      <c r="T255" s="11" t="s">
        <v>34</v>
      </c>
      <c r="U255" s="11">
        <v>4</v>
      </c>
      <c r="V255" s="11" t="str">
        <f>TEXT('E-Commerce Sales Data'!$B255,"mmmm")</f>
        <v>October</v>
      </c>
      <c r="W255" s="8">
        <f t="shared" si="12"/>
        <v>4332815</v>
      </c>
      <c r="X255">
        <f t="shared" si="13"/>
        <v>947</v>
      </c>
      <c r="Y255">
        <f t="shared" si="14"/>
        <v>26642.703273495248</v>
      </c>
      <c r="Z255">
        <f t="shared" si="15"/>
        <v>55</v>
      </c>
    </row>
    <row r="256" spans="1:26" x14ac:dyDescent="0.25">
      <c r="A256" s="5" t="s">
        <v>359</v>
      </c>
      <c r="B256" s="6">
        <v>47410</v>
      </c>
      <c r="C256" s="7" t="s">
        <v>113</v>
      </c>
      <c r="D256" s="7" t="s">
        <v>114</v>
      </c>
      <c r="E256" s="7">
        <v>40</v>
      </c>
      <c r="F256" s="7" t="s">
        <v>24</v>
      </c>
      <c r="G256" s="7" t="s">
        <v>73</v>
      </c>
      <c r="H256" s="7" t="s">
        <v>74</v>
      </c>
      <c r="I256" s="7" t="s">
        <v>41</v>
      </c>
      <c r="J256" s="7" t="s">
        <v>42</v>
      </c>
      <c r="K256" s="7" t="s">
        <v>43</v>
      </c>
      <c r="L256" s="7" t="s">
        <v>44</v>
      </c>
      <c r="M256" s="7" t="s">
        <v>45</v>
      </c>
      <c r="N256" s="7">
        <v>10400</v>
      </c>
      <c r="O256" s="7">
        <v>4</v>
      </c>
      <c r="P256" s="16">
        <v>7.0000000000000007E-2</v>
      </c>
      <c r="Q256" s="7">
        <v>2250</v>
      </c>
      <c r="R256" s="7" t="s">
        <v>46</v>
      </c>
      <c r="S256" s="7" t="s">
        <v>33</v>
      </c>
      <c r="T256" s="7" t="s">
        <v>34</v>
      </c>
      <c r="U256" s="7">
        <v>4</v>
      </c>
      <c r="V256" s="7" t="str">
        <f>TEXT('E-Commerce Sales Data'!$B256,"mmmm")</f>
        <v>October</v>
      </c>
      <c r="W256" s="8">
        <f t="shared" si="12"/>
        <v>4332485</v>
      </c>
      <c r="X256">
        <f t="shared" si="13"/>
        <v>946</v>
      </c>
      <c r="Y256">
        <f t="shared" si="14"/>
        <v>26669.682875264272</v>
      </c>
      <c r="Z256">
        <f t="shared" si="15"/>
        <v>55</v>
      </c>
    </row>
    <row r="257" spans="1:26" x14ac:dyDescent="0.25">
      <c r="A257" s="9" t="s">
        <v>360</v>
      </c>
      <c r="B257" s="10">
        <v>47417</v>
      </c>
      <c r="C257" s="11" t="s">
        <v>116</v>
      </c>
      <c r="D257" s="11" t="s">
        <v>83</v>
      </c>
      <c r="E257" s="11">
        <v>27</v>
      </c>
      <c r="F257" s="11" t="s">
        <v>38</v>
      </c>
      <c r="G257" s="11" t="s">
        <v>39</v>
      </c>
      <c r="H257" s="11" t="s">
        <v>40</v>
      </c>
      <c r="I257" s="11" t="s">
        <v>41</v>
      </c>
      <c r="J257" s="11" t="s">
        <v>28</v>
      </c>
      <c r="K257" s="11" t="s">
        <v>29</v>
      </c>
      <c r="L257" s="11" t="s">
        <v>53</v>
      </c>
      <c r="M257" s="11" t="s">
        <v>54</v>
      </c>
      <c r="N257" s="11">
        <v>23700</v>
      </c>
      <c r="O257" s="11">
        <v>2</v>
      </c>
      <c r="P257" s="17">
        <v>0.05</v>
      </c>
      <c r="Q257" s="11">
        <v>4250</v>
      </c>
      <c r="R257" s="11" t="s">
        <v>32</v>
      </c>
      <c r="S257" s="11" t="s">
        <v>47</v>
      </c>
      <c r="T257" s="11" t="s">
        <v>34</v>
      </c>
      <c r="U257" s="11">
        <v>5</v>
      </c>
      <c r="V257" s="11" t="str">
        <f>TEXT('E-Commerce Sales Data'!$B257,"mmmm")</f>
        <v>October</v>
      </c>
      <c r="W257" s="8">
        <f t="shared" si="12"/>
        <v>4330235</v>
      </c>
      <c r="X257">
        <f t="shared" si="13"/>
        <v>945</v>
      </c>
      <c r="Y257">
        <f t="shared" si="14"/>
        <v>26686.899470899472</v>
      </c>
      <c r="Z257">
        <f t="shared" si="15"/>
        <v>55</v>
      </c>
    </row>
    <row r="258" spans="1:26" x14ac:dyDescent="0.25">
      <c r="A258" s="5" t="s">
        <v>361</v>
      </c>
      <c r="B258" s="6">
        <v>47424</v>
      </c>
      <c r="C258" s="7" t="s">
        <v>118</v>
      </c>
      <c r="D258" s="7" t="s">
        <v>72</v>
      </c>
      <c r="E258" s="7">
        <v>35</v>
      </c>
      <c r="F258" s="7" t="s">
        <v>24</v>
      </c>
      <c r="G258" s="7" t="s">
        <v>84</v>
      </c>
      <c r="H258" s="7" t="s">
        <v>85</v>
      </c>
      <c r="I258" s="7" t="s">
        <v>52</v>
      </c>
      <c r="J258" s="7" t="s">
        <v>42</v>
      </c>
      <c r="K258" s="7" t="s">
        <v>60</v>
      </c>
      <c r="L258" s="7" t="s">
        <v>61</v>
      </c>
      <c r="M258" s="7" t="s">
        <v>62</v>
      </c>
      <c r="N258" s="7">
        <v>4700</v>
      </c>
      <c r="O258" s="7">
        <v>10</v>
      </c>
      <c r="P258" s="16">
        <v>0.03</v>
      </c>
      <c r="Q258" s="7">
        <v>1120</v>
      </c>
      <c r="R258" s="7" t="s">
        <v>55</v>
      </c>
      <c r="S258" s="7" t="s">
        <v>33</v>
      </c>
      <c r="T258" s="7" t="s">
        <v>34</v>
      </c>
      <c r="U258" s="7">
        <v>4</v>
      </c>
      <c r="V258" s="7" t="str">
        <f>TEXT('E-Commerce Sales Data'!$B258,"mmmm")</f>
        <v>November</v>
      </c>
      <c r="W258" s="8">
        <f t="shared" si="12"/>
        <v>4325985</v>
      </c>
      <c r="X258">
        <f t="shared" si="13"/>
        <v>944</v>
      </c>
      <c r="Y258">
        <f t="shared" si="14"/>
        <v>26690.063559322032</v>
      </c>
      <c r="Z258">
        <f t="shared" si="15"/>
        <v>55</v>
      </c>
    </row>
    <row r="259" spans="1:26" x14ac:dyDescent="0.25">
      <c r="A259" s="9" t="s">
        <v>362</v>
      </c>
      <c r="B259" s="10">
        <v>47431</v>
      </c>
      <c r="C259" s="11" t="s">
        <v>120</v>
      </c>
      <c r="D259" s="11" t="s">
        <v>23</v>
      </c>
      <c r="E259" s="11">
        <v>24</v>
      </c>
      <c r="F259" s="11" t="s">
        <v>38</v>
      </c>
      <c r="G259" s="11" t="s">
        <v>25</v>
      </c>
      <c r="H259" s="11" t="s">
        <v>26</v>
      </c>
      <c r="I259" s="11" t="s">
        <v>27</v>
      </c>
      <c r="J259" s="11" t="s">
        <v>28</v>
      </c>
      <c r="K259" s="11" t="s">
        <v>43</v>
      </c>
      <c r="L259" s="11" t="s">
        <v>68</v>
      </c>
      <c r="M259" s="11" t="s">
        <v>69</v>
      </c>
      <c r="N259" s="11">
        <v>20500</v>
      </c>
      <c r="O259" s="11">
        <v>2</v>
      </c>
      <c r="P259" s="17">
        <v>0.1</v>
      </c>
      <c r="Q259" s="11">
        <v>3180</v>
      </c>
      <c r="R259" s="11" t="s">
        <v>32</v>
      </c>
      <c r="S259" s="11" t="s">
        <v>47</v>
      </c>
      <c r="T259" s="11" t="s">
        <v>34</v>
      </c>
      <c r="U259" s="11">
        <v>5</v>
      </c>
      <c r="V259" s="11" t="str">
        <f>TEXT('E-Commerce Sales Data'!$B259,"mmmm")</f>
        <v>November</v>
      </c>
      <c r="W259" s="8">
        <f t="shared" ref="W259:W322" si="16">SUM(Q259:Q1458)</f>
        <v>4324865</v>
      </c>
      <c r="X259">
        <f t="shared" ref="X259:X322" si="17">COUNT(E259:E1458)</f>
        <v>943</v>
      </c>
      <c r="Y259">
        <f t="shared" ref="Y259:Y322" si="18">AVERAGE(N259:N1458)</f>
        <v>26713.382820784729</v>
      </c>
      <c r="Z259">
        <f t="shared" ref="Z259:Z322" si="19">MAX(E259:E1458)</f>
        <v>55</v>
      </c>
    </row>
    <row r="260" spans="1:26" x14ac:dyDescent="0.25">
      <c r="A260" s="5" t="s">
        <v>363</v>
      </c>
      <c r="B260" s="6">
        <v>47438</v>
      </c>
      <c r="C260" s="7" t="s">
        <v>122</v>
      </c>
      <c r="D260" s="7" t="s">
        <v>50</v>
      </c>
      <c r="E260" s="7">
        <v>43</v>
      </c>
      <c r="F260" s="7" t="s">
        <v>24</v>
      </c>
      <c r="G260" s="7" t="s">
        <v>101</v>
      </c>
      <c r="H260" s="7" t="s">
        <v>102</v>
      </c>
      <c r="I260" s="7" t="s">
        <v>41</v>
      </c>
      <c r="J260" s="7" t="s">
        <v>42</v>
      </c>
      <c r="K260" s="7" t="s">
        <v>29</v>
      </c>
      <c r="L260" s="7" t="s">
        <v>53</v>
      </c>
      <c r="M260" s="7" t="s">
        <v>75</v>
      </c>
      <c r="N260" s="7">
        <v>3650</v>
      </c>
      <c r="O260" s="7">
        <v>4</v>
      </c>
      <c r="P260" s="16">
        <v>0.05</v>
      </c>
      <c r="Q260" s="7">
        <v>880</v>
      </c>
      <c r="R260" s="7" t="s">
        <v>46</v>
      </c>
      <c r="S260" s="7" t="s">
        <v>33</v>
      </c>
      <c r="T260" s="7" t="s">
        <v>34</v>
      </c>
      <c r="U260" s="7">
        <v>3</v>
      </c>
      <c r="V260" s="7" t="str">
        <f>TEXT('E-Commerce Sales Data'!$B260,"mmmm")</f>
        <v>November</v>
      </c>
      <c r="W260" s="8">
        <f t="shared" si="16"/>
        <v>4321685</v>
      </c>
      <c r="X260">
        <f t="shared" si="17"/>
        <v>942</v>
      </c>
      <c r="Y260">
        <f t="shared" si="18"/>
        <v>26719.978768577494</v>
      </c>
      <c r="Z260">
        <f t="shared" si="19"/>
        <v>55</v>
      </c>
    </row>
    <row r="261" spans="1:26" x14ac:dyDescent="0.25">
      <c r="A261" s="9" t="s">
        <v>364</v>
      </c>
      <c r="B261" s="10">
        <v>47445</v>
      </c>
      <c r="C261" s="11" t="s">
        <v>124</v>
      </c>
      <c r="D261" s="11" t="s">
        <v>100</v>
      </c>
      <c r="E261" s="11">
        <v>32</v>
      </c>
      <c r="F261" s="11" t="s">
        <v>38</v>
      </c>
      <c r="G261" s="11" t="s">
        <v>78</v>
      </c>
      <c r="H261" s="11" t="s">
        <v>26</v>
      </c>
      <c r="I261" s="11" t="s">
        <v>27</v>
      </c>
      <c r="J261" s="11" t="s">
        <v>28</v>
      </c>
      <c r="K261" s="11" t="s">
        <v>29</v>
      </c>
      <c r="L261" s="11" t="s">
        <v>53</v>
      </c>
      <c r="M261" s="11" t="s">
        <v>79</v>
      </c>
      <c r="N261" s="11">
        <v>1920</v>
      </c>
      <c r="O261" s="11">
        <v>7</v>
      </c>
      <c r="P261" s="17">
        <v>0</v>
      </c>
      <c r="Q261" s="11">
        <v>560</v>
      </c>
      <c r="R261" s="11" t="s">
        <v>32</v>
      </c>
      <c r="S261" s="11" t="s">
        <v>33</v>
      </c>
      <c r="T261" s="11" t="s">
        <v>34</v>
      </c>
      <c r="U261" s="11">
        <v>4</v>
      </c>
      <c r="V261" s="11" t="str">
        <f>TEXT('E-Commerce Sales Data'!$B261,"mmmm")</f>
        <v>November</v>
      </c>
      <c r="W261" s="8">
        <f t="shared" si="16"/>
        <v>4320805</v>
      </c>
      <c r="X261">
        <f t="shared" si="17"/>
        <v>941</v>
      </c>
      <c r="Y261">
        <f t="shared" si="18"/>
        <v>26744.495217853346</v>
      </c>
      <c r="Z261">
        <f t="shared" si="19"/>
        <v>55</v>
      </c>
    </row>
    <row r="262" spans="1:26" x14ac:dyDescent="0.25">
      <c r="A262" s="5" t="s">
        <v>365</v>
      </c>
      <c r="B262" s="6">
        <v>47452</v>
      </c>
      <c r="C262" s="7" t="s">
        <v>22</v>
      </c>
      <c r="D262" s="7" t="s">
        <v>23</v>
      </c>
      <c r="E262" s="7">
        <v>28</v>
      </c>
      <c r="F262" s="7" t="s">
        <v>24</v>
      </c>
      <c r="G262" s="7" t="s">
        <v>25</v>
      </c>
      <c r="H262" s="7" t="s">
        <v>26</v>
      </c>
      <c r="I262" s="7" t="s">
        <v>27</v>
      </c>
      <c r="J262" s="7" t="s">
        <v>28</v>
      </c>
      <c r="K262" s="7" t="s">
        <v>29</v>
      </c>
      <c r="L262" s="7" t="s">
        <v>30</v>
      </c>
      <c r="M262" s="7" t="s">
        <v>31</v>
      </c>
      <c r="N262" s="7">
        <v>68500</v>
      </c>
      <c r="O262" s="7">
        <v>1</v>
      </c>
      <c r="P262" s="16">
        <v>0.05</v>
      </c>
      <c r="Q262" s="7">
        <v>9000</v>
      </c>
      <c r="R262" s="7" t="s">
        <v>32</v>
      </c>
      <c r="S262" s="7" t="s">
        <v>47</v>
      </c>
      <c r="T262" s="7" t="s">
        <v>34</v>
      </c>
      <c r="U262" s="7">
        <v>5</v>
      </c>
      <c r="V262" s="7" t="str">
        <f>TEXT('E-Commerce Sales Data'!$B262,"mmmm")</f>
        <v>November</v>
      </c>
      <c r="W262" s="8">
        <f t="shared" si="16"/>
        <v>4320245</v>
      </c>
      <c r="X262">
        <f t="shared" si="17"/>
        <v>940</v>
      </c>
      <c r="Y262">
        <f t="shared" si="18"/>
        <v>26770.90425531915</v>
      </c>
      <c r="Z262">
        <f t="shared" si="19"/>
        <v>55</v>
      </c>
    </row>
    <row r="263" spans="1:26" x14ac:dyDescent="0.25">
      <c r="A263" s="9" t="s">
        <v>366</v>
      </c>
      <c r="B263" s="10">
        <v>47459</v>
      </c>
      <c r="C263" s="11" t="s">
        <v>36</v>
      </c>
      <c r="D263" s="11" t="s">
        <v>37</v>
      </c>
      <c r="E263" s="11">
        <v>34</v>
      </c>
      <c r="F263" s="11" t="s">
        <v>38</v>
      </c>
      <c r="G263" s="11" t="s">
        <v>39</v>
      </c>
      <c r="H263" s="11" t="s">
        <v>40</v>
      </c>
      <c r="I263" s="11" t="s">
        <v>41</v>
      </c>
      <c r="J263" s="11" t="s">
        <v>42</v>
      </c>
      <c r="K263" s="11" t="s">
        <v>43</v>
      </c>
      <c r="L263" s="11" t="s">
        <v>44</v>
      </c>
      <c r="M263" s="11" t="s">
        <v>45</v>
      </c>
      <c r="N263" s="11">
        <v>9400</v>
      </c>
      <c r="O263" s="11">
        <v>3</v>
      </c>
      <c r="P263" s="17">
        <v>0.1</v>
      </c>
      <c r="Q263" s="11">
        <v>2080</v>
      </c>
      <c r="R263" s="11" t="s">
        <v>46</v>
      </c>
      <c r="S263" s="11" t="s">
        <v>33</v>
      </c>
      <c r="T263" s="11" t="s">
        <v>34</v>
      </c>
      <c r="U263" s="11">
        <v>4</v>
      </c>
      <c r="V263" s="11" t="str">
        <f>TEXT('E-Commerce Sales Data'!$B263,"mmmm")</f>
        <v>December</v>
      </c>
      <c r="W263" s="8">
        <f t="shared" si="16"/>
        <v>4311245</v>
      </c>
      <c r="X263">
        <f t="shared" si="17"/>
        <v>939</v>
      </c>
      <c r="Y263">
        <f t="shared" si="18"/>
        <v>26726.464323748667</v>
      </c>
      <c r="Z263">
        <f t="shared" si="19"/>
        <v>55</v>
      </c>
    </row>
    <row r="264" spans="1:26" x14ac:dyDescent="0.25">
      <c r="A264" s="5" t="s">
        <v>367</v>
      </c>
      <c r="B264" s="6">
        <v>47466</v>
      </c>
      <c r="C264" s="7" t="s">
        <v>49</v>
      </c>
      <c r="D264" s="7" t="s">
        <v>50</v>
      </c>
      <c r="E264" s="7">
        <v>41</v>
      </c>
      <c r="F264" s="7" t="s">
        <v>24</v>
      </c>
      <c r="G264" s="7" t="s">
        <v>51</v>
      </c>
      <c r="H264" s="7" t="s">
        <v>51</v>
      </c>
      <c r="I264" s="7" t="s">
        <v>52</v>
      </c>
      <c r="J264" s="7" t="s">
        <v>28</v>
      </c>
      <c r="K264" s="7" t="s">
        <v>29</v>
      </c>
      <c r="L264" s="7" t="s">
        <v>53</v>
      </c>
      <c r="M264" s="7" t="s">
        <v>54</v>
      </c>
      <c r="N264" s="7">
        <v>21500</v>
      </c>
      <c r="O264" s="7">
        <v>2</v>
      </c>
      <c r="P264" s="16">
        <v>0.05</v>
      </c>
      <c r="Q264" s="7">
        <v>3820</v>
      </c>
      <c r="R264" s="7" t="s">
        <v>55</v>
      </c>
      <c r="S264" s="7" t="s">
        <v>33</v>
      </c>
      <c r="T264" s="7" t="s">
        <v>34</v>
      </c>
      <c r="U264" s="7">
        <v>4</v>
      </c>
      <c r="V264" s="7" t="str">
        <f>TEXT('E-Commerce Sales Data'!$B264,"mmmm")</f>
        <v>December</v>
      </c>
      <c r="W264" s="8">
        <f t="shared" si="16"/>
        <v>4309165</v>
      </c>
      <c r="X264">
        <f t="shared" si="17"/>
        <v>938</v>
      </c>
      <c r="Y264">
        <f t="shared" si="18"/>
        <v>26744.936034115137</v>
      </c>
      <c r="Z264">
        <f t="shared" si="19"/>
        <v>55</v>
      </c>
    </row>
    <row r="265" spans="1:26" x14ac:dyDescent="0.25">
      <c r="A265" s="9" t="s">
        <v>368</v>
      </c>
      <c r="B265" s="10">
        <v>47473</v>
      </c>
      <c r="C265" s="11" t="s">
        <v>57</v>
      </c>
      <c r="D265" s="11" t="s">
        <v>58</v>
      </c>
      <c r="E265" s="11">
        <v>26</v>
      </c>
      <c r="F265" s="11" t="s">
        <v>38</v>
      </c>
      <c r="G265" s="11" t="s">
        <v>59</v>
      </c>
      <c r="H265" s="11" t="s">
        <v>26</v>
      </c>
      <c r="I265" s="11" t="s">
        <v>27</v>
      </c>
      <c r="J265" s="11" t="s">
        <v>28</v>
      </c>
      <c r="K265" s="11" t="s">
        <v>60</v>
      </c>
      <c r="L265" s="11" t="s">
        <v>61</v>
      </c>
      <c r="M265" s="11" t="s">
        <v>86</v>
      </c>
      <c r="N265" s="11">
        <v>630</v>
      </c>
      <c r="O265" s="11">
        <v>20</v>
      </c>
      <c r="P265" s="17">
        <v>0.02</v>
      </c>
      <c r="Q265" s="11">
        <v>175</v>
      </c>
      <c r="R265" s="11" t="s">
        <v>32</v>
      </c>
      <c r="S265" s="11" t="s">
        <v>33</v>
      </c>
      <c r="T265" s="11" t="s">
        <v>34</v>
      </c>
      <c r="U265" s="11">
        <v>5</v>
      </c>
      <c r="V265" s="11" t="str">
        <f>TEXT('E-Commerce Sales Data'!$B265,"mmmm")</f>
        <v>December</v>
      </c>
      <c r="W265" s="8">
        <f t="shared" si="16"/>
        <v>4305345</v>
      </c>
      <c r="X265">
        <f t="shared" si="17"/>
        <v>937</v>
      </c>
      <c r="Y265">
        <f t="shared" si="18"/>
        <v>26750.533617929563</v>
      </c>
      <c r="Z265">
        <f t="shared" si="19"/>
        <v>55</v>
      </c>
    </row>
    <row r="266" spans="1:26" x14ac:dyDescent="0.25">
      <c r="A266" s="5" t="s">
        <v>369</v>
      </c>
      <c r="B266" s="6">
        <v>47480</v>
      </c>
      <c r="C266" s="7" t="s">
        <v>64</v>
      </c>
      <c r="D266" s="7" t="s">
        <v>65</v>
      </c>
      <c r="E266" s="7">
        <v>39</v>
      </c>
      <c r="F266" s="7" t="s">
        <v>24</v>
      </c>
      <c r="G266" s="7" t="s">
        <v>66</v>
      </c>
      <c r="H266" s="7" t="s">
        <v>67</v>
      </c>
      <c r="I266" s="7" t="s">
        <v>27</v>
      </c>
      <c r="J266" s="7" t="s">
        <v>42</v>
      </c>
      <c r="K266" s="7" t="s">
        <v>43</v>
      </c>
      <c r="L266" s="7" t="s">
        <v>68</v>
      </c>
      <c r="M266" s="7" t="s">
        <v>69</v>
      </c>
      <c r="N266" s="7">
        <v>21000</v>
      </c>
      <c r="O266" s="7">
        <v>2</v>
      </c>
      <c r="P266" s="16">
        <v>0.08</v>
      </c>
      <c r="Q266" s="7">
        <v>3500</v>
      </c>
      <c r="R266" s="7" t="s">
        <v>46</v>
      </c>
      <c r="S266" s="7" t="s">
        <v>47</v>
      </c>
      <c r="T266" s="7" t="s">
        <v>34</v>
      </c>
      <c r="U266" s="7">
        <v>4</v>
      </c>
      <c r="V266" s="7" t="str">
        <f>TEXT('E-Commerce Sales Data'!$B266,"mmmm")</f>
        <v>December</v>
      </c>
      <c r="W266" s="8">
        <f t="shared" si="16"/>
        <v>4305170</v>
      </c>
      <c r="X266">
        <f t="shared" si="17"/>
        <v>936</v>
      </c>
      <c r="Y266">
        <f t="shared" si="18"/>
        <v>26778.440170940172</v>
      </c>
      <c r="Z266">
        <f t="shared" si="19"/>
        <v>55</v>
      </c>
    </row>
    <row r="267" spans="1:26" x14ac:dyDescent="0.25">
      <c r="A267" s="9" t="s">
        <v>370</v>
      </c>
      <c r="B267" s="10">
        <v>47487</v>
      </c>
      <c r="C267" s="11" t="s">
        <v>71</v>
      </c>
      <c r="D267" s="11" t="s">
        <v>72</v>
      </c>
      <c r="E267" s="11">
        <v>31</v>
      </c>
      <c r="F267" s="11" t="s">
        <v>38</v>
      </c>
      <c r="G267" s="11" t="s">
        <v>73</v>
      </c>
      <c r="H267" s="11" t="s">
        <v>74</v>
      </c>
      <c r="I267" s="11" t="s">
        <v>41</v>
      </c>
      <c r="J267" s="11" t="s">
        <v>28</v>
      </c>
      <c r="K267" s="11" t="s">
        <v>29</v>
      </c>
      <c r="L267" s="11" t="s">
        <v>53</v>
      </c>
      <c r="M267" s="11" t="s">
        <v>75</v>
      </c>
      <c r="N267" s="11">
        <v>3350</v>
      </c>
      <c r="O267" s="11">
        <v>3</v>
      </c>
      <c r="P267" s="17">
        <v>0.05</v>
      </c>
      <c r="Q267" s="11">
        <v>810</v>
      </c>
      <c r="R267" s="11" t="s">
        <v>32</v>
      </c>
      <c r="S267" s="11" t="s">
        <v>33</v>
      </c>
      <c r="T267" s="11" t="s">
        <v>34</v>
      </c>
      <c r="U267" s="11">
        <v>4</v>
      </c>
      <c r="V267" s="11" t="str">
        <f>TEXT('E-Commerce Sales Data'!$B267,"mmmm")</f>
        <v>January</v>
      </c>
      <c r="W267" s="8">
        <f t="shared" si="16"/>
        <v>4301670</v>
      </c>
      <c r="X267">
        <f t="shared" si="17"/>
        <v>935</v>
      </c>
      <c r="Y267">
        <f t="shared" si="18"/>
        <v>26784.620320855614</v>
      </c>
      <c r="Z267">
        <f t="shared" si="19"/>
        <v>55</v>
      </c>
    </row>
    <row r="268" spans="1:26" x14ac:dyDescent="0.25">
      <c r="A268" s="5" t="s">
        <v>371</v>
      </c>
      <c r="B268" s="6">
        <v>47494</v>
      </c>
      <c r="C268" s="7" t="s">
        <v>77</v>
      </c>
      <c r="D268" s="7" t="s">
        <v>23</v>
      </c>
      <c r="E268" s="7">
        <v>29</v>
      </c>
      <c r="F268" s="7" t="s">
        <v>24</v>
      </c>
      <c r="G268" s="7" t="s">
        <v>78</v>
      </c>
      <c r="H268" s="7" t="s">
        <v>26</v>
      </c>
      <c r="I268" s="7" t="s">
        <v>27</v>
      </c>
      <c r="J268" s="7" t="s">
        <v>28</v>
      </c>
      <c r="K268" s="7" t="s">
        <v>29</v>
      </c>
      <c r="L268" s="7" t="s">
        <v>53</v>
      </c>
      <c r="M268" s="7" t="s">
        <v>79</v>
      </c>
      <c r="N268" s="7">
        <v>1980</v>
      </c>
      <c r="O268" s="7">
        <v>6</v>
      </c>
      <c r="P268" s="16">
        <v>0</v>
      </c>
      <c r="Q268" s="7">
        <v>580</v>
      </c>
      <c r="R268" s="7" t="s">
        <v>80</v>
      </c>
      <c r="S268" s="7" t="s">
        <v>33</v>
      </c>
      <c r="T268" s="7" t="s">
        <v>34</v>
      </c>
      <c r="U268" s="7">
        <v>3</v>
      </c>
      <c r="V268" s="7" t="str">
        <f>TEXT('E-Commerce Sales Data'!$B268,"mmmm")</f>
        <v>January</v>
      </c>
      <c r="W268" s="8">
        <f t="shared" si="16"/>
        <v>4300860</v>
      </c>
      <c r="X268">
        <f t="shared" si="17"/>
        <v>934</v>
      </c>
      <c r="Y268">
        <f t="shared" si="18"/>
        <v>26809.710920770878</v>
      </c>
      <c r="Z268">
        <f t="shared" si="19"/>
        <v>55</v>
      </c>
    </row>
    <row r="269" spans="1:26" x14ac:dyDescent="0.25">
      <c r="A269" s="9" t="s">
        <v>372</v>
      </c>
      <c r="B269" s="10">
        <v>47501</v>
      </c>
      <c r="C269" s="11" t="s">
        <v>82</v>
      </c>
      <c r="D269" s="11" t="s">
        <v>83</v>
      </c>
      <c r="E269" s="11">
        <v>37</v>
      </c>
      <c r="F269" s="11" t="s">
        <v>38</v>
      </c>
      <c r="G269" s="11" t="s">
        <v>84</v>
      </c>
      <c r="H269" s="11" t="s">
        <v>85</v>
      </c>
      <c r="I269" s="11" t="s">
        <v>52</v>
      </c>
      <c r="J269" s="11" t="s">
        <v>42</v>
      </c>
      <c r="K269" s="11" t="s">
        <v>60</v>
      </c>
      <c r="L269" s="11" t="s">
        <v>61</v>
      </c>
      <c r="M269" s="11" t="s">
        <v>62</v>
      </c>
      <c r="N269" s="11">
        <v>4800</v>
      </c>
      <c r="O269" s="11">
        <v>10</v>
      </c>
      <c r="P269" s="17">
        <v>0.02</v>
      </c>
      <c r="Q269" s="11">
        <v>1180</v>
      </c>
      <c r="R269" s="11" t="s">
        <v>32</v>
      </c>
      <c r="S269" s="11" t="s">
        <v>33</v>
      </c>
      <c r="T269" s="11" t="s">
        <v>34</v>
      </c>
      <c r="U269" s="11">
        <v>5</v>
      </c>
      <c r="V269" s="11" t="str">
        <f>TEXT('E-Commerce Sales Data'!$B269,"mmmm")</f>
        <v>January</v>
      </c>
      <c r="W269" s="8">
        <f t="shared" si="16"/>
        <v>4300280</v>
      </c>
      <c r="X269">
        <f t="shared" si="17"/>
        <v>933</v>
      </c>
      <c r="Y269">
        <f t="shared" si="18"/>
        <v>26836.323687031083</v>
      </c>
      <c r="Z269">
        <f t="shared" si="19"/>
        <v>55</v>
      </c>
    </row>
    <row r="270" spans="1:26" x14ac:dyDescent="0.25">
      <c r="A270" s="5" t="s">
        <v>373</v>
      </c>
      <c r="B270" s="6">
        <v>47508</v>
      </c>
      <c r="C270" s="7" t="s">
        <v>88</v>
      </c>
      <c r="D270" s="7" t="s">
        <v>37</v>
      </c>
      <c r="E270" s="7">
        <v>45</v>
      </c>
      <c r="F270" s="7" t="s">
        <v>24</v>
      </c>
      <c r="G270" s="7" t="s">
        <v>89</v>
      </c>
      <c r="H270" s="7" t="s">
        <v>90</v>
      </c>
      <c r="I270" s="7" t="s">
        <v>91</v>
      </c>
      <c r="J270" s="7" t="s">
        <v>42</v>
      </c>
      <c r="K270" s="7" t="s">
        <v>43</v>
      </c>
      <c r="L270" s="7" t="s">
        <v>92</v>
      </c>
      <c r="M270" s="7" t="s">
        <v>93</v>
      </c>
      <c r="N270" s="7">
        <v>15400</v>
      </c>
      <c r="O270" s="7">
        <v>1</v>
      </c>
      <c r="P270" s="16">
        <v>0.1</v>
      </c>
      <c r="Q270" s="7">
        <v>2630</v>
      </c>
      <c r="R270" s="7" t="s">
        <v>46</v>
      </c>
      <c r="S270" s="7" t="s">
        <v>47</v>
      </c>
      <c r="T270" s="7" t="s">
        <v>34</v>
      </c>
      <c r="U270" s="7">
        <v>4</v>
      </c>
      <c r="V270" s="7" t="str">
        <f>TEXT('E-Commerce Sales Data'!$B270,"mmmm")</f>
        <v>January</v>
      </c>
      <c r="W270" s="8">
        <f t="shared" si="16"/>
        <v>4299100</v>
      </c>
      <c r="X270">
        <f t="shared" si="17"/>
        <v>932</v>
      </c>
      <c r="Y270">
        <f t="shared" si="18"/>
        <v>26859.9678111588</v>
      </c>
      <c r="Z270">
        <f t="shared" si="19"/>
        <v>55</v>
      </c>
    </row>
    <row r="271" spans="1:26" x14ac:dyDescent="0.25">
      <c r="A271" s="9" t="s">
        <v>374</v>
      </c>
      <c r="B271" s="10">
        <v>47515</v>
      </c>
      <c r="C271" s="11" t="s">
        <v>95</v>
      </c>
      <c r="D271" s="11" t="s">
        <v>65</v>
      </c>
      <c r="E271" s="11">
        <v>25</v>
      </c>
      <c r="F271" s="11" t="s">
        <v>38</v>
      </c>
      <c r="G271" s="11" t="s">
        <v>25</v>
      </c>
      <c r="H271" s="11" t="s">
        <v>26</v>
      </c>
      <c r="I271" s="11" t="s">
        <v>27</v>
      </c>
      <c r="J271" s="11" t="s">
        <v>28</v>
      </c>
      <c r="K271" s="11" t="s">
        <v>29</v>
      </c>
      <c r="L271" s="11" t="s">
        <v>96</v>
      </c>
      <c r="M271" s="11" t="s">
        <v>97</v>
      </c>
      <c r="N271" s="11">
        <v>17600</v>
      </c>
      <c r="O271" s="11">
        <v>2</v>
      </c>
      <c r="P271" s="17">
        <v>0.05</v>
      </c>
      <c r="Q271" s="11">
        <v>3350</v>
      </c>
      <c r="R271" s="11" t="s">
        <v>32</v>
      </c>
      <c r="S271" s="11" t="s">
        <v>33</v>
      </c>
      <c r="T271" s="11" t="s">
        <v>34</v>
      </c>
      <c r="U271" s="11">
        <v>4</v>
      </c>
      <c r="V271" s="11" t="str">
        <f>TEXT('E-Commerce Sales Data'!$B271,"mmmm")</f>
        <v>February</v>
      </c>
      <c r="W271" s="8">
        <f t="shared" si="16"/>
        <v>4296470</v>
      </c>
      <c r="X271">
        <f t="shared" si="17"/>
        <v>931</v>
      </c>
      <c r="Y271">
        <f t="shared" si="18"/>
        <v>26872.277121374867</v>
      </c>
      <c r="Z271">
        <f t="shared" si="19"/>
        <v>55</v>
      </c>
    </row>
    <row r="272" spans="1:26" x14ac:dyDescent="0.25">
      <c r="A272" s="5" t="s">
        <v>375</v>
      </c>
      <c r="B272" s="6">
        <v>47522</v>
      </c>
      <c r="C272" s="7" t="s">
        <v>99</v>
      </c>
      <c r="D272" s="7" t="s">
        <v>100</v>
      </c>
      <c r="E272" s="7">
        <v>33</v>
      </c>
      <c r="F272" s="7" t="s">
        <v>24</v>
      </c>
      <c r="G272" s="7" t="s">
        <v>101</v>
      </c>
      <c r="H272" s="7" t="s">
        <v>102</v>
      </c>
      <c r="I272" s="7" t="s">
        <v>41</v>
      </c>
      <c r="J272" s="7" t="s">
        <v>28</v>
      </c>
      <c r="K272" s="7" t="s">
        <v>60</v>
      </c>
      <c r="L272" s="7" t="s">
        <v>53</v>
      </c>
      <c r="M272" s="7" t="s">
        <v>103</v>
      </c>
      <c r="N272" s="7">
        <v>900</v>
      </c>
      <c r="O272" s="7">
        <v>25</v>
      </c>
      <c r="P272" s="16">
        <v>0</v>
      </c>
      <c r="Q272" s="7">
        <v>270</v>
      </c>
      <c r="R272" s="7" t="s">
        <v>55</v>
      </c>
      <c r="S272" s="7" t="s">
        <v>33</v>
      </c>
      <c r="T272" s="7" t="s">
        <v>34</v>
      </c>
      <c r="U272" s="7">
        <v>5</v>
      </c>
      <c r="V272" s="7" t="str">
        <f>TEXT('E-Commerce Sales Data'!$B272,"mmmm")</f>
        <v>February</v>
      </c>
      <c r="W272" s="8">
        <f t="shared" si="16"/>
        <v>4293120</v>
      </c>
      <c r="X272">
        <f t="shared" si="17"/>
        <v>930</v>
      </c>
      <c r="Y272">
        <f t="shared" si="18"/>
        <v>26882.247311827956</v>
      </c>
      <c r="Z272">
        <f t="shared" si="19"/>
        <v>55</v>
      </c>
    </row>
    <row r="273" spans="1:26" x14ac:dyDescent="0.25">
      <c r="A273" s="9" t="s">
        <v>376</v>
      </c>
      <c r="B273" s="10">
        <v>47529</v>
      </c>
      <c r="C273" s="11" t="s">
        <v>105</v>
      </c>
      <c r="D273" s="11" t="s">
        <v>58</v>
      </c>
      <c r="E273" s="11">
        <v>42</v>
      </c>
      <c r="F273" s="11" t="s">
        <v>38</v>
      </c>
      <c r="G273" s="11" t="s">
        <v>51</v>
      </c>
      <c r="H273" s="11" t="s">
        <v>51</v>
      </c>
      <c r="I273" s="11" t="s">
        <v>52</v>
      </c>
      <c r="J273" s="11" t="s">
        <v>42</v>
      </c>
      <c r="K273" s="11" t="s">
        <v>43</v>
      </c>
      <c r="L273" s="11" t="s">
        <v>68</v>
      </c>
      <c r="M273" s="11" t="s">
        <v>106</v>
      </c>
      <c r="N273" s="11">
        <v>26000</v>
      </c>
      <c r="O273" s="11">
        <v>1</v>
      </c>
      <c r="P273" s="17">
        <v>0.08</v>
      </c>
      <c r="Q273" s="11">
        <v>5050</v>
      </c>
      <c r="R273" s="11" t="s">
        <v>46</v>
      </c>
      <c r="S273" s="11" t="s">
        <v>47</v>
      </c>
      <c r="T273" s="11" t="s">
        <v>34</v>
      </c>
      <c r="U273" s="11">
        <v>4</v>
      </c>
      <c r="V273" s="11" t="str">
        <f>TEXT('E-Commerce Sales Data'!$B273,"mmmm")</f>
        <v>February</v>
      </c>
      <c r="W273" s="8">
        <f t="shared" si="16"/>
        <v>4292850</v>
      </c>
      <c r="X273">
        <f t="shared" si="17"/>
        <v>929</v>
      </c>
      <c r="Y273">
        <f t="shared" si="18"/>
        <v>26910.215285252962</v>
      </c>
      <c r="Z273">
        <f t="shared" si="19"/>
        <v>55</v>
      </c>
    </row>
    <row r="274" spans="1:26" x14ac:dyDescent="0.25">
      <c r="A274" s="5" t="s">
        <v>377</v>
      </c>
      <c r="B274" s="6">
        <v>47536</v>
      </c>
      <c r="C274" s="7" t="s">
        <v>108</v>
      </c>
      <c r="D274" s="7" t="s">
        <v>23</v>
      </c>
      <c r="E274" s="7">
        <v>30</v>
      </c>
      <c r="F274" s="7" t="s">
        <v>24</v>
      </c>
      <c r="G274" s="7" t="s">
        <v>59</v>
      </c>
      <c r="H274" s="7" t="s">
        <v>26</v>
      </c>
      <c r="I274" s="7" t="s">
        <v>27</v>
      </c>
      <c r="J274" s="7" t="s">
        <v>28</v>
      </c>
      <c r="K274" s="7" t="s">
        <v>29</v>
      </c>
      <c r="L274" s="7" t="s">
        <v>30</v>
      </c>
      <c r="M274" s="7" t="s">
        <v>31</v>
      </c>
      <c r="N274" s="7">
        <v>74000</v>
      </c>
      <c r="O274" s="7">
        <v>1</v>
      </c>
      <c r="P274" s="16">
        <v>0.1</v>
      </c>
      <c r="Q274" s="7">
        <v>8200</v>
      </c>
      <c r="R274" s="7" t="s">
        <v>32</v>
      </c>
      <c r="S274" s="7" t="s">
        <v>47</v>
      </c>
      <c r="T274" s="7" t="s">
        <v>34</v>
      </c>
      <c r="U274" s="7">
        <v>5</v>
      </c>
      <c r="V274" s="7" t="str">
        <f>TEXT('E-Commerce Sales Data'!$B274,"mmmm")</f>
        <v>February</v>
      </c>
      <c r="W274" s="8">
        <f t="shared" si="16"/>
        <v>4287800</v>
      </c>
      <c r="X274">
        <f t="shared" si="17"/>
        <v>928</v>
      </c>
      <c r="Y274">
        <f t="shared" si="18"/>
        <v>26911.196120689656</v>
      </c>
      <c r="Z274">
        <f t="shared" si="19"/>
        <v>55</v>
      </c>
    </row>
    <row r="275" spans="1:26" x14ac:dyDescent="0.25">
      <c r="A275" s="9" t="s">
        <v>378</v>
      </c>
      <c r="B275" s="10">
        <v>47543</v>
      </c>
      <c r="C275" s="11" t="s">
        <v>110</v>
      </c>
      <c r="D275" s="11" t="s">
        <v>37</v>
      </c>
      <c r="E275" s="11">
        <v>36</v>
      </c>
      <c r="F275" s="11" t="s">
        <v>38</v>
      </c>
      <c r="G275" s="11" t="s">
        <v>66</v>
      </c>
      <c r="H275" s="11" t="s">
        <v>67</v>
      </c>
      <c r="I275" s="11" t="s">
        <v>27</v>
      </c>
      <c r="J275" s="11" t="s">
        <v>28</v>
      </c>
      <c r="K275" s="11" t="s">
        <v>60</v>
      </c>
      <c r="L275" s="11" t="s">
        <v>92</v>
      </c>
      <c r="M275" s="11" t="s">
        <v>111</v>
      </c>
      <c r="N275" s="11">
        <v>1160</v>
      </c>
      <c r="O275" s="11">
        <v>15</v>
      </c>
      <c r="P275" s="17">
        <v>0.05</v>
      </c>
      <c r="Q275" s="11">
        <v>340</v>
      </c>
      <c r="R275" s="11" t="s">
        <v>80</v>
      </c>
      <c r="S275" s="11" t="s">
        <v>33</v>
      </c>
      <c r="T275" s="11" t="s">
        <v>34</v>
      </c>
      <c r="U275" s="11">
        <v>4</v>
      </c>
      <c r="V275" s="11" t="str">
        <f>TEXT('E-Commerce Sales Data'!$B275,"mmmm")</f>
        <v>March</v>
      </c>
      <c r="W275" s="8">
        <f t="shared" si="16"/>
        <v>4279600</v>
      </c>
      <c r="X275">
        <f t="shared" si="17"/>
        <v>927</v>
      </c>
      <c r="Y275">
        <f t="shared" si="18"/>
        <v>26860.399137001077</v>
      </c>
      <c r="Z275">
        <f t="shared" si="19"/>
        <v>55</v>
      </c>
    </row>
    <row r="276" spans="1:26" x14ac:dyDescent="0.25">
      <c r="A276" s="5" t="s">
        <v>379</v>
      </c>
      <c r="B276" s="6">
        <v>47550</v>
      </c>
      <c r="C276" s="7" t="s">
        <v>113</v>
      </c>
      <c r="D276" s="7" t="s">
        <v>114</v>
      </c>
      <c r="E276" s="7">
        <v>40</v>
      </c>
      <c r="F276" s="7" t="s">
        <v>24</v>
      </c>
      <c r="G276" s="7" t="s">
        <v>73</v>
      </c>
      <c r="H276" s="7" t="s">
        <v>74</v>
      </c>
      <c r="I276" s="7" t="s">
        <v>41</v>
      </c>
      <c r="J276" s="7" t="s">
        <v>42</v>
      </c>
      <c r="K276" s="7" t="s">
        <v>43</v>
      </c>
      <c r="L276" s="7" t="s">
        <v>44</v>
      </c>
      <c r="M276" s="7" t="s">
        <v>45</v>
      </c>
      <c r="N276" s="7">
        <v>10800</v>
      </c>
      <c r="O276" s="7">
        <v>4</v>
      </c>
      <c r="P276" s="16">
        <v>7.0000000000000007E-2</v>
      </c>
      <c r="Q276" s="7">
        <v>2320</v>
      </c>
      <c r="R276" s="7" t="s">
        <v>46</v>
      </c>
      <c r="S276" s="7" t="s">
        <v>33</v>
      </c>
      <c r="T276" s="7" t="s">
        <v>34</v>
      </c>
      <c r="U276" s="7">
        <v>4</v>
      </c>
      <c r="V276" s="7" t="str">
        <f>TEXT('E-Commerce Sales Data'!$B276,"mmmm")</f>
        <v>March</v>
      </c>
      <c r="W276" s="8">
        <f t="shared" si="16"/>
        <v>4279260</v>
      </c>
      <c r="X276">
        <f t="shared" si="17"/>
        <v>926</v>
      </c>
      <c r="Y276">
        <f t="shared" si="18"/>
        <v>26888.153347732183</v>
      </c>
      <c r="Z276">
        <f t="shared" si="19"/>
        <v>55</v>
      </c>
    </row>
    <row r="277" spans="1:26" x14ac:dyDescent="0.25">
      <c r="A277" s="9" t="s">
        <v>380</v>
      </c>
      <c r="B277" s="10">
        <v>47557</v>
      </c>
      <c r="C277" s="11" t="s">
        <v>116</v>
      </c>
      <c r="D277" s="11" t="s">
        <v>83</v>
      </c>
      <c r="E277" s="11">
        <v>27</v>
      </c>
      <c r="F277" s="11" t="s">
        <v>38</v>
      </c>
      <c r="G277" s="11" t="s">
        <v>39</v>
      </c>
      <c r="H277" s="11" t="s">
        <v>40</v>
      </c>
      <c r="I277" s="11" t="s">
        <v>41</v>
      </c>
      <c r="J277" s="11" t="s">
        <v>28</v>
      </c>
      <c r="K277" s="11" t="s">
        <v>29</v>
      </c>
      <c r="L277" s="11" t="s">
        <v>53</v>
      </c>
      <c r="M277" s="11" t="s">
        <v>54</v>
      </c>
      <c r="N277" s="11">
        <v>24300</v>
      </c>
      <c r="O277" s="11">
        <v>2</v>
      </c>
      <c r="P277" s="17">
        <v>0.05</v>
      </c>
      <c r="Q277" s="11">
        <v>4400</v>
      </c>
      <c r="R277" s="11" t="s">
        <v>32</v>
      </c>
      <c r="S277" s="11" t="s">
        <v>47</v>
      </c>
      <c r="T277" s="11" t="s">
        <v>34</v>
      </c>
      <c r="U277" s="11">
        <v>5</v>
      </c>
      <c r="V277" s="11" t="str">
        <f>TEXT('E-Commerce Sales Data'!$B277,"mmmm")</f>
        <v>March</v>
      </c>
      <c r="W277" s="8">
        <f t="shared" si="16"/>
        <v>4276940</v>
      </c>
      <c r="X277">
        <f t="shared" si="17"/>
        <v>925</v>
      </c>
      <c r="Y277">
        <f t="shared" si="18"/>
        <v>26905.545945945945</v>
      </c>
      <c r="Z277">
        <f t="shared" si="19"/>
        <v>55</v>
      </c>
    </row>
    <row r="278" spans="1:26" x14ac:dyDescent="0.25">
      <c r="A278" s="5" t="s">
        <v>381</v>
      </c>
      <c r="B278" s="6">
        <v>47564</v>
      </c>
      <c r="C278" s="7" t="s">
        <v>118</v>
      </c>
      <c r="D278" s="7" t="s">
        <v>72</v>
      </c>
      <c r="E278" s="7">
        <v>35</v>
      </c>
      <c r="F278" s="7" t="s">
        <v>24</v>
      </c>
      <c r="G278" s="7" t="s">
        <v>84</v>
      </c>
      <c r="H278" s="7" t="s">
        <v>85</v>
      </c>
      <c r="I278" s="7" t="s">
        <v>52</v>
      </c>
      <c r="J278" s="7" t="s">
        <v>42</v>
      </c>
      <c r="K278" s="7" t="s">
        <v>60</v>
      </c>
      <c r="L278" s="7" t="s">
        <v>61</v>
      </c>
      <c r="M278" s="7" t="s">
        <v>62</v>
      </c>
      <c r="N278" s="7">
        <v>4900</v>
      </c>
      <c r="O278" s="7">
        <v>10</v>
      </c>
      <c r="P278" s="16">
        <v>0.03</v>
      </c>
      <c r="Q278" s="7">
        <v>1180</v>
      </c>
      <c r="R278" s="7" t="s">
        <v>55</v>
      </c>
      <c r="S278" s="7" t="s">
        <v>33</v>
      </c>
      <c r="T278" s="7" t="s">
        <v>34</v>
      </c>
      <c r="U278" s="7">
        <v>4</v>
      </c>
      <c r="V278" s="7" t="str">
        <f>TEXT('E-Commerce Sales Data'!$B278,"mmmm")</f>
        <v>March</v>
      </c>
      <c r="W278" s="8">
        <f t="shared" si="16"/>
        <v>4272540</v>
      </c>
      <c r="X278">
        <f t="shared" si="17"/>
        <v>924</v>
      </c>
      <c r="Y278">
        <f t="shared" si="18"/>
        <v>26908.365800865802</v>
      </c>
      <c r="Z278">
        <f t="shared" si="19"/>
        <v>55</v>
      </c>
    </row>
    <row r="279" spans="1:26" x14ac:dyDescent="0.25">
      <c r="A279" s="9" t="s">
        <v>382</v>
      </c>
      <c r="B279" s="10">
        <v>47571</v>
      </c>
      <c r="C279" s="11" t="s">
        <v>120</v>
      </c>
      <c r="D279" s="11" t="s">
        <v>23</v>
      </c>
      <c r="E279" s="11">
        <v>24</v>
      </c>
      <c r="F279" s="11" t="s">
        <v>38</v>
      </c>
      <c r="G279" s="11" t="s">
        <v>25</v>
      </c>
      <c r="H279" s="11" t="s">
        <v>26</v>
      </c>
      <c r="I279" s="11" t="s">
        <v>27</v>
      </c>
      <c r="J279" s="11" t="s">
        <v>28</v>
      </c>
      <c r="K279" s="11" t="s">
        <v>43</v>
      </c>
      <c r="L279" s="11" t="s">
        <v>68</v>
      </c>
      <c r="M279" s="11" t="s">
        <v>69</v>
      </c>
      <c r="N279" s="11">
        <v>21200</v>
      </c>
      <c r="O279" s="11">
        <v>2</v>
      </c>
      <c r="P279" s="17">
        <v>0.1</v>
      </c>
      <c r="Q279" s="11">
        <v>3300</v>
      </c>
      <c r="R279" s="11" t="s">
        <v>32</v>
      </c>
      <c r="S279" s="11" t="s">
        <v>47</v>
      </c>
      <c r="T279" s="11" t="s">
        <v>34</v>
      </c>
      <c r="U279" s="11">
        <v>5</v>
      </c>
      <c r="V279" s="11" t="str">
        <f>TEXT('E-Commerce Sales Data'!$B279,"mmmm")</f>
        <v>March</v>
      </c>
      <c r="W279" s="8">
        <f t="shared" si="16"/>
        <v>4271360</v>
      </c>
      <c r="X279">
        <f t="shared" si="17"/>
        <v>923</v>
      </c>
      <c r="Y279">
        <f t="shared" si="18"/>
        <v>26932.210184182015</v>
      </c>
      <c r="Z279">
        <f t="shared" si="19"/>
        <v>55</v>
      </c>
    </row>
    <row r="280" spans="1:26" x14ac:dyDescent="0.25">
      <c r="A280" s="5" t="s">
        <v>383</v>
      </c>
      <c r="B280" s="6">
        <v>47578</v>
      </c>
      <c r="C280" s="7" t="s">
        <v>122</v>
      </c>
      <c r="D280" s="7" t="s">
        <v>50</v>
      </c>
      <c r="E280" s="7">
        <v>43</v>
      </c>
      <c r="F280" s="7" t="s">
        <v>24</v>
      </c>
      <c r="G280" s="7" t="s">
        <v>101</v>
      </c>
      <c r="H280" s="7" t="s">
        <v>102</v>
      </c>
      <c r="I280" s="7" t="s">
        <v>41</v>
      </c>
      <c r="J280" s="7" t="s">
        <v>42</v>
      </c>
      <c r="K280" s="7" t="s">
        <v>29</v>
      </c>
      <c r="L280" s="7" t="s">
        <v>53</v>
      </c>
      <c r="M280" s="7" t="s">
        <v>75</v>
      </c>
      <c r="N280" s="7">
        <v>3750</v>
      </c>
      <c r="O280" s="7">
        <v>4</v>
      </c>
      <c r="P280" s="16">
        <v>0.05</v>
      </c>
      <c r="Q280" s="7">
        <v>910</v>
      </c>
      <c r="R280" s="7" t="s">
        <v>46</v>
      </c>
      <c r="S280" s="7" t="s">
        <v>33</v>
      </c>
      <c r="T280" s="7" t="s">
        <v>34</v>
      </c>
      <c r="U280" s="7">
        <v>3</v>
      </c>
      <c r="V280" s="7" t="str">
        <f>TEXT('E-Commerce Sales Data'!$B280,"mmmm")</f>
        <v>April</v>
      </c>
      <c r="W280" s="8">
        <f t="shared" si="16"/>
        <v>4268060</v>
      </c>
      <c r="X280">
        <f t="shared" si="17"/>
        <v>922</v>
      </c>
      <c r="Y280">
        <f t="shared" si="18"/>
        <v>26938.4273318872</v>
      </c>
      <c r="Z280">
        <f t="shared" si="19"/>
        <v>55</v>
      </c>
    </row>
    <row r="281" spans="1:26" x14ac:dyDescent="0.25">
      <c r="A281" s="9" t="s">
        <v>384</v>
      </c>
      <c r="B281" s="10">
        <v>47585</v>
      </c>
      <c r="C281" s="11" t="s">
        <v>124</v>
      </c>
      <c r="D281" s="11" t="s">
        <v>100</v>
      </c>
      <c r="E281" s="11">
        <v>32</v>
      </c>
      <c r="F281" s="11" t="s">
        <v>38</v>
      </c>
      <c r="G281" s="11" t="s">
        <v>78</v>
      </c>
      <c r="H281" s="11" t="s">
        <v>26</v>
      </c>
      <c r="I281" s="11" t="s">
        <v>27</v>
      </c>
      <c r="J281" s="11" t="s">
        <v>28</v>
      </c>
      <c r="K281" s="11" t="s">
        <v>29</v>
      </c>
      <c r="L281" s="11" t="s">
        <v>53</v>
      </c>
      <c r="M281" s="11" t="s">
        <v>79</v>
      </c>
      <c r="N281" s="11">
        <v>2050</v>
      </c>
      <c r="O281" s="11">
        <v>7</v>
      </c>
      <c r="P281" s="17">
        <v>0</v>
      </c>
      <c r="Q281" s="11">
        <v>600</v>
      </c>
      <c r="R281" s="11" t="s">
        <v>32</v>
      </c>
      <c r="S281" s="11" t="s">
        <v>33</v>
      </c>
      <c r="T281" s="11" t="s">
        <v>34</v>
      </c>
      <c r="U281" s="11">
        <v>4</v>
      </c>
      <c r="V281" s="11" t="str">
        <f>TEXT('E-Commerce Sales Data'!$B281,"mmmm")</f>
        <v>April</v>
      </c>
      <c r="W281" s="8">
        <f t="shared" si="16"/>
        <v>4267150</v>
      </c>
      <c r="X281">
        <f t="shared" si="17"/>
        <v>921</v>
      </c>
      <c r="Y281">
        <f t="shared" si="18"/>
        <v>26963.604777415851</v>
      </c>
      <c r="Z281">
        <f t="shared" si="19"/>
        <v>55</v>
      </c>
    </row>
    <row r="282" spans="1:26" x14ac:dyDescent="0.25">
      <c r="A282" s="5" t="s">
        <v>385</v>
      </c>
      <c r="B282" s="6">
        <v>47592</v>
      </c>
      <c r="C282" s="7" t="s">
        <v>22</v>
      </c>
      <c r="D282" s="7" t="s">
        <v>23</v>
      </c>
      <c r="E282" s="7">
        <v>28</v>
      </c>
      <c r="F282" s="7" t="s">
        <v>24</v>
      </c>
      <c r="G282" s="7" t="s">
        <v>25</v>
      </c>
      <c r="H282" s="7" t="s">
        <v>26</v>
      </c>
      <c r="I282" s="7" t="s">
        <v>27</v>
      </c>
      <c r="J282" s="7" t="s">
        <v>28</v>
      </c>
      <c r="K282" s="7" t="s">
        <v>29</v>
      </c>
      <c r="L282" s="7" t="s">
        <v>30</v>
      </c>
      <c r="M282" s="7" t="s">
        <v>31</v>
      </c>
      <c r="N282" s="7">
        <v>70000</v>
      </c>
      <c r="O282" s="7">
        <v>1</v>
      </c>
      <c r="P282" s="16">
        <v>0.05</v>
      </c>
      <c r="Q282" s="7">
        <v>9250</v>
      </c>
      <c r="R282" s="7" t="s">
        <v>32</v>
      </c>
      <c r="S282" s="7" t="s">
        <v>47</v>
      </c>
      <c r="T282" s="7" t="s">
        <v>34</v>
      </c>
      <c r="U282" s="7">
        <v>5</v>
      </c>
      <c r="V282" s="7" t="str">
        <f>TEXT('E-Commerce Sales Data'!$B282,"mmmm")</f>
        <v>April</v>
      </c>
      <c r="W282" s="8">
        <f t="shared" si="16"/>
        <v>4266550</v>
      </c>
      <c r="X282">
        <f t="shared" si="17"/>
        <v>920</v>
      </c>
      <c r="Y282">
        <f t="shared" si="18"/>
        <v>26990.684782608696</v>
      </c>
      <c r="Z282">
        <f t="shared" si="19"/>
        <v>55</v>
      </c>
    </row>
    <row r="283" spans="1:26" x14ac:dyDescent="0.25">
      <c r="A283" s="9" t="s">
        <v>386</v>
      </c>
      <c r="B283" s="10">
        <v>47599</v>
      </c>
      <c r="C283" s="11" t="s">
        <v>36</v>
      </c>
      <c r="D283" s="11" t="s">
        <v>37</v>
      </c>
      <c r="E283" s="11">
        <v>34</v>
      </c>
      <c r="F283" s="11" t="s">
        <v>38</v>
      </c>
      <c r="G283" s="11" t="s">
        <v>39</v>
      </c>
      <c r="H283" s="11" t="s">
        <v>40</v>
      </c>
      <c r="I283" s="11" t="s">
        <v>41</v>
      </c>
      <c r="J283" s="11" t="s">
        <v>42</v>
      </c>
      <c r="K283" s="11" t="s">
        <v>43</v>
      </c>
      <c r="L283" s="11" t="s">
        <v>44</v>
      </c>
      <c r="M283" s="11" t="s">
        <v>45</v>
      </c>
      <c r="N283" s="11">
        <v>9600</v>
      </c>
      <c r="O283" s="11">
        <v>3</v>
      </c>
      <c r="P283" s="17">
        <v>0.1</v>
      </c>
      <c r="Q283" s="11">
        <v>2150</v>
      </c>
      <c r="R283" s="11" t="s">
        <v>46</v>
      </c>
      <c r="S283" s="11" t="s">
        <v>33</v>
      </c>
      <c r="T283" s="11" t="s">
        <v>34</v>
      </c>
      <c r="U283" s="11">
        <v>4</v>
      </c>
      <c r="V283" s="11" t="str">
        <f>TEXT('E-Commerce Sales Data'!$B283,"mmmm")</f>
        <v>April</v>
      </c>
      <c r="W283" s="8">
        <f t="shared" si="16"/>
        <v>4257300</v>
      </c>
      <c r="X283">
        <f t="shared" si="17"/>
        <v>919</v>
      </c>
      <c r="Y283">
        <f t="shared" si="18"/>
        <v>26943.884657236125</v>
      </c>
      <c r="Z283">
        <f t="shared" si="19"/>
        <v>55</v>
      </c>
    </row>
    <row r="284" spans="1:26" x14ac:dyDescent="0.25">
      <c r="A284" s="5" t="s">
        <v>387</v>
      </c>
      <c r="B284" s="6">
        <v>47606</v>
      </c>
      <c r="C284" s="7" t="s">
        <v>49</v>
      </c>
      <c r="D284" s="7" t="s">
        <v>50</v>
      </c>
      <c r="E284" s="7">
        <v>41</v>
      </c>
      <c r="F284" s="7" t="s">
        <v>24</v>
      </c>
      <c r="G284" s="7" t="s">
        <v>51</v>
      </c>
      <c r="H284" s="7" t="s">
        <v>51</v>
      </c>
      <c r="I284" s="7" t="s">
        <v>52</v>
      </c>
      <c r="J284" s="7" t="s">
        <v>28</v>
      </c>
      <c r="K284" s="7" t="s">
        <v>29</v>
      </c>
      <c r="L284" s="7" t="s">
        <v>53</v>
      </c>
      <c r="M284" s="7" t="s">
        <v>54</v>
      </c>
      <c r="N284" s="7">
        <v>22200</v>
      </c>
      <c r="O284" s="7">
        <v>2</v>
      </c>
      <c r="P284" s="16">
        <v>0.05</v>
      </c>
      <c r="Q284" s="7">
        <v>3950</v>
      </c>
      <c r="R284" s="7" t="s">
        <v>55</v>
      </c>
      <c r="S284" s="7" t="s">
        <v>33</v>
      </c>
      <c r="T284" s="7" t="s">
        <v>34</v>
      </c>
      <c r="U284" s="7">
        <v>4</v>
      </c>
      <c r="V284" s="7" t="str">
        <f>TEXT('E-Commerce Sales Data'!$B284,"mmmm")</f>
        <v>May</v>
      </c>
      <c r="W284" s="8">
        <f t="shared" si="16"/>
        <v>4255150</v>
      </c>
      <c r="X284">
        <f t="shared" si="17"/>
        <v>918</v>
      </c>
      <c r="Y284">
        <f t="shared" si="18"/>
        <v>26962.777777777777</v>
      </c>
      <c r="Z284">
        <f t="shared" si="19"/>
        <v>55</v>
      </c>
    </row>
    <row r="285" spans="1:26" x14ac:dyDescent="0.25">
      <c r="A285" s="9" t="s">
        <v>388</v>
      </c>
      <c r="B285" s="10">
        <v>47613</v>
      </c>
      <c r="C285" s="11" t="s">
        <v>57</v>
      </c>
      <c r="D285" s="11" t="s">
        <v>58</v>
      </c>
      <c r="E285" s="11">
        <v>26</v>
      </c>
      <c r="F285" s="11" t="s">
        <v>38</v>
      </c>
      <c r="G285" s="11" t="s">
        <v>59</v>
      </c>
      <c r="H285" s="11" t="s">
        <v>26</v>
      </c>
      <c r="I285" s="11" t="s">
        <v>27</v>
      </c>
      <c r="J285" s="11" t="s">
        <v>28</v>
      </c>
      <c r="K285" s="11" t="s">
        <v>60</v>
      </c>
      <c r="L285" s="11" t="s">
        <v>61</v>
      </c>
      <c r="M285" s="11" t="s">
        <v>86</v>
      </c>
      <c r="N285" s="11">
        <v>650</v>
      </c>
      <c r="O285" s="11">
        <v>20</v>
      </c>
      <c r="P285" s="17">
        <v>0.02</v>
      </c>
      <c r="Q285" s="11">
        <v>180</v>
      </c>
      <c r="R285" s="11" t="s">
        <v>32</v>
      </c>
      <c r="S285" s="11" t="s">
        <v>33</v>
      </c>
      <c r="T285" s="11" t="s">
        <v>34</v>
      </c>
      <c r="U285" s="11">
        <v>5</v>
      </c>
      <c r="V285" s="11" t="str">
        <f>TEXT('E-Commerce Sales Data'!$B285,"mmmm")</f>
        <v>May</v>
      </c>
      <c r="W285" s="8">
        <f t="shared" si="16"/>
        <v>4251200</v>
      </c>
      <c r="X285">
        <f t="shared" si="17"/>
        <v>917</v>
      </c>
      <c r="Y285">
        <f t="shared" si="18"/>
        <v>26967.971646673937</v>
      </c>
      <c r="Z285">
        <f t="shared" si="19"/>
        <v>55</v>
      </c>
    </row>
    <row r="286" spans="1:26" x14ac:dyDescent="0.25">
      <c r="A286" s="5" t="s">
        <v>389</v>
      </c>
      <c r="B286" s="6">
        <v>47620</v>
      </c>
      <c r="C286" s="7" t="s">
        <v>64</v>
      </c>
      <c r="D286" s="7" t="s">
        <v>65</v>
      </c>
      <c r="E286" s="7">
        <v>39</v>
      </c>
      <c r="F286" s="7" t="s">
        <v>24</v>
      </c>
      <c r="G286" s="7" t="s">
        <v>66</v>
      </c>
      <c r="H286" s="7" t="s">
        <v>67</v>
      </c>
      <c r="I286" s="7" t="s">
        <v>27</v>
      </c>
      <c r="J286" s="7" t="s">
        <v>42</v>
      </c>
      <c r="K286" s="7" t="s">
        <v>43</v>
      </c>
      <c r="L286" s="7" t="s">
        <v>68</v>
      </c>
      <c r="M286" s="7" t="s">
        <v>69</v>
      </c>
      <c r="N286" s="7">
        <v>21800</v>
      </c>
      <c r="O286" s="7">
        <v>2</v>
      </c>
      <c r="P286" s="16">
        <v>0.08</v>
      </c>
      <c r="Q286" s="7">
        <v>3650</v>
      </c>
      <c r="R286" s="7" t="s">
        <v>46</v>
      </c>
      <c r="S286" s="7" t="s">
        <v>47</v>
      </c>
      <c r="T286" s="7" t="s">
        <v>34</v>
      </c>
      <c r="U286" s="7">
        <v>4</v>
      </c>
      <c r="V286" s="7" t="str">
        <f>TEXT('E-Commerce Sales Data'!$B286,"mmmm")</f>
        <v>May</v>
      </c>
      <c r="W286" s="8">
        <f t="shared" si="16"/>
        <v>4251020</v>
      </c>
      <c r="X286">
        <f t="shared" si="17"/>
        <v>916</v>
      </c>
      <c r="Y286">
        <f t="shared" si="18"/>
        <v>26996.703056768558</v>
      </c>
      <c r="Z286">
        <f t="shared" si="19"/>
        <v>55</v>
      </c>
    </row>
    <row r="287" spans="1:26" x14ac:dyDescent="0.25">
      <c r="A287" s="9" t="s">
        <v>390</v>
      </c>
      <c r="B287" s="10">
        <v>47627</v>
      </c>
      <c r="C287" s="11" t="s">
        <v>71</v>
      </c>
      <c r="D287" s="11" t="s">
        <v>72</v>
      </c>
      <c r="E287" s="11">
        <v>31</v>
      </c>
      <c r="F287" s="11" t="s">
        <v>38</v>
      </c>
      <c r="G287" s="11" t="s">
        <v>73</v>
      </c>
      <c r="H287" s="11" t="s">
        <v>74</v>
      </c>
      <c r="I287" s="11" t="s">
        <v>41</v>
      </c>
      <c r="J287" s="11" t="s">
        <v>28</v>
      </c>
      <c r="K287" s="11" t="s">
        <v>29</v>
      </c>
      <c r="L287" s="11" t="s">
        <v>53</v>
      </c>
      <c r="M287" s="11" t="s">
        <v>75</v>
      </c>
      <c r="N287" s="11">
        <v>3450</v>
      </c>
      <c r="O287" s="11">
        <v>3</v>
      </c>
      <c r="P287" s="17">
        <v>0.05</v>
      </c>
      <c r="Q287" s="11">
        <v>840</v>
      </c>
      <c r="R287" s="11" t="s">
        <v>32</v>
      </c>
      <c r="S287" s="11" t="s">
        <v>33</v>
      </c>
      <c r="T287" s="11" t="s">
        <v>34</v>
      </c>
      <c r="U287" s="11">
        <v>4</v>
      </c>
      <c r="V287" s="11" t="str">
        <f>TEXT('E-Commerce Sales Data'!$B287,"mmmm")</f>
        <v>May</v>
      </c>
      <c r="W287" s="8">
        <f t="shared" si="16"/>
        <v>4247370</v>
      </c>
      <c r="X287">
        <f t="shared" si="17"/>
        <v>915</v>
      </c>
      <c r="Y287">
        <f t="shared" si="18"/>
        <v>27002.382513661203</v>
      </c>
      <c r="Z287">
        <f t="shared" si="19"/>
        <v>55</v>
      </c>
    </row>
    <row r="288" spans="1:26" x14ac:dyDescent="0.25">
      <c r="A288" s="5" t="s">
        <v>391</v>
      </c>
      <c r="B288" s="6">
        <v>47634</v>
      </c>
      <c r="C288" s="7" t="s">
        <v>77</v>
      </c>
      <c r="D288" s="7" t="s">
        <v>23</v>
      </c>
      <c r="E288" s="7">
        <v>29</v>
      </c>
      <c r="F288" s="7" t="s">
        <v>24</v>
      </c>
      <c r="G288" s="7" t="s">
        <v>78</v>
      </c>
      <c r="H288" s="7" t="s">
        <v>26</v>
      </c>
      <c r="I288" s="7" t="s">
        <v>27</v>
      </c>
      <c r="J288" s="7" t="s">
        <v>28</v>
      </c>
      <c r="K288" s="7" t="s">
        <v>29</v>
      </c>
      <c r="L288" s="7" t="s">
        <v>53</v>
      </c>
      <c r="M288" s="7" t="s">
        <v>79</v>
      </c>
      <c r="N288" s="7">
        <v>2120</v>
      </c>
      <c r="O288" s="7">
        <v>6</v>
      </c>
      <c r="P288" s="16">
        <v>0</v>
      </c>
      <c r="Q288" s="7">
        <v>620</v>
      </c>
      <c r="R288" s="7" t="s">
        <v>80</v>
      </c>
      <c r="S288" s="7" t="s">
        <v>33</v>
      </c>
      <c r="T288" s="7" t="s">
        <v>34</v>
      </c>
      <c r="U288" s="7">
        <v>3</v>
      </c>
      <c r="V288" s="7" t="str">
        <f>TEXT('E-Commerce Sales Data'!$B288,"mmmm")</f>
        <v>May</v>
      </c>
      <c r="W288" s="8">
        <f t="shared" si="16"/>
        <v>4246530</v>
      </c>
      <c r="X288">
        <f t="shared" si="17"/>
        <v>914</v>
      </c>
      <c r="Y288">
        <f t="shared" si="18"/>
        <v>27028.150984682714</v>
      </c>
      <c r="Z288">
        <f t="shared" si="19"/>
        <v>55</v>
      </c>
    </row>
    <row r="289" spans="1:26" x14ac:dyDescent="0.25">
      <c r="A289" s="9" t="s">
        <v>392</v>
      </c>
      <c r="B289" s="10">
        <v>47641</v>
      </c>
      <c r="C289" s="11" t="s">
        <v>82</v>
      </c>
      <c r="D289" s="11" t="s">
        <v>83</v>
      </c>
      <c r="E289" s="11">
        <v>37</v>
      </c>
      <c r="F289" s="11" t="s">
        <v>38</v>
      </c>
      <c r="G289" s="11" t="s">
        <v>84</v>
      </c>
      <c r="H289" s="11" t="s">
        <v>85</v>
      </c>
      <c r="I289" s="11" t="s">
        <v>52</v>
      </c>
      <c r="J289" s="11" t="s">
        <v>42</v>
      </c>
      <c r="K289" s="11" t="s">
        <v>60</v>
      </c>
      <c r="L289" s="11" t="s">
        <v>61</v>
      </c>
      <c r="M289" s="11" t="s">
        <v>62</v>
      </c>
      <c r="N289" s="11">
        <v>5000</v>
      </c>
      <c r="O289" s="11">
        <v>10</v>
      </c>
      <c r="P289" s="17">
        <v>0.02</v>
      </c>
      <c r="Q289" s="11">
        <v>1220</v>
      </c>
      <c r="R289" s="11" t="s">
        <v>32</v>
      </c>
      <c r="S289" s="11" t="s">
        <v>33</v>
      </c>
      <c r="T289" s="11" t="s">
        <v>34</v>
      </c>
      <c r="U289" s="11">
        <v>5</v>
      </c>
      <c r="V289" s="11" t="str">
        <f>TEXT('E-Commerce Sales Data'!$B289,"mmmm")</f>
        <v>June</v>
      </c>
      <c r="W289" s="8">
        <f t="shared" si="16"/>
        <v>4245910</v>
      </c>
      <c r="X289">
        <f t="shared" si="17"/>
        <v>913</v>
      </c>
      <c r="Y289">
        <f t="shared" si="18"/>
        <v>27055.432639649509</v>
      </c>
      <c r="Z289">
        <f t="shared" si="19"/>
        <v>55</v>
      </c>
    </row>
    <row r="290" spans="1:26" x14ac:dyDescent="0.25">
      <c r="A290" s="5" t="s">
        <v>393</v>
      </c>
      <c r="B290" s="6">
        <v>47648</v>
      </c>
      <c r="C290" s="7" t="s">
        <v>88</v>
      </c>
      <c r="D290" s="7" t="s">
        <v>37</v>
      </c>
      <c r="E290" s="7">
        <v>45</v>
      </c>
      <c r="F290" s="7" t="s">
        <v>24</v>
      </c>
      <c r="G290" s="7" t="s">
        <v>89</v>
      </c>
      <c r="H290" s="7" t="s">
        <v>90</v>
      </c>
      <c r="I290" s="7" t="s">
        <v>91</v>
      </c>
      <c r="J290" s="7" t="s">
        <v>42</v>
      </c>
      <c r="K290" s="7" t="s">
        <v>43</v>
      </c>
      <c r="L290" s="7" t="s">
        <v>92</v>
      </c>
      <c r="M290" s="7" t="s">
        <v>93</v>
      </c>
      <c r="N290" s="7">
        <v>15800</v>
      </c>
      <c r="O290" s="7">
        <v>1</v>
      </c>
      <c r="P290" s="16">
        <v>0.1</v>
      </c>
      <c r="Q290" s="7">
        <v>2700</v>
      </c>
      <c r="R290" s="7" t="s">
        <v>46</v>
      </c>
      <c r="S290" s="7" t="s">
        <v>47</v>
      </c>
      <c r="T290" s="7" t="s">
        <v>34</v>
      </c>
      <c r="U290" s="7">
        <v>4</v>
      </c>
      <c r="V290" s="7" t="str">
        <f>TEXT('E-Commerce Sales Data'!$B290,"mmmm")</f>
        <v>June</v>
      </c>
      <c r="W290" s="8">
        <f t="shared" si="16"/>
        <v>4244690</v>
      </c>
      <c r="X290">
        <f t="shared" si="17"/>
        <v>912</v>
      </c>
      <c r="Y290">
        <f t="shared" si="18"/>
        <v>27079.616228070176</v>
      </c>
      <c r="Z290">
        <f t="shared" si="19"/>
        <v>55</v>
      </c>
    </row>
    <row r="291" spans="1:26" x14ac:dyDescent="0.25">
      <c r="A291" s="9" t="s">
        <v>394</v>
      </c>
      <c r="B291" s="10">
        <v>47655</v>
      </c>
      <c r="C291" s="11" t="s">
        <v>95</v>
      </c>
      <c r="D291" s="11" t="s">
        <v>65</v>
      </c>
      <c r="E291" s="11">
        <v>25</v>
      </c>
      <c r="F291" s="11" t="s">
        <v>38</v>
      </c>
      <c r="G291" s="11" t="s">
        <v>25</v>
      </c>
      <c r="H291" s="11" t="s">
        <v>26</v>
      </c>
      <c r="I291" s="11" t="s">
        <v>27</v>
      </c>
      <c r="J291" s="11" t="s">
        <v>28</v>
      </c>
      <c r="K291" s="11" t="s">
        <v>29</v>
      </c>
      <c r="L291" s="11" t="s">
        <v>96</v>
      </c>
      <c r="M291" s="11" t="s">
        <v>97</v>
      </c>
      <c r="N291" s="11">
        <v>18000</v>
      </c>
      <c r="O291" s="11">
        <v>2</v>
      </c>
      <c r="P291" s="17">
        <v>0.05</v>
      </c>
      <c r="Q291" s="11">
        <v>3450</v>
      </c>
      <c r="R291" s="11" t="s">
        <v>32</v>
      </c>
      <c r="S291" s="11" t="s">
        <v>33</v>
      </c>
      <c r="T291" s="11" t="s">
        <v>34</v>
      </c>
      <c r="U291" s="11">
        <v>4</v>
      </c>
      <c r="V291" s="11" t="str">
        <f>TEXT('E-Commerce Sales Data'!$B291,"mmmm")</f>
        <v>June</v>
      </c>
      <c r="W291" s="8">
        <f t="shared" si="16"/>
        <v>4241990</v>
      </c>
      <c r="X291">
        <f t="shared" si="17"/>
        <v>911</v>
      </c>
      <c r="Y291">
        <f t="shared" si="18"/>
        <v>27091.997804610317</v>
      </c>
      <c r="Z291">
        <f t="shared" si="19"/>
        <v>55</v>
      </c>
    </row>
    <row r="292" spans="1:26" x14ac:dyDescent="0.25">
      <c r="A292" s="5" t="s">
        <v>395</v>
      </c>
      <c r="B292" s="6">
        <v>47662</v>
      </c>
      <c r="C292" s="7" t="s">
        <v>99</v>
      </c>
      <c r="D292" s="7" t="s">
        <v>100</v>
      </c>
      <c r="E292" s="7">
        <v>33</v>
      </c>
      <c r="F292" s="7" t="s">
        <v>24</v>
      </c>
      <c r="G292" s="7" t="s">
        <v>101</v>
      </c>
      <c r="H292" s="7" t="s">
        <v>102</v>
      </c>
      <c r="I292" s="7" t="s">
        <v>41</v>
      </c>
      <c r="J292" s="7" t="s">
        <v>28</v>
      </c>
      <c r="K292" s="7" t="s">
        <v>60</v>
      </c>
      <c r="L292" s="7" t="s">
        <v>53</v>
      </c>
      <c r="M292" s="7" t="s">
        <v>103</v>
      </c>
      <c r="N292" s="7">
        <v>930</v>
      </c>
      <c r="O292" s="7">
        <v>25</v>
      </c>
      <c r="P292" s="16">
        <v>0</v>
      </c>
      <c r="Q292" s="7">
        <v>280</v>
      </c>
      <c r="R292" s="7" t="s">
        <v>55</v>
      </c>
      <c r="S292" s="7" t="s">
        <v>33</v>
      </c>
      <c r="T292" s="7" t="s">
        <v>34</v>
      </c>
      <c r="U292" s="7">
        <v>5</v>
      </c>
      <c r="V292" s="7" t="str">
        <f>TEXT('E-Commerce Sales Data'!$B292,"mmmm")</f>
        <v>June</v>
      </c>
      <c r="W292" s="8">
        <f t="shared" si="16"/>
        <v>4238540</v>
      </c>
      <c r="X292">
        <f t="shared" si="17"/>
        <v>910</v>
      </c>
      <c r="Y292">
        <f t="shared" si="18"/>
        <v>27101.989010989011</v>
      </c>
      <c r="Z292">
        <f t="shared" si="19"/>
        <v>55</v>
      </c>
    </row>
    <row r="293" spans="1:26" x14ac:dyDescent="0.25">
      <c r="A293" s="9" t="s">
        <v>396</v>
      </c>
      <c r="B293" s="10">
        <v>47669</v>
      </c>
      <c r="C293" s="11" t="s">
        <v>105</v>
      </c>
      <c r="D293" s="11" t="s">
        <v>58</v>
      </c>
      <c r="E293" s="11">
        <v>42</v>
      </c>
      <c r="F293" s="11" t="s">
        <v>38</v>
      </c>
      <c r="G293" s="11" t="s">
        <v>51</v>
      </c>
      <c r="H293" s="11" t="s">
        <v>51</v>
      </c>
      <c r="I293" s="11" t="s">
        <v>52</v>
      </c>
      <c r="J293" s="11" t="s">
        <v>42</v>
      </c>
      <c r="K293" s="11" t="s">
        <v>43</v>
      </c>
      <c r="L293" s="11" t="s">
        <v>68</v>
      </c>
      <c r="M293" s="11" t="s">
        <v>106</v>
      </c>
      <c r="N293" s="11">
        <v>26600</v>
      </c>
      <c r="O293" s="11">
        <v>1</v>
      </c>
      <c r="P293" s="17">
        <v>0.08</v>
      </c>
      <c r="Q293" s="11">
        <v>5200</v>
      </c>
      <c r="R293" s="11" t="s">
        <v>46</v>
      </c>
      <c r="S293" s="11" t="s">
        <v>47</v>
      </c>
      <c r="T293" s="11" t="s">
        <v>34</v>
      </c>
      <c r="U293" s="11">
        <v>4</v>
      </c>
      <c r="V293" s="11" t="str">
        <f>TEXT('E-Commerce Sales Data'!$B293,"mmmm")</f>
        <v>July</v>
      </c>
      <c r="W293" s="8">
        <f t="shared" si="16"/>
        <v>4238260</v>
      </c>
      <c r="X293">
        <f t="shared" si="17"/>
        <v>909</v>
      </c>
      <c r="Y293">
        <f t="shared" si="18"/>
        <v>27130.781078107811</v>
      </c>
      <c r="Z293">
        <f t="shared" si="19"/>
        <v>55</v>
      </c>
    </row>
    <row r="294" spans="1:26" x14ac:dyDescent="0.25">
      <c r="A294" s="5" t="s">
        <v>397</v>
      </c>
      <c r="B294" s="6">
        <v>47676</v>
      </c>
      <c r="C294" s="7" t="s">
        <v>108</v>
      </c>
      <c r="D294" s="7" t="s">
        <v>23</v>
      </c>
      <c r="E294" s="7">
        <v>30</v>
      </c>
      <c r="F294" s="7" t="s">
        <v>24</v>
      </c>
      <c r="G294" s="7" t="s">
        <v>59</v>
      </c>
      <c r="H294" s="7" t="s">
        <v>26</v>
      </c>
      <c r="I294" s="7" t="s">
        <v>27</v>
      </c>
      <c r="J294" s="7" t="s">
        <v>28</v>
      </c>
      <c r="K294" s="7" t="s">
        <v>29</v>
      </c>
      <c r="L294" s="7" t="s">
        <v>30</v>
      </c>
      <c r="M294" s="7" t="s">
        <v>31</v>
      </c>
      <c r="N294" s="7">
        <v>75500</v>
      </c>
      <c r="O294" s="7">
        <v>1</v>
      </c>
      <c r="P294" s="16">
        <v>0.1</v>
      </c>
      <c r="Q294" s="7">
        <v>8400</v>
      </c>
      <c r="R294" s="7" t="s">
        <v>32</v>
      </c>
      <c r="S294" s="7" t="s">
        <v>47</v>
      </c>
      <c r="T294" s="7" t="s">
        <v>34</v>
      </c>
      <c r="U294" s="7">
        <v>5</v>
      </c>
      <c r="V294" s="7" t="str">
        <f>TEXT('E-Commerce Sales Data'!$B294,"mmmm")</f>
        <v>July</v>
      </c>
      <c r="W294" s="8">
        <f t="shared" si="16"/>
        <v>4233060</v>
      </c>
      <c r="X294">
        <f t="shared" si="17"/>
        <v>908</v>
      </c>
      <c r="Y294">
        <f t="shared" si="18"/>
        <v>27131.365638766521</v>
      </c>
      <c r="Z294">
        <f t="shared" si="19"/>
        <v>55</v>
      </c>
    </row>
    <row r="295" spans="1:26" x14ac:dyDescent="0.25">
      <c r="A295" s="9" t="s">
        <v>398</v>
      </c>
      <c r="B295" s="10">
        <v>47683</v>
      </c>
      <c r="C295" s="11" t="s">
        <v>110</v>
      </c>
      <c r="D295" s="11" t="s">
        <v>37</v>
      </c>
      <c r="E295" s="11">
        <v>36</v>
      </c>
      <c r="F295" s="11" t="s">
        <v>38</v>
      </c>
      <c r="G295" s="11" t="s">
        <v>66</v>
      </c>
      <c r="H295" s="11" t="s">
        <v>67</v>
      </c>
      <c r="I295" s="11" t="s">
        <v>27</v>
      </c>
      <c r="J295" s="11" t="s">
        <v>28</v>
      </c>
      <c r="K295" s="11" t="s">
        <v>60</v>
      </c>
      <c r="L295" s="11" t="s">
        <v>92</v>
      </c>
      <c r="M295" s="11" t="s">
        <v>111</v>
      </c>
      <c r="N295" s="11">
        <v>1200</v>
      </c>
      <c r="O295" s="11">
        <v>15</v>
      </c>
      <c r="P295" s="17">
        <v>0.05</v>
      </c>
      <c r="Q295" s="11">
        <v>350</v>
      </c>
      <c r="R295" s="11" t="s">
        <v>80</v>
      </c>
      <c r="S295" s="11" t="s">
        <v>33</v>
      </c>
      <c r="T295" s="11" t="s">
        <v>34</v>
      </c>
      <c r="U295" s="11">
        <v>4</v>
      </c>
      <c r="V295" s="11" t="str">
        <f>TEXT('E-Commerce Sales Data'!$B295,"mmmm")</f>
        <v>July</v>
      </c>
      <c r="W295" s="8">
        <f t="shared" si="16"/>
        <v>4224660</v>
      </c>
      <c r="X295">
        <f t="shared" si="17"/>
        <v>907</v>
      </c>
      <c r="Y295">
        <f t="shared" si="18"/>
        <v>27078.037486218302</v>
      </c>
      <c r="Z295">
        <f t="shared" si="19"/>
        <v>55</v>
      </c>
    </row>
    <row r="296" spans="1:26" x14ac:dyDescent="0.25">
      <c r="A296" s="5" t="s">
        <v>399</v>
      </c>
      <c r="B296" s="6">
        <v>47690</v>
      </c>
      <c r="C296" s="7" t="s">
        <v>113</v>
      </c>
      <c r="D296" s="7" t="s">
        <v>114</v>
      </c>
      <c r="E296" s="7">
        <v>40</v>
      </c>
      <c r="F296" s="7" t="s">
        <v>24</v>
      </c>
      <c r="G296" s="7" t="s">
        <v>73</v>
      </c>
      <c r="H296" s="7" t="s">
        <v>74</v>
      </c>
      <c r="I296" s="7" t="s">
        <v>41</v>
      </c>
      <c r="J296" s="7" t="s">
        <v>42</v>
      </c>
      <c r="K296" s="7" t="s">
        <v>43</v>
      </c>
      <c r="L296" s="7" t="s">
        <v>44</v>
      </c>
      <c r="M296" s="7" t="s">
        <v>45</v>
      </c>
      <c r="N296" s="7">
        <v>11200</v>
      </c>
      <c r="O296" s="7">
        <v>4</v>
      </c>
      <c r="P296" s="16">
        <v>7.0000000000000007E-2</v>
      </c>
      <c r="Q296" s="7">
        <v>2400</v>
      </c>
      <c r="R296" s="7" t="s">
        <v>46</v>
      </c>
      <c r="S296" s="7" t="s">
        <v>33</v>
      </c>
      <c r="T296" s="7" t="s">
        <v>34</v>
      </c>
      <c r="U296" s="7">
        <v>4</v>
      </c>
      <c r="V296" s="7" t="str">
        <f>TEXT('E-Commerce Sales Data'!$B296,"mmmm")</f>
        <v>July</v>
      </c>
      <c r="W296" s="8">
        <f t="shared" si="16"/>
        <v>4224310</v>
      </c>
      <c r="X296">
        <f t="shared" si="17"/>
        <v>906</v>
      </c>
      <c r="Y296">
        <f t="shared" si="18"/>
        <v>27106.600441501105</v>
      </c>
      <c r="Z296">
        <f t="shared" si="19"/>
        <v>55</v>
      </c>
    </row>
    <row r="297" spans="1:26" x14ac:dyDescent="0.25">
      <c r="A297" s="9" t="s">
        <v>400</v>
      </c>
      <c r="B297" s="10">
        <v>47697</v>
      </c>
      <c r="C297" s="11" t="s">
        <v>116</v>
      </c>
      <c r="D297" s="11" t="s">
        <v>83</v>
      </c>
      <c r="E297" s="11">
        <v>27</v>
      </c>
      <c r="F297" s="11" t="s">
        <v>38</v>
      </c>
      <c r="G297" s="11" t="s">
        <v>39</v>
      </c>
      <c r="H297" s="11" t="s">
        <v>40</v>
      </c>
      <c r="I297" s="11" t="s">
        <v>41</v>
      </c>
      <c r="J297" s="11" t="s">
        <v>28</v>
      </c>
      <c r="K297" s="11" t="s">
        <v>29</v>
      </c>
      <c r="L297" s="11" t="s">
        <v>53</v>
      </c>
      <c r="M297" s="11" t="s">
        <v>54</v>
      </c>
      <c r="N297" s="11">
        <v>25000</v>
      </c>
      <c r="O297" s="11">
        <v>2</v>
      </c>
      <c r="P297" s="17">
        <v>0.05</v>
      </c>
      <c r="Q297" s="11">
        <v>4550</v>
      </c>
      <c r="R297" s="11" t="s">
        <v>32</v>
      </c>
      <c r="S297" s="11" t="s">
        <v>47</v>
      </c>
      <c r="T297" s="11" t="s">
        <v>34</v>
      </c>
      <c r="U297" s="11">
        <v>5</v>
      </c>
      <c r="V297" s="11" t="str">
        <f>TEXT('E-Commerce Sales Data'!$B297,"mmmm")</f>
        <v>August</v>
      </c>
      <c r="W297" s="8">
        <f t="shared" si="16"/>
        <v>4221910</v>
      </c>
      <c r="X297">
        <f t="shared" si="17"/>
        <v>905</v>
      </c>
      <c r="Y297">
        <f t="shared" si="18"/>
        <v>27124.176795580112</v>
      </c>
      <c r="Z297">
        <f t="shared" si="19"/>
        <v>55</v>
      </c>
    </row>
    <row r="298" spans="1:26" x14ac:dyDescent="0.25">
      <c r="A298" s="5" t="s">
        <v>401</v>
      </c>
      <c r="B298" s="6">
        <v>47704</v>
      </c>
      <c r="C298" s="7" t="s">
        <v>118</v>
      </c>
      <c r="D298" s="7" t="s">
        <v>72</v>
      </c>
      <c r="E298" s="7">
        <v>35</v>
      </c>
      <c r="F298" s="7" t="s">
        <v>24</v>
      </c>
      <c r="G298" s="7" t="s">
        <v>84</v>
      </c>
      <c r="H298" s="7" t="s">
        <v>85</v>
      </c>
      <c r="I298" s="7" t="s">
        <v>52</v>
      </c>
      <c r="J298" s="7" t="s">
        <v>42</v>
      </c>
      <c r="K298" s="7" t="s">
        <v>60</v>
      </c>
      <c r="L298" s="7" t="s">
        <v>61</v>
      </c>
      <c r="M298" s="7" t="s">
        <v>62</v>
      </c>
      <c r="N298" s="7">
        <v>5100</v>
      </c>
      <c r="O298" s="7">
        <v>10</v>
      </c>
      <c r="P298" s="16">
        <v>0.03</v>
      </c>
      <c r="Q298" s="7">
        <v>1240</v>
      </c>
      <c r="R298" s="7" t="s">
        <v>55</v>
      </c>
      <c r="S298" s="7" t="s">
        <v>33</v>
      </c>
      <c r="T298" s="7" t="s">
        <v>34</v>
      </c>
      <c r="U298" s="7">
        <v>4</v>
      </c>
      <c r="V298" s="7" t="str">
        <f>TEXT('E-Commerce Sales Data'!$B298,"mmmm")</f>
        <v>August</v>
      </c>
      <c r="W298" s="8">
        <f t="shared" si="16"/>
        <v>4217360</v>
      </c>
      <c r="X298">
        <f t="shared" si="17"/>
        <v>904</v>
      </c>
      <c r="Y298">
        <f t="shared" si="18"/>
        <v>27126.526548672566</v>
      </c>
      <c r="Z298">
        <f t="shared" si="19"/>
        <v>55</v>
      </c>
    </row>
    <row r="299" spans="1:26" x14ac:dyDescent="0.25">
      <c r="A299" s="9" t="s">
        <v>402</v>
      </c>
      <c r="B299" s="10">
        <v>47711</v>
      </c>
      <c r="C299" s="11" t="s">
        <v>120</v>
      </c>
      <c r="D299" s="11" t="s">
        <v>23</v>
      </c>
      <c r="E299" s="11">
        <v>24</v>
      </c>
      <c r="F299" s="11" t="s">
        <v>38</v>
      </c>
      <c r="G299" s="11" t="s">
        <v>25</v>
      </c>
      <c r="H299" s="11" t="s">
        <v>26</v>
      </c>
      <c r="I299" s="11" t="s">
        <v>27</v>
      </c>
      <c r="J299" s="11" t="s">
        <v>28</v>
      </c>
      <c r="K299" s="11" t="s">
        <v>43</v>
      </c>
      <c r="L299" s="11" t="s">
        <v>68</v>
      </c>
      <c r="M299" s="11" t="s">
        <v>69</v>
      </c>
      <c r="N299" s="11">
        <v>22000</v>
      </c>
      <c r="O299" s="11">
        <v>2</v>
      </c>
      <c r="P299" s="17">
        <v>0.1</v>
      </c>
      <c r="Q299" s="11">
        <v>3450</v>
      </c>
      <c r="R299" s="11" t="s">
        <v>32</v>
      </c>
      <c r="S299" s="11" t="s">
        <v>47</v>
      </c>
      <c r="T299" s="11" t="s">
        <v>34</v>
      </c>
      <c r="U299" s="11">
        <v>5</v>
      </c>
      <c r="V299" s="11" t="str">
        <f>TEXT('E-Commerce Sales Data'!$B299,"mmmm")</f>
        <v>August</v>
      </c>
      <c r="W299" s="8">
        <f t="shared" si="16"/>
        <v>4216120</v>
      </c>
      <c r="X299">
        <f t="shared" si="17"/>
        <v>903</v>
      </c>
      <c r="Y299">
        <f t="shared" si="18"/>
        <v>27150.919158361019</v>
      </c>
      <c r="Z299">
        <f t="shared" si="19"/>
        <v>55</v>
      </c>
    </row>
    <row r="300" spans="1:26" x14ac:dyDescent="0.25">
      <c r="A300" s="5" t="s">
        <v>403</v>
      </c>
      <c r="B300" s="6">
        <v>47718</v>
      </c>
      <c r="C300" s="7" t="s">
        <v>122</v>
      </c>
      <c r="D300" s="7" t="s">
        <v>50</v>
      </c>
      <c r="E300" s="7">
        <v>43</v>
      </c>
      <c r="F300" s="7" t="s">
        <v>24</v>
      </c>
      <c r="G300" s="7" t="s">
        <v>101</v>
      </c>
      <c r="H300" s="7" t="s">
        <v>102</v>
      </c>
      <c r="I300" s="7" t="s">
        <v>41</v>
      </c>
      <c r="J300" s="7" t="s">
        <v>42</v>
      </c>
      <c r="K300" s="7" t="s">
        <v>29</v>
      </c>
      <c r="L300" s="7" t="s">
        <v>53</v>
      </c>
      <c r="M300" s="7" t="s">
        <v>75</v>
      </c>
      <c r="N300" s="7">
        <v>3850</v>
      </c>
      <c r="O300" s="7">
        <v>4</v>
      </c>
      <c r="P300" s="16">
        <v>0.05</v>
      </c>
      <c r="Q300" s="7">
        <v>940</v>
      </c>
      <c r="R300" s="7" t="s">
        <v>46</v>
      </c>
      <c r="S300" s="7" t="s">
        <v>33</v>
      </c>
      <c r="T300" s="7" t="s">
        <v>34</v>
      </c>
      <c r="U300" s="7">
        <v>3</v>
      </c>
      <c r="V300" s="7" t="str">
        <f>TEXT('E-Commerce Sales Data'!$B300,"mmmm")</f>
        <v>August</v>
      </c>
      <c r="W300" s="8">
        <f t="shared" si="16"/>
        <v>4212670</v>
      </c>
      <c r="X300">
        <f t="shared" si="17"/>
        <v>902</v>
      </c>
      <c r="Y300">
        <f t="shared" si="18"/>
        <v>27156.629711751662</v>
      </c>
      <c r="Z300">
        <f t="shared" si="19"/>
        <v>55</v>
      </c>
    </row>
    <row r="301" spans="1:26" x14ac:dyDescent="0.25">
      <c r="A301" s="9" t="s">
        <v>404</v>
      </c>
      <c r="B301" s="10">
        <v>47725</v>
      </c>
      <c r="C301" s="11" t="s">
        <v>124</v>
      </c>
      <c r="D301" s="11" t="s">
        <v>100</v>
      </c>
      <c r="E301" s="11">
        <v>32</v>
      </c>
      <c r="F301" s="11" t="s">
        <v>38</v>
      </c>
      <c r="G301" s="11" t="s">
        <v>78</v>
      </c>
      <c r="H301" s="11" t="s">
        <v>26</v>
      </c>
      <c r="I301" s="11" t="s">
        <v>27</v>
      </c>
      <c r="J301" s="11" t="s">
        <v>28</v>
      </c>
      <c r="K301" s="11" t="s">
        <v>29</v>
      </c>
      <c r="L301" s="11" t="s">
        <v>53</v>
      </c>
      <c r="M301" s="11" t="s">
        <v>79</v>
      </c>
      <c r="N301" s="11">
        <v>2200</v>
      </c>
      <c r="O301" s="11">
        <v>7</v>
      </c>
      <c r="P301" s="17">
        <v>0</v>
      </c>
      <c r="Q301" s="11">
        <v>650</v>
      </c>
      <c r="R301" s="11" t="s">
        <v>32</v>
      </c>
      <c r="S301" s="11" t="s">
        <v>33</v>
      </c>
      <c r="T301" s="11" t="s">
        <v>34</v>
      </c>
      <c r="U301" s="11">
        <v>4</v>
      </c>
      <c r="V301" s="11" t="str">
        <f>TEXT('E-Commerce Sales Data'!$B301,"mmmm")</f>
        <v>August</v>
      </c>
      <c r="W301" s="8">
        <f t="shared" si="16"/>
        <v>4211730</v>
      </c>
      <c r="X301">
        <f t="shared" si="17"/>
        <v>901</v>
      </c>
      <c r="Y301">
        <f t="shared" si="18"/>
        <v>27182.497225305215</v>
      </c>
      <c r="Z301">
        <f t="shared" si="19"/>
        <v>55</v>
      </c>
    </row>
    <row r="302" spans="1:26" x14ac:dyDescent="0.25">
      <c r="A302" s="5" t="s">
        <v>405</v>
      </c>
      <c r="B302" s="6">
        <v>47732</v>
      </c>
      <c r="C302" s="7" t="s">
        <v>22</v>
      </c>
      <c r="D302" s="7" t="s">
        <v>23</v>
      </c>
      <c r="E302" s="7">
        <v>28</v>
      </c>
      <c r="F302" s="7" t="s">
        <v>24</v>
      </c>
      <c r="G302" s="7" t="s">
        <v>25</v>
      </c>
      <c r="H302" s="7" t="s">
        <v>26</v>
      </c>
      <c r="I302" s="7" t="s">
        <v>27</v>
      </c>
      <c r="J302" s="7" t="s">
        <v>28</v>
      </c>
      <c r="K302" s="7" t="s">
        <v>29</v>
      </c>
      <c r="L302" s="7" t="s">
        <v>30</v>
      </c>
      <c r="M302" s="7" t="s">
        <v>31</v>
      </c>
      <c r="N302" s="7">
        <v>71500</v>
      </c>
      <c r="O302" s="7">
        <v>1</v>
      </c>
      <c r="P302" s="16">
        <v>0.05</v>
      </c>
      <c r="Q302" s="7">
        <v>9500</v>
      </c>
      <c r="R302" s="7" t="s">
        <v>32</v>
      </c>
      <c r="S302" s="7" t="s">
        <v>47</v>
      </c>
      <c r="T302" s="7" t="s">
        <v>34</v>
      </c>
      <c r="U302" s="7">
        <v>5</v>
      </c>
      <c r="V302" s="7" t="str">
        <f>TEXT('E-Commerce Sales Data'!$B302,"mmmm")</f>
        <v>September</v>
      </c>
      <c r="W302" s="8">
        <f t="shared" si="16"/>
        <v>4211080</v>
      </c>
      <c r="X302">
        <f t="shared" si="17"/>
        <v>900</v>
      </c>
      <c r="Y302">
        <f t="shared" si="18"/>
        <v>27210.255555555555</v>
      </c>
      <c r="Z302">
        <f t="shared" si="19"/>
        <v>55</v>
      </c>
    </row>
    <row r="303" spans="1:26" x14ac:dyDescent="0.25">
      <c r="A303" s="9" t="s">
        <v>406</v>
      </c>
      <c r="B303" s="10">
        <v>47739</v>
      </c>
      <c r="C303" s="11" t="s">
        <v>36</v>
      </c>
      <c r="D303" s="11" t="s">
        <v>37</v>
      </c>
      <c r="E303" s="11">
        <v>34</v>
      </c>
      <c r="F303" s="11" t="s">
        <v>38</v>
      </c>
      <c r="G303" s="11" t="s">
        <v>39</v>
      </c>
      <c r="H303" s="11" t="s">
        <v>40</v>
      </c>
      <c r="I303" s="11" t="s">
        <v>41</v>
      </c>
      <c r="J303" s="11" t="s">
        <v>42</v>
      </c>
      <c r="K303" s="11" t="s">
        <v>43</v>
      </c>
      <c r="L303" s="11" t="s">
        <v>44</v>
      </c>
      <c r="M303" s="11" t="s">
        <v>45</v>
      </c>
      <c r="N303" s="11">
        <v>9800</v>
      </c>
      <c r="O303" s="11">
        <v>3</v>
      </c>
      <c r="P303" s="17">
        <v>0.1</v>
      </c>
      <c r="Q303" s="11">
        <v>2200</v>
      </c>
      <c r="R303" s="11" t="s">
        <v>46</v>
      </c>
      <c r="S303" s="11" t="s">
        <v>33</v>
      </c>
      <c r="T303" s="11" t="s">
        <v>34</v>
      </c>
      <c r="U303" s="11">
        <v>4</v>
      </c>
      <c r="V303" s="11" t="str">
        <f>TEXT('E-Commerce Sales Data'!$B303,"mmmm")</f>
        <v>September</v>
      </c>
      <c r="W303" s="8">
        <f t="shared" si="16"/>
        <v>4201580</v>
      </c>
      <c r="X303">
        <f t="shared" si="17"/>
        <v>899</v>
      </c>
      <c r="Y303">
        <f t="shared" si="18"/>
        <v>27160.989988876529</v>
      </c>
      <c r="Z303">
        <f t="shared" si="19"/>
        <v>55</v>
      </c>
    </row>
    <row r="304" spans="1:26" x14ac:dyDescent="0.25">
      <c r="A304" s="5" t="s">
        <v>407</v>
      </c>
      <c r="B304" s="6">
        <v>47746</v>
      </c>
      <c r="C304" s="7" t="s">
        <v>49</v>
      </c>
      <c r="D304" s="7" t="s">
        <v>50</v>
      </c>
      <c r="E304" s="7">
        <v>41</v>
      </c>
      <c r="F304" s="7" t="s">
        <v>24</v>
      </c>
      <c r="G304" s="7" t="s">
        <v>51</v>
      </c>
      <c r="H304" s="7" t="s">
        <v>51</v>
      </c>
      <c r="I304" s="7" t="s">
        <v>52</v>
      </c>
      <c r="J304" s="7" t="s">
        <v>28</v>
      </c>
      <c r="K304" s="7" t="s">
        <v>29</v>
      </c>
      <c r="L304" s="7" t="s">
        <v>53</v>
      </c>
      <c r="M304" s="7" t="s">
        <v>54</v>
      </c>
      <c r="N304" s="7">
        <v>22900</v>
      </c>
      <c r="O304" s="7">
        <v>2</v>
      </c>
      <c r="P304" s="16">
        <v>0.05</v>
      </c>
      <c r="Q304" s="7">
        <v>4100</v>
      </c>
      <c r="R304" s="7" t="s">
        <v>55</v>
      </c>
      <c r="S304" s="7" t="s">
        <v>33</v>
      </c>
      <c r="T304" s="7" t="s">
        <v>34</v>
      </c>
      <c r="U304" s="7">
        <v>4</v>
      </c>
      <c r="V304" s="7" t="str">
        <f>TEXT('E-Commerce Sales Data'!$B304,"mmmm")</f>
        <v>September</v>
      </c>
      <c r="W304" s="8">
        <f t="shared" si="16"/>
        <v>4199380</v>
      </c>
      <c r="X304">
        <f t="shared" si="17"/>
        <v>898</v>
      </c>
      <c r="Y304">
        <f t="shared" si="18"/>
        <v>27180.322939866368</v>
      </c>
      <c r="Z304">
        <f t="shared" si="19"/>
        <v>55</v>
      </c>
    </row>
    <row r="305" spans="1:26" x14ac:dyDescent="0.25">
      <c r="A305" s="9" t="s">
        <v>408</v>
      </c>
      <c r="B305" s="10">
        <v>47753</v>
      </c>
      <c r="C305" s="11" t="s">
        <v>57</v>
      </c>
      <c r="D305" s="11" t="s">
        <v>58</v>
      </c>
      <c r="E305" s="11">
        <v>26</v>
      </c>
      <c r="F305" s="11" t="s">
        <v>38</v>
      </c>
      <c r="G305" s="11" t="s">
        <v>59</v>
      </c>
      <c r="H305" s="11" t="s">
        <v>26</v>
      </c>
      <c r="I305" s="11" t="s">
        <v>27</v>
      </c>
      <c r="J305" s="11" t="s">
        <v>28</v>
      </c>
      <c r="K305" s="11" t="s">
        <v>60</v>
      </c>
      <c r="L305" s="11" t="s">
        <v>61</v>
      </c>
      <c r="M305" s="11" t="s">
        <v>86</v>
      </c>
      <c r="N305" s="11">
        <v>670</v>
      </c>
      <c r="O305" s="11">
        <v>20</v>
      </c>
      <c r="P305" s="17">
        <v>0.02</v>
      </c>
      <c r="Q305" s="11">
        <v>190</v>
      </c>
      <c r="R305" s="11" t="s">
        <v>32</v>
      </c>
      <c r="S305" s="11" t="s">
        <v>33</v>
      </c>
      <c r="T305" s="11" t="s">
        <v>34</v>
      </c>
      <c r="U305" s="11">
        <v>5</v>
      </c>
      <c r="V305" s="11" t="str">
        <f>TEXT('E-Commerce Sales Data'!$B305,"mmmm")</f>
        <v>September</v>
      </c>
      <c r="W305" s="8">
        <f t="shared" si="16"/>
        <v>4195280</v>
      </c>
      <c r="X305">
        <f t="shared" si="17"/>
        <v>897</v>
      </c>
      <c r="Y305">
        <f t="shared" si="18"/>
        <v>27185.094760312153</v>
      </c>
      <c r="Z305">
        <f t="shared" si="19"/>
        <v>55</v>
      </c>
    </row>
    <row r="306" spans="1:26" x14ac:dyDescent="0.25">
      <c r="A306" s="5" t="s">
        <v>409</v>
      </c>
      <c r="B306" s="6">
        <v>47760</v>
      </c>
      <c r="C306" s="7" t="s">
        <v>64</v>
      </c>
      <c r="D306" s="7" t="s">
        <v>65</v>
      </c>
      <c r="E306" s="7">
        <v>39</v>
      </c>
      <c r="F306" s="7" t="s">
        <v>24</v>
      </c>
      <c r="G306" s="7" t="s">
        <v>66</v>
      </c>
      <c r="H306" s="7" t="s">
        <v>67</v>
      </c>
      <c r="I306" s="7" t="s">
        <v>27</v>
      </c>
      <c r="J306" s="7" t="s">
        <v>42</v>
      </c>
      <c r="K306" s="7" t="s">
        <v>43</v>
      </c>
      <c r="L306" s="7" t="s">
        <v>68</v>
      </c>
      <c r="M306" s="7" t="s">
        <v>69</v>
      </c>
      <c r="N306" s="7">
        <v>22500</v>
      </c>
      <c r="O306" s="7">
        <v>2</v>
      </c>
      <c r="P306" s="16">
        <v>0.08</v>
      </c>
      <c r="Q306" s="7">
        <v>3780</v>
      </c>
      <c r="R306" s="7" t="s">
        <v>46</v>
      </c>
      <c r="S306" s="7" t="s">
        <v>47</v>
      </c>
      <c r="T306" s="7" t="s">
        <v>34</v>
      </c>
      <c r="U306" s="7">
        <v>4</v>
      </c>
      <c r="V306" s="7" t="str">
        <f>TEXT('E-Commerce Sales Data'!$B306,"mmmm")</f>
        <v>October</v>
      </c>
      <c r="W306" s="8">
        <f t="shared" si="16"/>
        <v>4195090</v>
      </c>
      <c r="X306">
        <f t="shared" si="17"/>
        <v>896</v>
      </c>
      <c r="Y306">
        <f t="shared" si="18"/>
        <v>27214.6875</v>
      </c>
      <c r="Z306">
        <f t="shared" si="19"/>
        <v>55</v>
      </c>
    </row>
    <row r="307" spans="1:26" x14ac:dyDescent="0.25">
      <c r="A307" s="9" t="s">
        <v>410</v>
      </c>
      <c r="B307" s="10">
        <v>47767</v>
      </c>
      <c r="C307" s="11" t="s">
        <v>71</v>
      </c>
      <c r="D307" s="11" t="s">
        <v>72</v>
      </c>
      <c r="E307" s="11">
        <v>31</v>
      </c>
      <c r="F307" s="11" t="s">
        <v>38</v>
      </c>
      <c r="G307" s="11" t="s">
        <v>73</v>
      </c>
      <c r="H307" s="11" t="s">
        <v>74</v>
      </c>
      <c r="I307" s="11" t="s">
        <v>41</v>
      </c>
      <c r="J307" s="11" t="s">
        <v>28</v>
      </c>
      <c r="K307" s="11" t="s">
        <v>29</v>
      </c>
      <c r="L307" s="11" t="s">
        <v>53</v>
      </c>
      <c r="M307" s="11" t="s">
        <v>75</v>
      </c>
      <c r="N307" s="11">
        <v>3550</v>
      </c>
      <c r="O307" s="11">
        <v>3</v>
      </c>
      <c r="P307" s="17">
        <v>0.05</v>
      </c>
      <c r="Q307" s="11">
        <v>870</v>
      </c>
      <c r="R307" s="11" t="s">
        <v>32</v>
      </c>
      <c r="S307" s="11" t="s">
        <v>33</v>
      </c>
      <c r="T307" s="11" t="s">
        <v>34</v>
      </c>
      <c r="U307" s="11">
        <v>4</v>
      </c>
      <c r="V307" s="11" t="str">
        <f>TEXT('E-Commerce Sales Data'!$B307,"mmmm")</f>
        <v>October</v>
      </c>
      <c r="W307" s="8">
        <f t="shared" si="16"/>
        <v>4191310</v>
      </c>
      <c r="X307">
        <f t="shared" si="17"/>
        <v>895</v>
      </c>
      <c r="Y307">
        <f t="shared" si="18"/>
        <v>27219.955307262571</v>
      </c>
      <c r="Z307">
        <f t="shared" si="19"/>
        <v>55</v>
      </c>
    </row>
    <row r="308" spans="1:26" x14ac:dyDescent="0.25">
      <c r="A308" s="5" t="s">
        <v>411</v>
      </c>
      <c r="B308" s="6">
        <v>47774</v>
      </c>
      <c r="C308" s="7" t="s">
        <v>77</v>
      </c>
      <c r="D308" s="7" t="s">
        <v>23</v>
      </c>
      <c r="E308" s="7">
        <v>29</v>
      </c>
      <c r="F308" s="7" t="s">
        <v>24</v>
      </c>
      <c r="G308" s="7" t="s">
        <v>78</v>
      </c>
      <c r="H308" s="7" t="s">
        <v>26</v>
      </c>
      <c r="I308" s="7" t="s">
        <v>27</v>
      </c>
      <c r="J308" s="7" t="s">
        <v>28</v>
      </c>
      <c r="K308" s="7" t="s">
        <v>29</v>
      </c>
      <c r="L308" s="7" t="s">
        <v>53</v>
      </c>
      <c r="M308" s="7" t="s">
        <v>79</v>
      </c>
      <c r="N308" s="7">
        <v>2250</v>
      </c>
      <c r="O308" s="7">
        <v>6</v>
      </c>
      <c r="P308" s="16">
        <v>0</v>
      </c>
      <c r="Q308" s="7">
        <v>670</v>
      </c>
      <c r="R308" s="7" t="s">
        <v>80</v>
      </c>
      <c r="S308" s="7" t="s">
        <v>33</v>
      </c>
      <c r="T308" s="7" t="s">
        <v>34</v>
      </c>
      <c r="U308" s="7">
        <v>3</v>
      </c>
      <c r="V308" s="7" t="str">
        <f>TEXT('E-Commerce Sales Data'!$B308,"mmmm")</f>
        <v>October</v>
      </c>
      <c r="W308" s="8">
        <f t="shared" si="16"/>
        <v>4190440</v>
      </c>
      <c r="X308">
        <f t="shared" si="17"/>
        <v>894</v>
      </c>
      <c r="Y308">
        <f t="shared" si="18"/>
        <v>27246.431767337806</v>
      </c>
      <c r="Z308">
        <f t="shared" si="19"/>
        <v>55</v>
      </c>
    </row>
    <row r="309" spans="1:26" x14ac:dyDescent="0.25">
      <c r="A309" s="9" t="s">
        <v>412</v>
      </c>
      <c r="B309" s="10">
        <v>47781</v>
      </c>
      <c r="C309" s="11" t="s">
        <v>82</v>
      </c>
      <c r="D309" s="11" t="s">
        <v>83</v>
      </c>
      <c r="E309" s="11">
        <v>37</v>
      </c>
      <c r="F309" s="11" t="s">
        <v>38</v>
      </c>
      <c r="G309" s="11" t="s">
        <v>84</v>
      </c>
      <c r="H309" s="11" t="s">
        <v>85</v>
      </c>
      <c r="I309" s="11" t="s">
        <v>52</v>
      </c>
      <c r="J309" s="11" t="s">
        <v>42</v>
      </c>
      <c r="K309" s="11" t="s">
        <v>60</v>
      </c>
      <c r="L309" s="11" t="s">
        <v>61</v>
      </c>
      <c r="M309" s="11" t="s">
        <v>62</v>
      </c>
      <c r="N309" s="11">
        <v>5200</v>
      </c>
      <c r="O309" s="11">
        <v>10</v>
      </c>
      <c r="P309" s="17">
        <v>0.02</v>
      </c>
      <c r="Q309" s="11">
        <v>1280</v>
      </c>
      <c r="R309" s="11" t="s">
        <v>32</v>
      </c>
      <c r="S309" s="11" t="s">
        <v>33</v>
      </c>
      <c r="T309" s="11" t="s">
        <v>34</v>
      </c>
      <c r="U309" s="11">
        <v>5</v>
      </c>
      <c r="V309" s="11" t="str">
        <f>TEXT('E-Commerce Sales Data'!$B309,"mmmm")</f>
        <v>October</v>
      </c>
      <c r="W309" s="8">
        <f t="shared" si="16"/>
        <v>4189770</v>
      </c>
      <c r="X309">
        <f t="shared" si="17"/>
        <v>893</v>
      </c>
      <c r="Y309">
        <f t="shared" si="18"/>
        <v>27274.423292273237</v>
      </c>
      <c r="Z309">
        <f t="shared" si="19"/>
        <v>55</v>
      </c>
    </row>
    <row r="310" spans="1:26" x14ac:dyDescent="0.25">
      <c r="A310" s="5" t="s">
        <v>413</v>
      </c>
      <c r="B310" s="6">
        <v>47788</v>
      </c>
      <c r="C310" s="7" t="s">
        <v>88</v>
      </c>
      <c r="D310" s="7" t="s">
        <v>37</v>
      </c>
      <c r="E310" s="7">
        <v>45</v>
      </c>
      <c r="F310" s="7" t="s">
        <v>24</v>
      </c>
      <c r="G310" s="7" t="s">
        <v>89</v>
      </c>
      <c r="H310" s="7" t="s">
        <v>90</v>
      </c>
      <c r="I310" s="7" t="s">
        <v>91</v>
      </c>
      <c r="J310" s="7" t="s">
        <v>42</v>
      </c>
      <c r="K310" s="7" t="s">
        <v>43</v>
      </c>
      <c r="L310" s="7" t="s">
        <v>92</v>
      </c>
      <c r="M310" s="7" t="s">
        <v>93</v>
      </c>
      <c r="N310" s="7">
        <v>16200</v>
      </c>
      <c r="O310" s="7">
        <v>1</v>
      </c>
      <c r="P310" s="16">
        <v>0.1</v>
      </c>
      <c r="Q310" s="7">
        <v>2780</v>
      </c>
      <c r="R310" s="7" t="s">
        <v>46</v>
      </c>
      <c r="S310" s="7" t="s">
        <v>47</v>
      </c>
      <c r="T310" s="7" t="s">
        <v>34</v>
      </c>
      <c r="U310" s="7">
        <v>4</v>
      </c>
      <c r="V310" s="7" t="str">
        <f>TEXT('E-Commerce Sales Data'!$B310,"mmmm")</f>
        <v>November</v>
      </c>
      <c r="W310" s="8">
        <f t="shared" si="16"/>
        <v>4188490</v>
      </c>
      <c r="X310">
        <f t="shared" si="17"/>
        <v>892</v>
      </c>
      <c r="Y310">
        <f t="shared" si="18"/>
        <v>27299.170403587443</v>
      </c>
      <c r="Z310">
        <f t="shared" si="19"/>
        <v>55</v>
      </c>
    </row>
    <row r="311" spans="1:26" x14ac:dyDescent="0.25">
      <c r="A311" s="9" t="s">
        <v>414</v>
      </c>
      <c r="B311" s="10">
        <v>47795</v>
      </c>
      <c r="C311" s="11" t="s">
        <v>95</v>
      </c>
      <c r="D311" s="11" t="s">
        <v>65</v>
      </c>
      <c r="E311" s="11">
        <v>25</v>
      </c>
      <c r="F311" s="11" t="s">
        <v>38</v>
      </c>
      <c r="G311" s="11" t="s">
        <v>25</v>
      </c>
      <c r="H311" s="11" t="s">
        <v>26</v>
      </c>
      <c r="I311" s="11" t="s">
        <v>27</v>
      </c>
      <c r="J311" s="11" t="s">
        <v>28</v>
      </c>
      <c r="K311" s="11" t="s">
        <v>29</v>
      </c>
      <c r="L311" s="11" t="s">
        <v>96</v>
      </c>
      <c r="M311" s="11" t="s">
        <v>97</v>
      </c>
      <c r="N311" s="11">
        <v>18400</v>
      </c>
      <c r="O311" s="11">
        <v>2</v>
      </c>
      <c r="P311" s="17">
        <v>0.05</v>
      </c>
      <c r="Q311" s="11">
        <v>3520</v>
      </c>
      <c r="R311" s="11" t="s">
        <v>32</v>
      </c>
      <c r="S311" s="11" t="s">
        <v>33</v>
      </c>
      <c r="T311" s="11" t="s">
        <v>34</v>
      </c>
      <c r="U311" s="11">
        <v>4</v>
      </c>
      <c r="V311" s="11" t="str">
        <f>TEXT('E-Commerce Sales Data'!$B311,"mmmm")</f>
        <v>November</v>
      </c>
      <c r="W311" s="8">
        <f t="shared" si="16"/>
        <v>4185710</v>
      </c>
      <c r="X311">
        <f t="shared" si="17"/>
        <v>891</v>
      </c>
      <c r="Y311">
        <f t="shared" si="18"/>
        <v>27311.627384960717</v>
      </c>
      <c r="Z311">
        <f t="shared" si="19"/>
        <v>55</v>
      </c>
    </row>
    <row r="312" spans="1:26" x14ac:dyDescent="0.25">
      <c r="A312" s="5" t="s">
        <v>415</v>
      </c>
      <c r="B312" s="6">
        <v>47802</v>
      </c>
      <c r="C312" s="7" t="s">
        <v>99</v>
      </c>
      <c r="D312" s="7" t="s">
        <v>100</v>
      </c>
      <c r="E312" s="7">
        <v>33</v>
      </c>
      <c r="F312" s="7" t="s">
        <v>24</v>
      </c>
      <c r="G312" s="7" t="s">
        <v>101</v>
      </c>
      <c r="H312" s="7" t="s">
        <v>102</v>
      </c>
      <c r="I312" s="7" t="s">
        <v>41</v>
      </c>
      <c r="J312" s="7" t="s">
        <v>28</v>
      </c>
      <c r="K312" s="7" t="s">
        <v>60</v>
      </c>
      <c r="L312" s="7" t="s">
        <v>53</v>
      </c>
      <c r="M312" s="7" t="s">
        <v>103</v>
      </c>
      <c r="N312" s="7">
        <v>960</v>
      </c>
      <c r="O312" s="7">
        <v>25</v>
      </c>
      <c r="P312" s="16">
        <v>0</v>
      </c>
      <c r="Q312" s="7">
        <v>290</v>
      </c>
      <c r="R312" s="7" t="s">
        <v>55</v>
      </c>
      <c r="S312" s="7" t="s">
        <v>33</v>
      </c>
      <c r="T312" s="7" t="s">
        <v>34</v>
      </c>
      <c r="U312" s="7">
        <v>5</v>
      </c>
      <c r="V312" s="7" t="str">
        <f>TEXT('E-Commerce Sales Data'!$B312,"mmmm")</f>
        <v>November</v>
      </c>
      <c r="W312" s="8">
        <f t="shared" si="16"/>
        <v>4182190</v>
      </c>
      <c r="X312">
        <f t="shared" si="17"/>
        <v>890</v>
      </c>
      <c r="Y312">
        <f t="shared" si="18"/>
        <v>27321.6404494382</v>
      </c>
      <c r="Z312">
        <f t="shared" si="19"/>
        <v>55</v>
      </c>
    </row>
    <row r="313" spans="1:26" x14ac:dyDescent="0.25">
      <c r="A313" s="9" t="s">
        <v>416</v>
      </c>
      <c r="B313" s="10">
        <v>47809</v>
      </c>
      <c r="C313" s="11" t="s">
        <v>105</v>
      </c>
      <c r="D313" s="11" t="s">
        <v>58</v>
      </c>
      <c r="E313" s="11">
        <v>42</v>
      </c>
      <c r="F313" s="11" t="s">
        <v>38</v>
      </c>
      <c r="G313" s="11" t="s">
        <v>51</v>
      </c>
      <c r="H313" s="11" t="s">
        <v>51</v>
      </c>
      <c r="I313" s="11" t="s">
        <v>52</v>
      </c>
      <c r="J313" s="11" t="s">
        <v>42</v>
      </c>
      <c r="K313" s="11" t="s">
        <v>43</v>
      </c>
      <c r="L313" s="11" t="s">
        <v>68</v>
      </c>
      <c r="M313" s="11" t="s">
        <v>106</v>
      </c>
      <c r="N313" s="11">
        <v>27200</v>
      </c>
      <c r="O313" s="11">
        <v>1</v>
      </c>
      <c r="P313" s="17">
        <v>0.08</v>
      </c>
      <c r="Q313" s="11">
        <v>5350</v>
      </c>
      <c r="R313" s="11" t="s">
        <v>46</v>
      </c>
      <c r="S313" s="11" t="s">
        <v>47</v>
      </c>
      <c r="T313" s="11" t="s">
        <v>34</v>
      </c>
      <c r="U313" s="11">
        <v>4</v>
      </c>
      <c r="V313" s="11" t="str">
        <f>TEXT('E-Commerce Sales Data'!$B313,"mmmm")</f>
        <v>November</v>
      </c>
      <c r="W313" s="8">
        <f t="shared" si="16"/>
        <v>4181900</v>
      </c>
      <c r="X313">
        <f t="shared" si="17"/>
        <v>889</v>
      </c>
      <c r="Y313">
        <f t="shared" si="18"/>
        <v>27351.293588301462</v>
      </c>
      <c r="Z313">
        <f t="shared" si="19"/>
        <v>55</v>
      </c>
    </row>
    <row r="314" spans="1:26" x14ac:dyDescent="0.25">
      <c r="A314" s="5" t="s">
        <v>417</v>
      </c>
      <c r="B314" s="6">
        <v>47816</v>
      </c>
      <c r="C314" s="7" t="s">
        <v>108</v>
      </c>
      <c r="D314" s="7" t="s">
        <v>23</v>
      </c>
      <c r="E314" s="7">
        <v>30</v>
      </c>
      <c r="F314" s="7" t="s">
        <v>24</v>
      </c>
      <c r="G314" s="7" t="s">
        <v>59</v>
      </c>
      <c r="H314" s="7" t="s">
        <v>26</v>
      </c>
      <c r="I314" s="7" t="s">
        <v>27</v>
      </c>
      <c r="J314" s="7" t="s">
        <v>28</v>
      </c>
      <c r="K314" s="7" t="s">
        <v>29</v>
      </c>
      <c r="L314" s="7" t="s">
        <v>30</v>
      </c>
      <c r="M314" s="7" t="s">
        <v>31</v>
      </c>
      <c r="N314" s="7">
        <v>77000</v>
      </c>
      <c r="O314" s="7">
        <v>1</v>
      </c>
      <c r="P314" s="16">
        <v>0.1</v>
      </c>
      <c r="Q314" s="7">
        <v>8600</v>
      </c>
      <c r="R314" s="7" t="s">
        <v>32</v>
      </c>
      <c r="S314" s="7" t="s">
        <v>47</v>
      </c>
      <c r="T314" s="7" t="s">
        <v>34</v>
      </c>
      <c r="U314" s="7">
        <v>5</v>
      </c>
      <c r="V314" s="7" t="str">
        <f>TEXT('E-Commerce Sales Data'!$B314,"mmmm")</f>
        <v>November</v>
      </c>
      <c r="W314" s="8">
        <f t="shared" si="16"/>
        <v>4176550</v>
      </c>
      <c r="X314">
        <f t="shared" si="17"/>
        <v>888</v>
      </c>
      <c r="Y314">
        <f t="shared" si="18"/>
        <v>27351.463963963964</v>
      </c>
      <c r="Z314">
        <f t="shared" si="19"/>
        <v>55</v>
      </c>
    </row>
    <row r="315" spans="1:26" x14ac:dyDescent="0.25">
      <c r="A315" s="9" t="s">
        <v>418</v>
      </c>
      <c r="B315" s="10">
        <v>47823</v>
      </c>
      <c r="C315" s="11" t="s">
        <v>110</v>
      </c>
      <c r="D315" s="11" t="s">
        <v>37</v>
      </c>
      <c r="E315" s="11">
        <v>36</v>
      </c>
      <c r="F315" s="11" t="s">
        <v>38</v>
      </c>
      <c r="G315" s="11" t="s">
        <v>66</v>
      </c>
      <c r="H315" s="11" t="s">
        <v>67</v>
      </c>
      <c r="I315" s="11" t="s">
        <v>27</v>
      </c>
      <c r="J315" s="11" t="s">
        <v>28</v>
      </c>
      <c r="K315" s="11" t="s">
        <v>60</v>
      </c>
      <c r="L315" s="11" t="s">
        <v>92</v>
      </c>
      <c r="M315" s="11" t="s">
        <v>111</v>
      </c>
      <c r="N315" s="11">
        <v>1240</v>
      </c>
      <c r="O315" s="11">
        <v>15</v>
      </c>
      <c r="P315" s="17">
        <v>0.05</v>
      </c>
      <c r="Q315" s="11">
        <v>365</v>
      </c>
      <c r="R315" s="11" t="s">
        <v>80</v>
      </c>
      <c r="S315" s="11" t="s">
        <v>33</v>
      </c>
      <c r="T315" s="11" t="s">
        <v>34</v>
      </c>
      <c r="U315" s="11">
        <v>4</v>
      </c>
      <c r="V315" s="11" t="str">
        <f>TEXT('E-Commerce Sales Data'!$B315,"mmmm")</f>
        <v>December</v>
      </c>
      <c r="W315" s="8">
        <f t="shared" si="16"/>
        <v>4167950</v>
      </c>
      <c r="X315">
        <f t="shared" si="17"/>
        <v>887</v>
      </c>
      <c r="Y315">
        <f t="shared" si="18"/>
        <v>27295.490417136414</v>
      </c>
      <c r="Z315">
        <f t="shared" si="19"/>
        <v>55</v>
      </c>
    </row>
    <row r="316" spans="1:26" x14ac:dyDescent="0.25">
      <c r="A316" s="5" t="s">
        <v>419</v>
      </c>
      <c r="B316" s="6">
        <v>47830</v>
      </c>
      <c r="C316" s="7" t="s">
        <v>113</v>
      </c>
      <c r="D316" s="7" t="s">
        <v>114</v>
      </c>
      <c r="E316" s="7">
        <v>40</v>
      </c>
      <c r="F316" s="7" t="s">
        <v>24</v>
      </c>
      <c r="G316" s="7" t="s">
        <v>73</v>
      </c>
      <c r="H316" s="7" t="s">
        <v>74</v>
      </c>
      <c r="I316" s="7" t="s">
        <v>41</v>
      </c>
      <c r="J316" s="7" t="s">
        <v>42</v>
      </c>
      <c r="K316" s="7" t="s">
        <v>43</v>
      </c>
      <c r="L316" s="7" t="s">
        <v>44</v>
      </c>
      <c r="M316" s="7" t="s">
        <v>45</v>
      </c>
      <c r="N316" s="7">
        <v>11600</v>
      </c>
      <c r="O316" s="7">
        <v>4</v>
      </c>
      <c r="P316" s="16">
        <v>7.0000000000000007E-2</v>
      </c>
      <c r="Q316" s="7">
        <v>2520</v>
      </c>
      <c r="R316" s="7" t="s">
        <v>46</v>
      </c>
      <c r="S316" s="7" t="s">
        <v>33</v>
      </c>
      <c r="T316" s="7" t="s">
        <v>34</v>
      </c>
      <c r="U316" s="7">
        <v>4</v>
      </c>
      <c r="V316" s="7" t="str">
        <f>TEXT('E-Commerce Sales Data'!$B316,"mmmm")</f>
        <v>December</v>
      </c>
      <c r="W316" s="8">
        <f t="shared" si="16"/>
        <v>4167585</v>
      </c>
      <c r="X316">
        <f t="shared" si="17"/>
        <v>886</v>
      </c>
      <c r="Y316">
        <f t="shared" si="18"/>
        <v>27324.898419864559</v>
      </c>
      <c r="Z316">
        <f t="shared" si="19"/>
        <v>55</v>
      </c>
    </row>
    <row r="317" spans="1:26" x14ac:dyDescent="0.25">
      <c r="A317" s="9" t="s">
        <v>420</v>
      </c>
      <c r="B317" s="10">
        <v>47837</v>
      </c>
      <c r="C317" s="11" t="s">
        <v>116</v>
      </c>
      <c r="D317" s="11" t="s">
        <v>83</v>
      </c>
      <c r="E317" s="11">
        <v>27</v>
      </c>
      <c r="F317" s="11" t="s">
        <v>38</v>
      </c>
      <c r="G317" s="11" t="s">
        <v>39</v>
      </c>
      <c r="H317" s="11" t="s">
        <v>40</v>
      </c>
      <c r="I317" s="11" t="s">
        <v>41</v>
      </c>
      <c r="J317" s="11" t="s">
        <v>28</v>
      </c>
      <c r="K317" s="11" t="s">
        <v>29</v>
      </c>
      <c r="L317" s="11" t="s">
        <v>53</v>
      </c>
      <c r="M317" s="11" t="s">
        <v>54</v>
      </c>
      <c r="N317" s="11">
        <v>25700</v>
      </c>
      <c r="O317" s="11">
        <v>2</v>
      </c>
      <c r="P317" s="17">
        <v>0.05</v>
      </c>
      <c r="Q317" s="11">
        <v>4700</v>
      </c>
      <c r="R317" s="11" t="s">
        <v>32</v>
      </c>
      <c r="S317" s="11" t="s">
        <v>47</v>
      </c>
      <c r="T317" s="11" t="s">
        <v>34</v>
      </c>
      <c r="U317" s="11">
        <v>5</v>
      </c>
      <c r="V317" s="11" t="str">
        <f>TEXT('E-Commerce Sales Data'!$B317,"mmmm")</f>
        <v>December</v>
      </c>
      <c r="W317" s="8">
        <f t="shared" si="16"/>
        <v>4165065</v>
      </c>
      <c r="X317">
        <f t="shared" si="17"/>
        <v>885</v>
      </c>
      <c r="Y317">
        <f t="shared" si="18"/>
        <v>27342.666666666668</v>
      </c>
      <c r="Z317">
        <f t="shared" si="19"/>
        <v>55</v>
      </c>
    </row>
    <row r="318" spans="1:26" x14ac:dyDescent="0.25">
      <c r="A318" s="5" t="s">
        <v>421</v>
      </c>
      <c r="B318" s="6">
        <v>47844</v>
      </c>
      <c r="C318" s="7" t="s">
        <v>118</v>
      </c>
      <c r="D318" s="7" t="s">
        <v>72</v>
      </c>
      <c r="E318" s="7">
        <v>35</v>
      </c>
      <c r="F318" s="7" t="s">
        <v>24</v>
      </c>
      <c r="G318" s="7" t="s">
        <v>84</v>
      </c>
      <c r="H318" s="7" t="s">
        <v>85</v>
      </c>
      <c r="I318" s="7" t="s">
        <v>52</v>
      </c>
      <c r="J318" s="7" t="s">
        <v>42</v>
      </c>
      <c r="K318" s="7" t="s">
        <v>60</v>
      </c>
      <c r="L318" s="7" t="s">
        <v>61</v>
      </c>
      <c r="M318" s="7" t="s">
        <v>62</v>
      </c>
      <c r="N318" s="7">
        <v>5300</v>
      </c>
      <c r="O318" s="7">
        <v>10</v>
      </c>
      <c r="P318" s="16">
        <v>0.03</v>
      </c>
      <c r="Q318" s="7">
        <v>1290</v>
      </c>
      <c r="R318" s="7" t="s">
        <v>55</v>
      </c>
      <c r="S318" s="7" t="s">
        <v>33</v>
      </c>
      <c r="T318" s="7" t="s">
        <v>34</v>
      </c>
      <c r="U318" s="7">
        <v>4</v>
      </c>
      <c r="V318" s="7" t="str">
        <f>TEXT('E-Commerce Sales Data'!$B318,"mmmm")</f>
        <v>December</v>
      </c>
      <c r="W318" s="8">
        <f t="shared" si="16"/>
        <v>4160365</v>
      </c>
      <c r="X318">
        <f t="shared" si="17"/>
        <v>884</v>
      </c>
      <c r="Y318">
        <f t="shared" si="18"/>
        <v>27344.524886877829</v>
      </c>
      <c r="Z318">
        <f t="shared" si="19"/>
        <v>55</v>
      </c>
    </row>
    <row r="319" spans="1:26" x14ac:dyDescent="0.25">
      <c r="A319" s="9" t="s">
        <v>422</v>
      </c>
      <c r="B319" s="10">
        <v>47851</v>
      </c>
      <c r="C319" s="11" t="s">
        <v>120</v>
      </c>
      <c r="D319" s="11" t="s">
        <v>23</v>
      </c>
      <c r="E319" s="11">
        <v>24</v>
      </c>
      <c r="F319" s="11" t="s">
        <v>38</v>
      </c>
      <c r="G319" s="11" t="s">
        <v>25</v>
      </c>
      <c r="H319" s="11" t="s">
        <v>26</v>
      </c>
      <c r="I319" s="11" t="s">
        <v>27</v>
      </c>
      <c r="J319" s="11" t="s">
        <v>28</v>
      </c>
      <c r="K319" s="11" t="s">
        <v>43</v>
      </c>
      <c r="L319" s="11" t="s">
        <v>68</v>
      </c>
      <c r="M319" s="11" t="s">
        <v>69</v>
      </c>
      <c r="N319" s="11">
        <v>22800</v>
      </c>
      <c r="O319" s="11">
        <v>2</v>
      </c>
      <c r="P319" s="17">
        <v>0.1</v>
      </c>
      <c r="Q319" s="11">
        <v>3580</v>
      </c>
      <c r="R319" s="11" t="s">
        <v>32</v>
      </c>
      <c r="S319" s="11" t="s">
        <v>47</v>
      </c>
      <c r="T319" s="11" t="s">
        <v>34</v>
      </c>
      <c r="U319" s="11">
        <v>5</v>
      </c>
      <c r="V319" s="11" t="str">
        <f>TEXT('E-Commerce Sales Data'!$B319,"mmmm")</f>
        <v>January</v>
      </c>
      <c r="W319" s="8">
        <f t="shared" si="16"/>
        <v>4159075</v>
      </c>
      <c r="X319">
        <f t="shared" si="17"/>
        <v>883</v>
      </c>
      <c r="Y319">
        <f t="shared" si="18"/>
        <v>27369.490373725934</v>
      </c>
      <c r="Z319">
        <f t="shared" si="19"/>
        <v>55</v>
      </c>
    </row>
    <row r="320" spans="1:26" x14ac:dyDescent="0.25">
      <c r="A320" s="5" t="s">
        <v>423</v>
      </c>
      <c r="B320" s="6">
        <v>47858</v>
      </c>
      <c r="C320" s="7" t="s">
        <v>122</v>
      </c>
      <c r="D320" s="7" t="s">
        <v>50</v>
      </c>
      <c r="E320" s="7">
        <v>43</v>
      </c>
      <c r="F320" s="7" t="s">
        <v>24</v>
      </c>
      <c r="G320" s="7" t="s">
        <v>101</v>
      </c>
      <c r="H320" s="7" t="s">
        <v>102</v>
      </c>
      <c r="I320" s="7" t="s">
        <v>41</v>
      </c>
      <c r="J320" s="7" t="s">
        <v>42</v>
      </c>
      <c r="K320" s="7" t="s">
        <v>29</v>
      </c>
      <c r="L320" s="7" t="s">
        <v>53</v>
      </c>
      <c r="M320" s="7" t="s">
        <v>75</v>
      </c>
      <c r="N320" s="7">
        <v>3950</v>
      </c>
      <c r="O320" s="7">
        <v>4</v>
      </c>
      <c r="P320" s="16">
        <v>0.05</v>
      </c>
      <c r="Q320" s="7">
        <v>970</v>
      </c>
      <c r="R320" s="7" t="s">
        <v>46</v>
      </c>
      <c r="S320" s="7" t="s">
        <v>33</v>
      </c>
      <c r="T320" s="7" t="s">
        <v>34</v>
      </c>
      <c r="U320" s="7">
        <v>3</v>
      </c>
      <c r="V320" s="7" t="str">
        <f>TEXT('E-Commerce Sales Data'!$B320,"mmmm")</f>
        <v>January</v>
      </c>
      <c r="W320" s="8">
        <f t="shared" si="16"/>
        <v>4155495</v>
      </c>
      <c r="X320">
        <f t="shared" si="17"/>
        <v>882</v>
      </c>
      <c r="Y320">
        <f t="shared" si="18"/>
        <v>27374.671201814061</v>
      </c>
      <c r="Z320">
        <f t="shared" si="19"/>
        <v>55</v>
      </c>
    </row>
    <row r="321" spans="1:26" x14ac:dyDescent="0.25">
      <c r="A321" s="9" t="s">
        <v>424</v>
      </c>
      <c r="B321" s="10">
        <v>47865</v>
      </c>
      <c r="C321" s="11" t="s">
        <v>124</v>
      </c>
      <c r="D321" s="11" t="s">
        <v>100</v>
      </c>
      <c r="E321" s="11">
        <v>32</v>
      </c>
      <c r="F321" s="11" t="s">
        <v>38</v>
      </c>
      <c r="G321" s="11" t="s">
        <v>78</v>
      </c>
      <c r="H321" s="11" t="s">
        <v>26</v>
      </c>
      <c r="I321" s="11" t="s">
        <v>27</v>
      </c>
      <c r="J321" s="11" t="s">
        <v>28</v>
      </c>
      <c r="K321" s="11" t="s">
        <v>29</v>
      </c>
      <c r="L321" s="11" t="s">
        <v>53</v>
      </c>
      <c r="M321" s="11" t="s">
        <v>79</v>
      </c>
      <c r="N321" s="11">
        <v>2350</v>
      </c>
      <c r="O321" s="11">
        <v>7</v>
      </c>
      <c r="P321" s="17">
        <v>0</v>
      </c>
      <c r="Q321" s="11">
        <v>700</v>
      </c>
      <c r="R321" s="11" t="s">
        <v>32</v>
      </c>
      <c r="S321" s="11" t="s">
        <v>33</v>
      </c>
      <c r="T321" s="11" t="s">
        <v>34</v>
      </c>
      <c r="U321" s="11">
        <v>4</v>
      </c>
      <c r="V321" s="11" t="str">
        <f>TEXT('E-Commerce Sales Data'!$B321,"mmmm")</f>
        <v>January</v>
      </c>
      <c r="W321" s="8">
        <f t="shared" si="16"/>
        <v>4154525</v>
      </c>
      <c r="X321">
        <f t="shared" si="17"/>
        <v>881</v>
      </c>
      <c r="Y321">
        <f t="shared" si="18"/>
        <v>27401.259931895573</v>
      </c>
      <c r="Z321">
        <f t="shared" si="19"/>
        <v>55</v>
      </c>
    </row>
    <row r="322" spans="1:26" x14ac:dyDescent="0.25">
      <c r="A322" s="5" t="s">
        <v>425</v>
      </c>
      <c r="B322" s="6">
        <v>47872</v>
      </c>
      <c r="C322" s="7" t="s">
        <v>22</v>
      </c>
      <c r="D322" s="7" t="s">
        <v>23</v>
      </c>
      <c r="E322" s="7">
        <v>28</v>
      </c>
      <c r="F322" s="7" t="s">
        <v>24</v>
      </c>
      <c r="G322" s="7" t="s">
        <v>25</v>
      </c>
      <c r="H322" s="7" t="s">
        <v>26</v>
      </c>
      <c r="I322" s="7" t="s">
        <v>27</v>
      </c>
      <c r="J322" s="7" t="s">
        <v>28</v>
      </c>
      <c r="K322" s="7" t="s">
        <v>29</v>
      </c>
      <c r="L322" s="7" t="s">
        <v>30</v>
      </c>
      <c r="M322" s="7" t="s">
        <v>31</v>
      </c>
      <c r="N322" s="7">
        <v>73000</v>
      </c>
      <c r="O322" s="7">
        <v>1</v>
      </c>
      <c r="P322" s="16">
        <v>0.05</v>
      </c>
      <c r="Q322" s="7">
        <v>9700</v>
      </c>
      <c r="R322" s="7" t="s">
        <v>32</v>
      </c>
      <c r="S322" s="7" t="s">
        <v>47</v>
      </c>
      <c r="T322" s="7" t="s">
        <v>34</v>
      </c>
      <c r="U322" s="7">
        <v>5</v>
      </c>
      <c r="V322" s="7" t="str">
        <f>TEXT('E-Commerce Sales Data'!$B322,"mmmm")</f>
        <v>January</v>
      </c>
      <c r="W322" s="8">
        <f t="shared" si="16"/>
        <v>4153825</v>
      </c>
      <c r="X322">
        <f t="shared" si="17"/>
        <v>880</v>
      </c>
      <c r="Y322">
        <f t="shared" si="18"/>
        <v>27429.727272727272</v>
      </c>
      <c r="Z322">
        <f t="shared" si="19"/>
        <v>55</v>
      </c>
    </row>
    <row r="323" spans="1:26" x14ac:dyDescent="0.25">
      <c r="A323" s="9" t="s">
        <v>426</v>
      </c>
      <c r="B323" s="10">
        <v>47879</v>
      </c>
      <c r="C323" s="11" t="s">
        <v>36</v>
      </c>
      <c r="D323" s="11" t="s">
        <v>37</v>
      </c>
      <c r="E323" s="11">
        <v>34</v>
      </c>
      <c r="F323" s="11" t="s">
        <v>38</v>
      </c>
      <c r="G323" s="11" t="s">
        <v>39</v>
      </c>
      <c r="H323" s="11" t="s">
        <v>40</v>
      </c>
      <c r="I323" s="11" t="s">
        <v>41</v>
      </c>
      <c r="J323" s="11" t="s">
        <v>42</v>
      </c>
      <c r="K323" s="11" t="s">
        <v>43</v>
      </c>
      <c r="L323" s="11" t="s">
        <v>44</v>
      </c>
      <c r="M323" s="11" t="s">
        <v>45</v>
      </c>
      <c r="N323" s="11">
        <v>10100</v>
      </c>
      <c r="O323" s="11">
        <v>3</v>
      </c>
      <c r="P323" s="17">
        <v>0.1</v>
      </c>
      <c r="Q323" s="11">
        <v>2280</v>
      </c>
      <c r="R323" s="11" t="s">
        <v>46</v>
      </c>
      <c r="S323" s="11" t="s">
        <v>33</v>
      </c>
      <c r="T323" s="11" t="s">
        <v>34</v>
      </c>
      <c r="U323" s="11">
        <v>4</v>
      </c>
      <c r="V323" s="11" t="str">
        <f>TEXT('E-Commerce Sales Data'!$B323,"mmmm")</f>
        <v>January</v>
      </c>
      <c r="W323" s="8">
        <f t="shared" ref="W323:W386" si="20">SUM(Q323:Q1522)</f>
        <v>4144125</v>
      </c>
      <c r="X323">
        <f t="shared" ref="X323:X386" si="21">COUNT(E323:E1522)</f>
        <v>879</v>
      </c>
      <c r="Y323">
        <f t="shared" ref="Y323:Y386" si="22">AVERAGE(N323:N1522)</f>
        <v>27377.883959044368</v>
      </c>
      <c r="Z323">
        <f t="shared" ref="Z323:Z386" si="23">MAX(E323:E1522)</f>
        <v>55</v>
      </c>
    </row>
    <row r="324" spans="1:26" x14ac:dyDescent="0.25">
      <c r="A324" s="5" t="s">
        <v>427</v>
      </c>
      <c r="B324" s="6">
        <v>47886</v>
      </c>
      <c r="C324" s="7" t="s">
        <v>49</v>
      </c>
      <c r="D324" s="7" t="s">
        <v>50</v>
      </c>
      <c r="E324" s="7">
        <v>41</v>
      </c>
      <c r="F324" s="7" t="s">
        <v>24</v>
      </c>
      <c r="G324" s="7" t="s">
        <v>51</v>
      </c>
      <c r="H324" s="7" t="s">
        <v>51</v>
      </c>
      <c r="I324" s="7" t="s">
        <v>52</v>
      </c>
      <c r="J324" s="7" t="s">
        <v>28</v>
      </c>
      <c r="K324" s="7" t="s">
        <v>29</v>
      </c>
      <c r="L324" s="7" t="s">
        <v>53</v>
      </c>
      <c r="M324" s="7" t="s">
        <v>54</v>
      </c>
      <c r="N324" s="7">
        <v>23600</v>
      </c>
      <c r="O324" s="7">
        <v>2</v>
      </c>
      <c r="P324" s="16">
        <v>0.05</v>
      </c>
      <c r="Q324" s="7">
        <v>4250</v>
      </c>
      <c r="R324" s="7" t="s">
        <v>55</v>
      </c>
      <c r="S324" s="7" t="s">
        <v>33</v>
      </c>
      <c r="T324" s="7" t="s">
        <v>34</v>
      </c>
      <c r="U324" s="7">
        <v>4</v>
      </c>
      <c r="V324" s="7" t="str">
        <f>TEXT('E-Commerce Sales Data'!$B324,"mmmm")</f>
        <v>February</v>
      </c>
      <c r="W324" s="8">
        <f t="shared" si="20"/>
        <v>4141845</v>
      </c>
      <c r="X324">
        <f t="shared" si="21"/>
        <v>878</v>
      </c>
      <c r="Y324">
        <f t="shared" si="22"/>
        <v>27397.562642369019</v>
      </c>
      <c r="Z324">
        <f t="shared" si="23"/>
        <v>55</v>
      </c>
    </row>
    <row r="325" spans="1:26" x14ac:dyDescent="0.25">
      <c r="A325" s="9" t="s">
        <v>428</v>
      </c>
      <c r="B325" s="10">
        <v>47893</v>
      </c>
      <c r="C325" s="11" t="s">
        <v>57</v>
      </c>
      <c r="D325" s="11" t="s">
        <v>58</v>
      </c>
      <c r="E325" s="11">
        <v>26</v>
      </c>
      <c r="F325" s="11" t="s">
        <v>38</v>
      </c>
      <c r="G325" s="11" t="s">
        <v>59</v>
      </c>
      <c r="H325" s="11" t="s">
        <v>26</v>
      </c>
      <c r="I325" s="11" t="s">
        <v>27</v>
      </c>
      <c r="J325" s="11" t="s">
        <v>28</v>
      </c>
      <c r="K325" s="11" t="s">
        <v>60</v>
      </c>
      <c r="L325" s="11" t="s">
        <v>61</v>
      </c>
      <c r="M325" s="11" t="s">
        <v>86</v>
      </c>
      <c r="N325" s="11">
        <v>690</v>
      </c>
      <c r="O325" s="11">
        <v>20</v>
      </c>
      <c r="P325" s="17">
        <v>0.02</v>
      </c>
      <c r="Q325" s="11">
        <v>195</v>
      </c>
      <c r="R325" s="11" t="s">
        <v>32</v>
      </c>
      <c r="S325" s="11" t="s">
        <v>33</v>
      </c>
      <c r="T325" s="11" t="s">
        <v>34</v>
      </c>
      <c r="U325" s="11">
        <v>5</v>
      </c>
      <c r="V325" s="11" t="str">
        <f>TEXT('E-Commerce Sales Data'!$B325,"mmmm")</f>
        <v>February</v>
      </c>
      <c r="W325" s="8">
        <f t="shared" si="20"/>
        <v>4137595</v>
      </c>
      <c r="X325">
        <f t="shared" si="21"/>
        <v>877</v>
      </c>
      <c r="Y325">
        <f t="shared" si="22"/>
        <v>27401.892816419611</v>
      </c>
      <c r="Z325">
        <f t="shared" si="23"/>
        <v>55</v>
      </c>
    </row>
    <row r="326" spans="1:26" x14ac:dyDescent="0.25">
      <c r="A326" s="5" t="s">
        <v>429</v>
      </c>
      <c r="B326" s="6">
        <v>47900</v>
      </c>
      <c r="C326" s="7" t="s">
        <v>64</v>
      </c>
      <c r="D326" s="7" t="s">
        <v>65</v>
      </c>
      <c r="E326" s="7">
        <v>39</v>
      </c>
      <c r="F326" s="7" t="s">
        <v>24</v>
      </c>
      <c r="G326" s="7" t="s">
        <v>66</v>
      </c>
      <c r="H326" s="7" t="s">
        <v>67</v>
      </c>
      <c r="I326" s="7" t="s">
        <v>27</v>
      </c>
      <c r="J326" s="7" t="s">
        <v>42</v>
      </c>
      <c r="K326" s="7" t="s">
        <v>43</v>
      </c>
      <c r="L326" s="7" t="s">
        <v>68</v>
      </c>
      <c r="M326" s="7" t="s">
        <v>69</v>
      </c>
      <c r="N326" s="7">
        <v>23200</v>
      </c>
      <c r="O326" s="7">
        <v>2</v>
      </c>
      <c r="P326" s="16">
        <v>0.08</v>
      </c>
      <c r="Q326" s="7">
        <v>3900</v>
      </c>
      <c r="R326" s="7" t="s">
        <v>46</v>
      </c>
      <c r="S326" s="7" t="s">
        <v>47</v>
      </c>
      <c r="T326" s="7" t="s">
        <v>34</v>
      </c>
      <c r="U326" s="7">
        <v>4</v>
      </c>
      <c r="V326" s="7" t="str">
        <f>TEXT('E-Commerce Sales Data'!$B326,"mmmm")</f>
        <v>February</v>
      </c>
      <c r="W326" s="8">
        <f t="shared" si="20"/>
        <v>4137400</v>
      </c>
      <c r="X326">
        <f t="shared" si="21"/>
        <v>876</v>
      </c>
      <c r="Y326">
        <f t="shared" si="22"/>
        <v>27432.38584474886</v>
      </c>
      <c r="Z326">
        <f t="shared" si="23"/>
        <v>55</v>
      </c>
    </row>
    <row r="327" spans="1:26" x14ac:dyDescent="0.25">
      <c r="A327" s="9" t="s">
        <v>430</v>
      </c>
      <c r="B327" s="10">
        <v>47907</v>
      </c>
      <c r="C327" s="11" t="s">
        <v>71</v>
      </c>
      <c r="D327" s="11" t="s">
        <v>72</v>
      </c>
      <c r="E327" s="11">
        <v>31</v>
      </c>
      <c r="F327" s="11" t="s">
        <v>38</v>
      </c>
      <c r="G327" s="11" t="s">
        <v>73</v>
      </c>
      <c r="H327" s="11" t="s">
        <v>74</v>
      </c>
      <c r="I327" s="11" t="s">
        <v>41</v>
      </c>
      <c r="J327" s="11" t="s">
        <v>28</v>
      </c>
      <c r="K327" s="11" t="s">
        <v>29</v>
      </c>
      <c r="L327" s="11" t="s">
        <v>53</v>
      </c>
      <c r="M327" s="11" t="s">
        <v>75</v>
      </c>
      <c r="N327" s="11">
        <v>3650</v>
      </c>
      <c r="O327" s="11">
        <v>3</v>
      </c>
      <c r="P327" s="17">
        <v>0.05</v>
      </c>
      <c r="Q327" s="11">
        <v>900</v>
      </c>
      <c r="R327" s="11" t="s">
        <v>32</v>
      </c>
      <c r="S327" s="11" t="s">
        <v>33</v>
      </c>
      <c r="T327" s="11" t="s">
        <v>34</v>
      </c>
      <c r="U327" s="11">
        <v>4</v>
      </c>
      <c r="V327" s="11" t="str">
        <f>TEXT('E-Commerce Sales Data'!$B327,"mmmm")</f>
        <v>February</v>
      </c>
      <c r="W327" s="8">
        <f t="shared" si="20"/>
        <v>4133500</v>
      </c>
      <c r="X327">
        <f t="shared" si="21"/>
        <v>875</v>
      </c>
      <c r="Y327">
        <f t="shared" si="22"/>
        <v>27437.222857142857</v>
      </c>
      <c r="Z327">
        <f t="shared" si="23"/>
        <v>55</v>
      </c>
    </row>
    <row r="328" spans="1:26" x14ac:dyDescent="0.25">
      <c r="A328" s="5" t="s">
        <v>431</v>
      </c>
      <c r="B328" s="6">
        <v>47914</v>
      </c>
      <c r="C328" s="7" t="s">
        <v>77</v>
      </c>
      <c r="D328" s="7" t="s">
        <v>23</v>
      </c>
      <c r="E328" s="7">
        <v>29</v>
      </c>
      <c r="F328" s="7" t="s">
        <v>24</v>
      </c>
      <c r="G328" s="7" t="s">
        <v>78</v>
      </c>
      <c r="H328" s="7" t="s">
        <v>26</v>
      </c>
      <c r="I328" s="7" t="s">
        <v>27</v>
      </c>
      <c r="J328" s="7" t="s">
        <v>28</v>
      </c>
      <c r="K328" s="7" t="s">
        <v>29</v>
      </c>
      <c r="L328" s="7" t="s">
        <v>53</v>
      </c>
      <c r="M328" s="7" t="s">
        <v>79</v>
      </c>
      <c r="N328" s="7">
        <v>2380</v>
      </c>
      <c r="O328" s="7">
        <v>6</v>
      </c>
      <c r="P328" s="16">
        <v>0</v>
      </c>
      <c r="Q328" s="7">
        <v>710</v>
      </c>
      <c r="R328" s="7" t="s">
        <v>80</v>
      </c>
      <c r="S328" s="7" t="s">
        <v>33</v>
      </c>
      <c r="T328" s="7" t="s">
        <v>34</v>
      </c>
      <c r="U328" s="7">
        <v>3</v>
      </c>
      <c r="V328" s="7" t="str">
        <f>TEXT('E-Commerce Sales Data'!$B328,"mmmm")</f>
        <v>March</v>
      </c>
      <c r="W328" s="8">
        <f t="shared" si="20"/>
        <v>4132600</v>
      </c>
      <c r="X328">
        <f t="shared" si="21"/>
        <v>874</v>
      </c>
      <c r="Y328">
        <f t="shared" si="22"/>
        <v>27464.439359267733</v>
      </c>
      <c r="Z328">
        <f t="shared" si="23"/>
        <v>55</v>
      </c>
    </row>
    <row r="329" spans="1:26" x14ac:dyDescent="0.25">
      <c r="A329" s="9" t="s">
        <v>432</v>
      </c>
      <c r="B329" s="10">
        <v>47921</v>
      </c>
      <c r="C329" s="11" t="s">
        <v>82</v>
      </c>
      <c r="D329" s="11" t="s">
        <v>83</v>
      </c>
      <c r="E329" s="11">
        <v>37</v>
      </c>
      <c r="F329" s="11" t="s">
        <v>38</v>
      </c>
      <c r="G329" s="11" t="s">
        <v>84</v>
      </c>
      <c r="H329" s="11" t="s">
        <v>85</v>
      </c>
      <c r="I329" s="11" t="s">
        <v>52</v>
      </c>
      <c r="J329" s="11" t="s">
        <v>42</v>
      </c>
      <c r="K329" s="11" t="s">
        <v>60</v>
      </c>
      <c r="L329" s="11" t="s">
        <v>61</v>
      </c>
      <c r="M329" s="11" t="s">
        <v>62</v>
      </c>
      <c r="N329" s="11">
        <v>5400</v>
      </c>
      <c r="O329" s="11">
        <v>10</v>
      </c>
      <c r="P329" s="17">
        <v>0.02</v>
      </c>
      <c r="Q329" s="11">
        <v>1330</v>
      </c>
      <c r="R329" s="11" t="s">
        <v>32</v>
      </c>
      <c r="S329" s="11" t="s">
        <v>33</v>
      </c>
      <c r="T329" s="11" t="s">
        <v>34</v>
      </c>
      <c r="U329" s="11">
        <v>5</v>
      </c>
      <c r="V329" s="11" t="str">
        <f>TEXT('E-Commerce Sales Data'!$B329,"mmmm")</f>
        <v>March</v>
      </c>
      <c r="W329" s="8">
        <f t="shared" si="20"/>
        <v>4131890</v>
      </c>
      <c r="X329">
        <f t="shared" si="21"/>
        <v>873</v>
      </c>
      <c r="Y329">
        <f t="shared" si="22"/>
        <v>27493.172966781214</v>
      </c>
      <c r="Z329">
        <f t="shared" si="23"/>
        <v>55</v>
      </c>
    </row>
    <row r="330" spans="1:26" x14ac:dyDescent="0.25">
      <c r="A330" s="5" t="s">
        <v>433</v>
      </c>
      <c r="B330" s="6">
        <v>47928</v>
      </c>
      <c r="C330" s="7" t="s">
        <v>88</v>
      </c>
      <c r="D330" s="7" t="s">
        <v>37</v>
      </c>
      <c r="E330" s="7">
        <v>45</v>
      </c>
      <c r="F330" s="7" t="s">
        <v>24</v>
      </c>
      <c r="G330" s="7" t="s">
        <v>89</v>
      </c>
      <c r="H330" s="7" t="s">
        <v>90</v>
      </c>
      <c r="I330" s="7" t="s">
        <v>91</v>
      </c>
      <c r="J330" s="7" t="s">
        <v>42</v>
      </c>
      <c r="K330" s="7" t="s">
        <v>43</v>
      </c>
      <c r="L330" s="7" t="s">
        <v>92</v>
      </c>
      <c r="M330" s="7" t="s">
        <v>93</v>
      </c>
      <c r="N330" s="7">
        <v>16600</v>
      </c>
      <c r="O330" s="7">
        <v>1</v>
      </c>
      <c r="P330" s="16">
        <v>0.1</v>
      </c>
      <c r="Q330" s="7">
        <v>2860</v>
      </c>
      <c r="R330" s="7" t="s">
        <v>46</v>
      </c>
      <c r="S330" s="7" t="s">
        <v>47</v>
      </c>
      <c r="T330" s="7" t="s">
        <v>34</v>
      </c>
      <c r="U330" s="7">
        <v>4</v>
      </c>
      <c r="V330" s="7" t="str">
        <f>TEXT('E-Commerce Sales Data'!$B330,"mmmm")</f>
        <v>March</v>
      </c>
      <c r="W330" s="8">
        <f t="shared" si="20"/>
        <v>4130560</v>
      </c>
      <c r="X330">
        <f t="shared" si="21"/>
        <v>872</v>
      </c>
      <c r="Y330">
        <f t="shared" si="22"/>
        <v>27518.509174311926</v>
      </c>
      <c r="Z330">
        <f t="shared" si="23"/>
        <v>55</v>
      </c>
    </row>
    <row r="331" spans="1:26" x14ac:dyDescent="0.25">
      <c r="A331" s="9" t="s">
        <v>434</v>
      </c>
      <c r="B331" s="10">
        <v>47935</v>
      </c>
      <c r="C331" s="11" t="s">
        <v>95</v>
      </c>
      <c r="D331" s="11" t="s">
        <v>65</v>
      </c>
      <c r="E331" s="11">
        <v>25</v>
      </c>
      <c r="F331" s="11" t="s">
        <v>38</v>
      </c>
      <c r="G331" s="11" t="s">
        <v>25</v>
      </c>
      <c r="H331" s="11" t="s">
        <v>26</v>
      </c>
      <c r="I331" s="11" t="s">
        <v>27</v>
      </c>
      <c r="J331" s="11" t="s">
        <v>28</v>
      </c>
      <c r="K331" s="11" t="s">
        <v>29</v>
      </c>
      <c r="L331" s="11" t="s">
        <v>96</v>
      </c>
      <c r="M331" s="11" t="s">
        <v>97</v>
      </c>
      <c r="N331" s="11">
        <v>18800</v>
      </c>
      <c r="O331" s="11">
        <v>2</v>
      </c>
      <c r="P331" s="17">
        <v>0.05</v>
      </c>
      <c r="Q331" s="11">
        <v>3600</v>
      </c>
      <c r="R331" s="11" t="s">
        <v>32</v>
      </c>
      <c r="S331" s="11" t="s">
        <v>33</v>
      </c>
      <c r="T331" s="11" t="s">
        <v>34</v>
      </c>
      <c r="U331" s="11">
        <v>4</v>
      </c>
      <c r="V331" s="11" t="str">
        <f>TEXT('E-Commerce Sales Data'!$B331,"mmmm")</f>
        <v>March</v>
      </c>
      <c r="W331" s="8">
        <f t="shared" si="20"/>
        <v>4127700</v>
      </c>
      <c r="X331">
        <f t="shared" si="21"/>
        <v>871</v>
      </c>
      <c r="Y331">
        <f t="shared" si="22"/>
        <v>27531.044776119405</v>
      </c>
      <c r="Z331">
        <f t="shared" si="23"/>
        <v>55</v>
      </c>
    </row>
    <row r="332" spans="1:26" x14ac:dyDescent="0.25">
      <c r="A332" s="5" t="s">
        <v>435</v>
      </c>
      <c r="B332" s="6">
        <v>47942</v>
      </c>
      <c r="C332" s="7" t="s">
        <v>99</v>
      </c>
      <c r="D332" s="7" t="s">
        <v>100</v>
      </c>
      <c r="E332" s="7">
        <v>33</v>
      </c>
      <c r="F332" s="7" t="s">
        <v>24</v>
      </c>
      <c r="G332" s="7" t="s">
        <v>101</v>
      </c>
      <c r="H332" s="7" t="s">
        <v>102</v>
      </c>
      <c r="I332" s="7" t="s">
        <v>41</v>
      </c>
      <c r="J332" s="7" t="s">
        <v>28</v>
      </c>
      <c r="K332" s="7" t="s">
        <v>60</v>
      </c>
      <c r="L332" s="7" t="s">
        <v>53</v>
      </c>
      <c r="M332" s="7" t="s">
        <v>103</v>
      </c>
      <c r="N332" s="7">
        <v>990</v>
      </c>
      <c r="O332" s="7">
        <v>25</v>
      </c>
      <c r="P332" s="16">
        <v>0</v>
      </c>
      <c r="Q332" s="7">
        <v>300</v>
      </c>
      <c r="R332" s="7" t="s">
        <v>55</v>
      </c>
      <c r="S332" s="7" t="s">
        <v>33</v>
      </c>
      <c r="T332" s="7" t="s">
        <v>34</v>
      </c>
      <c r="U332" s="7">
        <v>5</v>
      </c>
      <c r="V332" s="7" t="str">
        <f>TEXT('E-Commerce Sales Data'!$B332,"mmmm")</f>
        <v>April</v>
      </c>
      <c r="W332" s="8">
        <f t="shared" si="20"/>
        <v>4124100</v>
      </c>
      <c r="X332">
        <f t="shared" si="21"/>
        <v>870</v>
      </c>
      <c r="Y332">
        <f t="shared" si="22"/>
        <v>27541.080459770114</v>
      </c>
      <c r="Z332">
        <f t="shared" si="23"/>
        <v>55</v>
      </c>
    </row>
    <row r="333" spans="1:26" x14ac:dyDescent="0.25">
      <c r="A333" s="9" t="s">
        <v>436</v>
      </c>
      <c r="B333" s="10">
        <v>47949</v>
      </c>
      <c r="C333" s="11" t="s">
        <v>105</v>
      </c>
      <c r="D333" s="11" t="s">
        <v>58</v>
      </c>
      <c r="E333" s="11">
        <v>42</v>
      </c>
      <c r="F333" s="11" t="s">
        <v>38</v>
      </c>
      <c r="G333" s="11" t="s">
        <v>51</v>
      </c>
      <c r="H333" s="11" t="s">
        <v>51</v>
      </c>
      <c r="I333" s="11" t="s">
        <v>52</v>
      </c>
      <c r="J333" s="11" t="s">
        <v>42</v>
      </c>
      <c r="K333" s="11" t="s">
        <v>43</v>
      </c>
      <c r="L333" s="11" t="s">
        <v>68</v>
      </c>
      <c r="M333" s="11" t="s">
        <v>106</v>
      </c>
      <c r="N333" s="11">
        <v>27800</v>
      </c>
      <c r="O333" s="11">
        <v>1</v>
      </c>
      <c r="P333" s="17">
        <v>0.08</v>
      </c>
      <c r="Q333" s="11">
        <v>5480</v>
      </c>
      <c r="R333" s="11" t="s">
        <v>46</v>
      </c>
      <c r="S333" s="11" t="s">
        <v>47</v>
      </c>
      <c r="T333" s="11" t="s">
        <v>34</v>
      </c>
      <c r="U333" s="11">
        <v>4</v>
      </c>
      <c r="V333" s="11" t="str">
        <f>TEXT('E-Commerce Sales Data'!$B333,"mmmm")</f>
        <v>April</v>
      </c>
      <c r="W333" s="8">
        <f t="shared" si="20"/>
        <v>4123800</v>
      </c>
      <c r="X333">
        <f t="shared" si="21"/>
        <v>869</v>
      </c>
      <c r="Y333">
        <f t="shared" si="22"/>
        <v>27571.634062140391</v>
      </c>
      <c r="Z333">
        <f t="shared" si="23"/>
        <v>55</v>
      </c>
    </row>
    <row r="334" spans="1:26" x14ac:dyDescent="0.25">
      <c r="A334" s="5" t="s">
        <v>437</v>
      </c>
      <c r="B334" s="6">
        <v>47956</v>
      </c>
      <c r="C334" s="7" t="s">
        <v>108</v>
      </c>
      <c r="D334" s="7" t="s">
        <v>23</v>
      </c>
      <c r="E334" s="7">
        <v>30</v>
      </c>
      <c r="F334" s="7" t="s">
        <v>24</v>
      </c>
      <c r="G334" s="7" t="s">
        <v>59</v>
      </c>
      <c r="H334" s="7" t="s">
        <v>26</v>
      </c>
      <c r="I334" s="7" t="s">
        <v>27</v>
      </c>
      <c r="J334" s="7" t="s">
        <v>28</v>
      </c>
      <c r="K334" s="7" t="s">
        <v>29</v>
      </c>
      <c r="L334" s="7" t="s">
        <v>30</v>
      </c>
      <c r="M334" s="7" t="s">
        <v>31</v>
      </c>
      <c r="N334" s="7">
        <v>78500</v>
      </c>
      <c r="O334" s="7">
        <v>1</v>
      </c>
      <c r="P334" s="16">
        <v>0.1</v>
      </c>
      <c r="Q334" s="7">
        <v>8800</v>
      </c>
      <c r="R334" s="7" t="s">
        <v>32</v>
      </c>
      <c r="S334" s="7" t="s">
        <v>47</v>
      </c>
      <c r="T334" s="7" t="s">
        <v>34</v>
      </c>
      <c r="U334" s="7">
        <v>5</v>
      </c>
      <c r="V334" s="7" t="str">
        <f>TEXT('E-Commerce Sales Data'!$B334,"mmmm")</f>
        <v>April</v>
      </c>
      <c r="W334" s="8">
        <f t="shared" si="20"/>
        <v>4118320</v>
      </c>
      <c r="X334">
        <f t="shared" si="21"/>
        <v>868</v>
      </c>
      <c r="Y334">
        <f t="shared" si="22"/>
        <v>27571.370967741936</v>
      </c>
      <c r="Z334">
        <f t="shared" si="23"/>
        <v>55</v>
      </c>
    </row>
    <row r="335" spans="1:26" x14ac:dyDescent="0.25">
      <c r="A335" s="9" t="s">
        <v>438</v>
      </c>
      <c r="B335" s="10">
        <v>47963</v>
      </c>
      <c r="C335" s="11" t="s">
        <v>110</v>
      </c>
      <c r="D335" s="11" t="s">
        <v>37</v>
      </c>
      <c r="E335" s="11">
        <v>36</v>
      </c>
      <c r="F335" s="11" t="s">
        <v>38</v>
      </c>
      <c r="G335" s="11" t="s">
        <v>66</v>
      </c>
      <c r="H335" s="11" t="s">
        <v>67</v>
      </c>
      <c r="I335" s="11" t="s">
        <v>27</v>
      </c>
      <c r="J335" s="11" t="s">
        <v>28</v>
      </c>
      <c r="K335" s="11" t="s">
        <v>60</v>
      </c>
      <c r="L335" s="11" t="s">
        <v>92</v>
      </c>
      <c r="M335" s="11" t="s">
        <v>111</v>
      </c>
      <c r="N335" s="11">
        <v>1280</v>
      </c>
      <c r="O335" s="11">
        <v>15</v>
      </c>
      <c r="P335" s="17">
        <v>0.05</v>
      </c>
      <c r="Q335" s="11">
        <v>380</v>
      </c>
      <c r="R335" s="11" t="s">
        <v>80</v>
      </c>
      <c r="S335" s="11" t="s">
        <v>33</v>
      </c>
      <c r="T335" s="11" t="s">
        <v>34</v>
      </c>
      <c r="U335" s="11">
        <v>4</v>
      </c>
      <c r="V335" s="11" t="str">
        <f>TEXT('E-Commerce Sales Data'!$B335,"mmmm")</f>
        <v>April</v>
      </c>
      <c r="W335" s="8">
        <f t="shared" si="20"/>
        <v>4109520</v>
      </c>
      <c r="X335">
        <f t="shared" si="21"/>
        <v>867</v>
      </c>
      <c r="Y335">
        <f t="shared" si="22"/>
        <v>27512.629757785468</v>
      </c>
      <c r="Z335">
        <f t="shared" si="23"/>
        <v>55</v>
      </c>
    </row>
    <row r="336" spans="1:26" x14ac:dyDescent="0.25">
      <c r="A336" s="5" t="s">
        <v>439</v>
      </c>
      <c r="B336" s="6">
        <v>47970</v>
      </c>
      <c r="C336" s="7" t="s">
        <v>113</v>
      </c>
      <c r="D336" s="7" t="s">
        <v>114</v>
      </c>
      <c r="E336" s="7">
        <v>40</v>
      </c>
      <c r="F336" s="7" t="s">
        <v>24</v>
      </c>
      <c r="G336" s="7" t="s">
        <v>73</v>
      </c>
      <c r="H336" s="7" t="s">
        <v>74</v>
      </c>
      <c r="I336" s="7" t="s">
        <v>41</v>
      </c>
      <c r="J336" s="7" t="s">
        <v>42</v>
      </c>
      <c r="K336" s="7" t="s">
        <v>43</v>
      </c>
      <c r="L336" s="7" t="s">
        <v>44</v>
      </c>
      <c r="M336" s="7" t="s">
        <v>45</v>
      </c>
      <c r="N336" s="7">
        <v>12000</v>
      </c>
      <c r="O336" s="7">
        <v>4</v>
      </c>
      <c r="P336" s="16">
        <v>7.0000000000000007E-2</v>
      </c>
      <c r="Q336" s="7">
        <v>2620</v>
      </c>
      <c r="R336" s="7" t="s">
        <v>46</v>
      </c>
      <c r="S336" s="7" t="s">
        <v>33</v>
      </c>
      <c r="T336" s="7" t="s">
        <v>34</v>
      </c>
      <c r="U336" s="7">
        <v>4</v>
      </c>
      <c r="V336" s="7" t="str">
        <f>TEXT('E-Commerce Sales Data'!$B336,"mmmm")</f>
        <v>May</v>
      </c>
      <c r="W336" s="8">
        <f t="shared" si="20"/>
        <v>4109140</v>
      </c>
      <c r="X336">
        <f t="shared" si="21"/>
        <v>866</v>
      </c>
      <c r="Y336">
        <f t="shared" si="22"/>
        <v>27542.921478060045</v>
      </c>
      <c r="Z336">
        <f t="shared" si="23"/>
        <v>55</v>
      </c>
    </row>
    <row r="337" spans="1:26" x14ac:dyDescent="0.25">
      <c r="A337" s="9" t="s">
        <v>440</v>
      </c>
      <c r="B337" s="10">
        <v>47977</v>
      </c>
      <c r="C337" s="11" t="s">
        <v>116</v>
      </c>
      <c r="D337" s="11" t="s">
        <v>83</v>
      </c>
      <c r="E337" s="11">
        <v>27</v>
      </c>
      <c r="F337" s="11" t="s">
        <v>38</v>
      </c>
      <c r="G337" s="11" t="s">
        <v>39</v>
      </c>
      <c r="H337" s="11" t="s">
        <v>40</v>
      </c>
      <c r="I337" s="11" t="s">
        <v>41</v>
      </c>
      <c r="J337" s="11" t="s">
        <v>28</v>
      </c>
      <c r="K337" s="11" t="s">
        <v>29</v>
      </c>
      <c r="L337" s="11" t="s">
        <v>53</v>
      </c>
      <c r="M337" s="11" t="s">
        <v>54</v>
      </c>
      <c r="N337" s="11">
        <v>26400</v>
      </c>
      <c r="O337" s="11">
        <v>2</v>
      </c>
      <c r="P337" s="17">
        <v>0.05</v>
      </c>
      <c r="Q337" s="11">
        <v>4850</v>
      </c>
      <c r="R337" s="11" t="s">
        <v>32</v>
      </c>
      <c r="S337" s="11" t="s">
        <v>47</v>
      </c>
      <c r="T337" s="11" t="s">
        <v>34</v>
      </c>
      <c r="U337" s="11">
        <v>5</v>
      </c>
      <c r="V337" s="11" t="str">
        <f>TEXT('E-Commerce Sales Data'!$B337,"mmmm")</f>
        <v>May</v>
      </c>
      <c r="W337" s="8">
        <f t="shared" si="20"/>
        <v>4106520</v>
      </c>
      <c r="X337">
        <f t="shared" si="21"/>
        <v>865</v>
      </c>
      <c r="Y337">
        <f t="shared" si="22"/>
        <v>27560.890173410404</v>
      </c>
      <c r="Z337">
        <f t="shared" si="23"/>
        <v>55</v>
      </c>
    </row>
    <row r="338" spans="1:26" x14ac:dyDescent="0.25">
      <c r="A338" s="5" t="s">
        <v>441</v>
      </c>
      <c r="B338" s="6">
        <v>47984</v>
      </c>
      <c r="C338" s="7" t="s">
        <v>118</v>
      </c>
      <c r="D338" s="7" t="s">
        <v>72</v>
      </c>
      <c r="E338" s="7">
        <v>35</v>
      </c>
      <c r="F338" s="7" t="s">
        <v>24</v>
      </c>
      <c r="G338" s="7" t="s">
        <v>84</v>
      </c>
      <c r="H338" s="7" t="s">
        <v>85</v>
      </c>
      <c r="I338" s="7" t="s">
        <v>52</v>
      </c>
      <c r="J338" s="7" t="s">
        <v>42</v>
      </c>
      <c r="K338" s="7" t="s">
        <v>60</v>
      </c>
      <c r="L338" s="7" t="s">
        <v>61</v>
      </c>
      <c r="M338" s="7" t="s">
        <v>62</v>
      </c>
      <c r="N338" s="7">
        <v>5500</v>
      </c>
      <c r="O338" s="7">
        <v>10</v>
      </c>
      <c r="P338" s="16">
        <v>0.03</v>
      </c>
      <c r="Q338" s="7">
        <v>1340</v>
      </c>
      <c r="R338" s="7" t="s">
        <v>55</v>
      </c>
      <c r="S338" s="7" t="s">
        <v>33</v>
      </c>
      <c r="T338" s="7" t="s">
        <v>34</v>
      </c>
      <c r="U338" s="7">
        <v>4</v>
      </c>
      <c r="V338" s="7" t="str">
        <f>TEXT('E-Commerce Sales Data'!$B338,"mmmm")</f>
        <v>May</v>
      </c>
      <c r="W338" s="8">
        <f t="shared" si="20"/>
        <v>4101670</v>
      </c>
      <c r="X338">
        <f t="shared" si="21"/>
        <v>864</v>
      </c>
      <c r="Y338">
        <f t="shared" si="22"/>
        <v>27562.233796296296</v>
      </c>
      <c r="Z338">
        <f t="shared" si="23"/>
        <v>55</v>
      </c>
    </row>
    <row r="339" spans="1:26" x14ac:dyDescent="0.25">
      <c r="A339" s="9" t="s">
        <v>442</v>
      </c>
      <c r="B339" s="10">
        <v>47991</v>
      </c>
      <c r="C339" s="11" t="s">
        <v>120</v>
      </c>
      <c r="D339" s="11" t="s">
        <v>23</v>
      </c>
      <c r="E339" s="11">
        <v>24</v>
      </c>
      <c r="F339" s="11" t="s">
        <v>38</v>
      </c>
      <c r="G339" s="11" t="s">
        <v>25</v>
      </c>
      <c r="H339" s="11" t="s">
        <v>26</v>
      </c>
      <c r="I339" s="11" t="s">
        <v>27</v>
      </c>
      <c r="J339" s="11" t="s">
        <v>28</v>
      </c>
      <c r="K339" s="11" t="s">
        <v>43</v>
      </c>
      <c r="L339" s="11" t="s">
        <v>68</v>
      </c>
      <c r="M339" s="11" t="s">
        <v>69</v>
      </c>
      <c r="N339" s="11">
        <v>23500</v>
      </c>
      <c r="O339" s="11">
        <v>2</v>
      </c>
      <c r="P339" s="17">
        <v>0.1</v>
      </c>
      <c r="Q339" s="11">
        <v>3700</v>
      </c>
      <c r="R339" s="11" t="s">
        <v>32</v>
      </c>
      <c r="S339" s="11" t="s">
        <v>47</v>
      </c>
      <c r="T339" s="11" t="s">
        <v>34</v>
      </c>
      <c r="U339" s="11">
        <v>5</v>
      </c>
      <c r="V339" s="11" t="str">
        <f>TEXT('E-Commerce Sales Data'!$B339,"mmmm")</f>
        <v>May</v>
      </c>
      <c r="W339" s="8">
        <f t="shared" si="20"/>
        <v>4100330</v>
      </c>
      <c r="X339">
        <f t="shared" si="21"/>
        <v>863</v>
      </c>
      <c r="Y339">
        <f t="shared" si="22"/>
        <v>27587.798377752028</v>
      </c>
      <c r="Z339">
        <f t="shared" si="23"/>
        <v>55</v>
      </c>
    </row>
    <row r="340" spans="1:26" x14ac:dyDescent="0.25">
      <c r="A340" s="5" t="s">
        <v>443</v>
      </c>
      <c r="B340" s="6">
        <v>47998</v>
      </c>
      <c r="C340" s="7" t="s">
        <v>122</v>
      </c>
      <c r="D340" s="7" t="s">
        <v>50</v>
      </c>
      <c r="E340" s="7">
        <v>43</v>
      </c>
      <c r="F340" s="7" t="s">
        <v>24</v>
      </c>
      <c r="G340" s="7" t="s">
        <v>101</v>
      </c>
      <c r="H340" s="7" t="s">
        <v>102</v>
      </c>
      <c r="I340" s="7" t="s">
        <v>41</v>
      </c>
      <c r="J340" s="7" t="s">
        <v>42</v>
      </c>
      <c r="K340" s="7" t="s">
        <v>29</v>
      </c>
      <c r="L340" s="7" t="s">
        <v>53</v>
      </c>
      <c r="M340" s="7" t="s">
        <v>75</v>
      </c>
      <c r="N340" s="7">
        <v>4050</v>
      </c>
      <c r="O340" s="7">
        <v>4</v>
      </c>
      <c r="P340" s="16">
        <v>0.05</v>
      </c>
      <c r="Q340" s="7">
        <v>1000</v>
      </c>
      <c r="R340" s="7" t="s">
        <v>46</v>
      </c>
      <c r="S340" s="7" t="s">
        <v>33</v>
      </c>
      <c r="T340" s="7" t="s">
        <v>34</v>
      </c>
      <c r="U340" s="7">
        <v>3</v>
      </c>
      <c r="V340" s="7" t="str">
        <f>TEXT('E-Commerce Sales Data'!$B340,"mmmm")</f>
        <v>May</v>
      </c>
      <c r="W340" s="8">
        <f t="shared" si="20"/>
        <v>4096630</v>
      </c>
      <c r="X340">
        <f t="shared" si="21"/>
        <v>862</v>
      </c>
      <c r="Y340">
        <f t="shared" si="22"/>
        <v>27592.540603248261</v>
      </c>
      <c r="Z340">
        <f t="shared" si="23"/>
        <v>55</v>
      </c>
    </row>
    <row r="341" spans="1:26" x14ac:dyDescent="0.25">
      <c r="A341" s="9" t="s">
        <v>444</v>
      </c>
      <c r="B341" s="10">
        <v>48005</v>
      </c>
      <c r="C341" s="11" t="s">
        <v>124</v>
      </c>
      <c r="D341" s="11" t="s">
        <v>100</v>
      </c>
      <c r="E341" s="11">
        <v>32</v>
      </c>
      <c r="F341" s="11" t="s">
        <v>38</v>
      </c>
      <c r="G341" s="11" t="s">
        <v>78</v>
      </c>
      <c r="H341" s="11" t="s">
        <v>26</v>
      </c>
      <c r="I341" s="11" t="s">
        <v>27</v>
      </c>
      <c r="J341" s="11" t="s">
        <v>28</v>
      </c>
      <c r="K341" s="11" t="s">
        <v>29</v>
      </c>
      <c r="L341" s="11" t="s">
        <v>53</v>
      </c>
      <c r="M341" s="11" t="s">
        <v>79</v>
      </c>
      <c r="N341" s="11">
        <v>2450</v>
      </c>
      <c r="O341" s="11">
        <v>7</v>
      </c>
      <c r="P341" s="17">
        <v>0</v>
      </c>
      <c r="Q341" s="11">
        <v>730</v>
      </c>
      <c r="R341" s="11" t="s">
        <v>32</v>
      </c>
      <c r="S341" s="11" t="s">
        <v>33</v>
      </c>
      <c r="T341" s="11" t="s">
        <v>34</v>
      </c>
      <c r="U341" s="11">
        <v>4</v>
      </c>
      <c r="V341" s="11" t="str">
        <f>TEXT('E-Commerce Sales Data'!$B341,"mmmm")</f>
        <v>June</v>
      </c>
      <c r="W341" s="8">
        <f t="shared" si="20"/>
        <v>4095630</v>
      </c>
      <c r="X341">
        <f t="shared" si="21"/>
        <v>861</v>
      </c>
      <c r="Y341">
        <f t="shared" si="22"/>
        <v>27619.883855981418</v>
      </c>
      <c r="Z341">
        <f t="shared" si="23"/>
        <v>55</v>
      </c>
    </row>
    <row r="342" spans="1:26" x14ac:dyDescent="0.25">
      <c r="A342" s="5" t="s">
        <v>445</v>
      </c>
      <c r="B342" s="6">
        <v>48012</v>
      </c>
      <c r="C342" s="7" t="s">
        <v>22</v>
      </c>
      <c r="D342" s="7" t="s">
        <v>23</v>
      </c>
      <c r="E342" s="7">
        <v>28</v>
      </c>
      <c r="F342" s="7" t="s">
        <v>24</v>
      </c>
      <c r="G342" s="7" t="s">
        <v>25</v>
      </c>
      <c r="H342" s="7" t="s">
        <v>26</v>
      </c>
      <c r="I342" s="7" t="s">
        <v>27</v>
      </c>
      <c r="J342" s="7" t="s">
        <v>28</v>
      </c>
      <c r="K342" s="7" t="s">
        <v>29</v>
      </c>
      <c r="L342" s="7" t="s">
        <v>30</v>
      </c>
      <c r="M342" s="7" t="s">
        <v>31</v>
      </c>
      <c r="N342" s="7">
        <v>74500</v>
      </c>
      <c r="O342" s="7">
        <v>1</v>
      </c>
      <c r="P342" s="16">
        <v>0.05</v>
      </c>
      <c r="Q342" s="7">
        <v>9900</v>
      </c>
      <c r="R342" s="7" t="s">
        <v>32</v>
      </c>
      <c r="S342" s="7" t="s">
        <v>47</v>
      </c>
      <c r="T342" s="7" t="s">
        <v>34</v>
      </c>
      <c r="U342" s="7">
        <v>5</v>
      </c>
      <c r="V342" s="7" t="str">
        <f>TEXT('E-Commerce Sales Data'!$B342,"mmmm")</f>
        <v>June</v>
      </c>
      <c r="W342" s="8">
        <f t="shared" si="20"/>
        <v>4094900</v>
      </c>
      <c r="X342">
        <f t="shared" si="21"/>
        <v>860</v>
      </c>
      <c r="Y342">
        <f t="shared" si="22"/>
        <v>27649.151162790698</v>
      </c>
      <c r="Z342">
        <f t="shared" si="23"/>
        <v>55</v>
      </c>
    </row>
    <row r="343" spans="1:26" x14ac:dyDescent="0.25">
      <c r="A343" s="9" t="s">
        <v>446</v>
      </c>
      <c r="B343" s="10">
        <v>48019</v>
      </c>
      <c r="C343" s="11" t="s">
        <v>36</v>
      </c>
      <c r="D343" s="11" t="s">
        <v>37</v>
      </c>
      <c r="E343" s="11">
        <v>34</v>
      </c>
      <c r="F343" s="11" t="s">
        <v>38</v>
      </c>
      <c r="G343" s="11" t="s">
        <v>39</v>
      </c>
      <c r="H343" s="11" t="s">
        <v>40</v>
      </c>
      <c r="I343" s="11" t="s">
        <v>41</v>
      </c>
      <c r="J343" s="11" t="s">
        <v>42</v>
      </c>
      <c r="K343" s="11" t="s">
        <v>43</v>
      </c>
      <c r="L343" s="11" t="s">
        <v>44</v>
      </c>
      <c r="M343" s="11" t="s">
        <v>45</v>
      </c>
      <c r="N343" s="11">
        <v>10400</v>
      </c>
      <c r="O343" s="11">
        <v>3</v>
      </c>
      <c r="P343" s="17">
        <v>0.1</v>
      </c>
      <c r="Q343" s="11">
        <v>2350</v>
      </c>
      <c r="R343" s="11" t="s">
        <v>46</v>
      </c>
      <c r="S343" s="11" t="s">
        <v>33</v>
      </c>
      <c r="T343" s="11" t="s">
        <v>34</v>
      </c>
      <c r="U343" s="11">
        <v>4</v>
      </c>
      <c r="V343" s="11" t="str">
        <f>TEXT('E-Commerce Sales Data'!$B343,"mmmm")</f>
        <v>June</v>
      </c>
      <c r="W343" s="8">
        <f t="shared" si="20"/>
        <v>4085000</v>
      </c>
      <c r="X343">
        <f t="shared" si="21"/>
        <v>859</v>
      </c>
      <c r="Y343">
        <f t="shared" si="22"/>
        <v>27594.610011641442</v>
      </c>
      <c r="Z343">
        <f t="shared" si="23"/>
        <v>55</v>
      </c>
    </row>
    <row r="344" spans="1:26" x14ac:dyDescent="0.25">
      <c r="A344" s="5" t="s">
        <v>447</v>
      </c>
      <c r="B344" s="6">
        <v>48026</v>
      </c>
      <c r="C344" s="7" t="s">
        <v>49</v>
      </c>
      <c r="D344" s="7" t="s">
        <v>50</v>
      </c>
      <c r="E344" s="7">
        <v>41</v>
      </c>
      <c r="F344" s="7" t="s">
        <v>24</v>
      </c>
      <c r="G344" s="7" t="s">
        <v>51</v>
      </c>
      <c r="H344" s="7" t="s">
        <v>51</v>
      </c>
      <c r="I344" s="7" t="s">
        <v>52</v>
      </c>
      <c r="J344" s="7" t="s">
        <v>28</v>
      </c>
      <c r="K344" s="7" t="s">
        <v>29</v>
      </c>
      <c r="L344" s="7" t="s">
        <v>53</v>
      </c>
      <c r="M344" s="7" t="s">
        <v>54</v>
      </c>
      <c r="N344" s="7">
        <v>24300</v>
      </c>
      <c r="O344" s="7">
        <v>2</v>
      </c>
      <c r="P344" s="16">
        <v>0.05</v>
      </c>
      <c r="Q344" s="7">
        <v>4400</v>
      </c>
      <c r="R344" s="7" t="s">
        <v>55</v>
      </c>
      <c r="S344" s="7" t="s">
        <v>33</v>
      </c>
      <c r="T344" s="7" t="s">
        <v>34</v>
      </c>
      <c r="U344" s="7">
        <v>4</v>
      </c>
      <c r="V344" s="7" t="str">
        <f>TEXT('E-Commerce Sales Data'!$B344,"mmmm")</f>
        <v>June</v>
      </c>
      <c r="W344" s="8">
        <f t="shared" si="20"/>
        <v>4082650</v>
      </c>
      <c r="X344">
        <f t="shared" si="21"/>
        <v>858</v>
      </c>
      <c r="Y344">
        <f t="shared" si="22"/>
        <v>27614.65034965035</v>
      </c>
      <c r="Z344">
        <f t="shared" si="23"/>
        <v>55</v>
      </c>
    </row>
    <row r="345" spans="1:26" x14ac:dyDescent="0.25">
      <c r="A345" s="9" t="s">
        <v>448</v>
      </c>
      <c r="B345" s="10">
        <v>48033</v>
      </c>
      <c r="C345" s="11" t="s">
        <v>57</v>
      </c>
      <c r="D345" s="11" t="s">
        <v>58</v>
      </c>
      <c r="E345" s="11">
        <v>26</v>
      </c>
      <c r="F345" s="11" t="s">
        <v>38</v>
      </c>
      <c r="G345" s="11" t="s">
        <v>59</v>
      </c>
      <c r="H345" s="11" t="s">
        <v>26</v>
      </c>
      <c r="I345" s="11" t="s">
        <v>27</v>
      </c>
      <c r="J345" s="11" t="s">
        <v>28</v>
      </c>
      <c r="K345" s="11" t="s">
        <v>60</v>
      </c>
      <c r="L345" s="11" t="s">
        <v>61</v>
      </c>
      <c r="M345" s="11" t="s">
        <v>86</v>
      </c>
      <c r="N345" s="11">
        <v>710</v>
      </c>
      <c r="O345" s="11">
        <v>20</v>
      </c>
      <c r="P345" s="17">
        <v>0.02</v>
      </c>
      <c r="Q345" s="11">
        <v>200</v>
      </c>
      <c r="R345" s="11" t="s">
        <v>32</v>
      </c>
      <c r="S345" s="11" t="s">
        <v>33</v>
      </c>
      <c r="T345" s="11" t="s">
        <v>34</v>
      </c>
      <c r="U345" s="11">
        <v>5</v>
      </c>
      <c r="V345" s="11" t="str">
        <f>TEXT('E-Commerce Sales Data'!$B345,"mmmm")</f>
        <v>July</v>
      </c>
      <c r="W345" s="8">
        <f t="shared" si="20"/>
        <v>4078250</v>
      </c>
      <c r="X345">
        <f t="shared" si="21"/>
        <v>857</v>
      </c>
      <c r="Y345">
        <f t="shared" si="22"/>
        <v>27618.518086347725</v>
      </c>
      <c r="Z345">
        <f t="shared" si="23"/>
        <v>55</v>
      </c>
    </row>
    <row r="346" spans="1:26" x14ac:dyDescent="0.25">
      <c r="A346" s="5" t="s">
        <v>449</v>
      </c>
      <c r="B346" s="6">
        <v>48040</v>
      </c>
      <c r="C346" s="7" t="s">
        <v>64</v>
      </c>
      <c r="D346" s="7" t="s">
        <v>65</v>
      </c>
      <c r="E346" s="7">
        <v>39</v>
      </c>
      <c r="F346" s="7" t="s">
        <v>24</v>
      </c>
      <c r="G346" s="7" t="s">
        <v>66</v>
      </c>
      <c r="H346" s="7" t="s">
        <v>67</v>
      </c>
      <c r="I346" s="7" t="s">
        <v>27</v>
      </c>
      <c r="J346" s="7" t="s">
        <v>42</v>
      </c>
      <c r="K346" s="7" t="s">
        <v>43</v>
      </c>
      <c r="L346" s="7" t="s">
        <v>68</v>
      </c>
      <c r="M346" s="7" t="s">
        <v>69</v>
      </c>
      <c r="N346" s="7">
        <v>24000</v>
      </c>
      <c r="O346" s="7">
        <v>2</v>
      </c>
      <c r="P346" s="16">
        <v>0.08</v>
      </c>
      <c r="Q346" s="7">
        <v>4050</v>
      </c>
      <c r="R346" s="7" t="s">
        <v>46</v>
      </c>
      <c r="S346" s="7" t="s">
        <v>47</v>
      </c>
      <c r="T346" s="7" t="s">
        <v>34</v>
      </c>
      <c r="U346" s="7">
        <v>4</v>
      </c>
      <c r="V346" s="7" t="str">
        <f>TEXT('E-Commerce Sales Data'!$B346,"mmmm")</f>
        <v>July</v>
      </c>
      <c r="W346" s="8">
        <f t="shared" si="20"/>
        <v>4078050</v>
      </c>
      <c r="X346">
        <f t="shared" si="21"/>
        <v>856</v>
      </c>
      <c r="Y346">
        <f t="shared" si="22"/>
        <v>27649.953271028036</v>
      </c>
      <c r="Z346">
        <f t="shared" si="23"/>
        <v>55</v>
      </c>
    </row>
    <row r="347" spans="1:26" x14ac:dyDescent="0.25">
      <c r="A347" s="9" t="s">
        <v>450</v>
      </c>
      <c r="B347" s="10">
        <v>48047</v>
      </c>
      <c r="C347" s="11" t="s">
        <v>71</v>
      </c>
      <c r="D347" s="11" t="s">
        <v>72</v>
      </c>
      <c r="E347" s="11">
        <v>31</v>
      </c>
      <c r="F347" s="11" t="s">
        <v>38</v>
      </c>
      <c r="G347" s="11" t="s">
        <v>73</v>
      </c>
      <c r="H347" s="11" t="s">
        <v>74</v>
      </c>
      <c r="I347" s="11" t="s">
        <v>41</v>
      </c>
      <c r="J347" s="11" t="s">
        <v>28</v>
      </c>
      <c r="K347" s="11" t="s">
        <v>29</v>
      </c>
      <c r="L347" s="11" t="s">
        <v>53</v>
      </c>
      <c r="M347" s="11" t="s">
        <v>75</v>
      </c>
      <c r="N347" s="11">
        <v>3750</v>
      </c>
      <c r="O347" s="11">
        <v>3</v>
      </c>
      <c r="P347" s="17">
        <v>0.05</v>
      </c>
      <c r="Q347" s="11">
        <v>930</v>
      </c>
      <c r="R347" s="11" t="s">
        <v>32</v>
      </c>
      <c r="S347" s="11" t="s">
        <v>33</v>
      </c>
      <c r="T347" s="11" t="s">
        <v>34</v>
      </c>
      <c r="U347" s="11">
        <v>4</v>
      </c>
      <c r="V347" s="11" t="str">
        <f>TEXT('E-Commerce Sales Data'!$B347,"mmmm")</f>
        <v>July</v>
      </c>
      <c r="W347" s="8">
        <f t="shared" si="20"/>
        <v>4074000</v>
      </c>
      <c r="X347">
        <f t="shared" si="21"/>
        <v>855</v>
      </c>
      <c r="Y347">
        <f t="shared" si="22"/>
        <v>27654.222222222223</v>
      </c>
      <c r="Z347">
        <f t="shared" si="23"/>
        <v>55</v>
      </c>
    </row>
    <row r="348" spans="1:26" x14ac:dyDescent="0.25">
      <c r="A348" s="5" t="s">
        <v>451</v>
      </c>
      <c r="B348" s="6">
        <v>48054</v>
      </c>
      <c r="C348" s="7" t="s">
        <v>77</v>
      </c>
      <c r="D348" s="7" t="s">
        <v>23</v>
      </c>
      <c r="E348" s="7">
        <v>29</v>
      </c>
      <c r="F348" s="7" t="s">
        <v>24</v>
      </c>
      <c r="G348" s="7" t="s">
        <v>78</v>
      </c>
      <c r="H348" s="7" t="s">
        <v>26</v>
      </c>
      <c r="I348" s="7" t="s">
        <v>27</v>
      </c>
      <c r="J348" s="7" t="s">
        <v>28</v>
      </c>
      <c r="K348" s="7" t="s">
        <v>29</v>
      </c>
      <c r="L348" s="7" t="s">
        <v>53</v>
      </c>
      <c r="M348" s="7" t="s">
        <v>79</v>
      </c>
      <c r="N348" s="7">
        <v>2520</v>
      </c>
      <c r="O348" s="7">
        <v>6</v>
      </c>
      <c r="P348" s="16">
        <v>0</v>
      </c>
      <c r="Q348" s="7">
        <v>750</v>
      </c>
      <c r="R348" s="7" t="s">
        <v>80</v>
      </c>
      <c r="S348" s="7" t="s">
        <v>33</v>
      </c>
      <c r="T348" s="7" t="s">
        <v>34</v>
      </c>
      <c r="U348" s="7">
        <v>3</v>
      </c>
      <c r="V348" s="7" t="str">
        <f>TEXT('E-Commerce Sales Data'!$B348,"mmmm")</f>
        <v>July</v>
      </c>
      <c r="W348" s="8">
        <f t="shared" si="20"/>
        <v>4073070</v>
      </c>
      <c r="X348">
        <f t="shared" si="21"/>
        <v>854</v>
      </c>
      <c r="Y348">
        <f t="shared" si="22"/>
        <v>27682.213114754097</v>
      </c>
      <c r="Z348">
        <f t="shared" si="23"/>
        <v>55</v>
      </c>
    </row>
    <row r="349" spans="1:26" x14ac:dyDescent="0.25">
      <c r="A349" s="9" t="s">
        <v>452</v>
      </c>
      <c r="B349" s="10">
        <v>48061</v>
      </c>
      <c r="C349" s="11" t="s">
        <v>82</v>
      </c>
      <c r="D349" s="11" t="s">
        <v>83</v>
      </c>
      <c r="E349" s="11">
        <v>37</v>
      </c>
      <c r="F349" s="11" t="s">
        <v>38</v>
      </c>
      <c r="G349" s="11" t="s">
        <v>84</v>
      </c>
      <c r="H349" s="11" t="s">
        <v>85</v>
      </c>
      <c r="I349" s="11" t="s">
        <v>52</v>
      </c>
      <c r="J349" s="11" t="s">
        <v>42</v>
      </c>
      <c r="K349" s="11" t="s">
        <v>60</v>
      </c>
      <c r="L349" s="11" t="s">
        <v>61</v>
      </c>
      <c r="M349" s="11" t="s">
        <v>62</v>
      </c>
      <c r="N349" s="11">
        <v>5600</v>
      </c>
      <c r="O349" s="11">
        <v>10</v>
      </c>
      <c r="P349" s="17">
        <v>0.02</v>
      </c>
      <c r="Q349" s="11">
        <v>1380</v>
      </c>
      <c r="R349" s="11" t="s">
        <v>32</v>
      </c>
      <c r="S349" s="11" t="s">
        <v>33</v>
      </c>
      <c r="T349" s="11" t="s">
        <v>34</v>
      </c>
      <c r="U349" s="11">
        <v>5</v>
      </c>
      <c r="V349" s="11" t="str">
        <f>TEXT('E-Commerce Sales Data'!$B349,"mmmm")</f>
        <v>August</v>
      </c>
      <c r="W349" s="8">
        <f t="shared" si="20"/>
        <v>4072320</v>
      </c>
      <c r="X349">
        <f t="shared" si="21"/>
        <v>853</v>
      </c>
      <c r="Y349">
        <f t="shared" si="22"/>
        <v>27711.711606096131</v>
      </c>
      <c r="Z349">
        <f t="shared" si="23"/>
        <v>55</v>
      </c>
    </row>
    <row r="350" spans="1:26" x14ac:dyDescent="0.25">
      <c r="A350" s="5" t="s">
        <v>453</v>
      </c>
      <c r="B350" s="6">
        <v>48068</v>
      </c>
      <c r="C350" s="7" t="s">
        <v>88</v>
      </c>
      <c r="D350" s="7" t="s">
        <v>37</v>
      </c>
      <c r="E350" s="7">
        <v>45</v>
      </c>
      <c r="F350" s="7" t="s">
        <v>24</v>
      </c>
      <c r="G350" s="7" t="s">
        <v>89</v>
      </c>
      <c r="H350" s="7" t="s">
        <v>90</v>
      </c>
      <c r="I350" s="7" t="s">
        <v>91</v>
      </c>
      <c r="J350" s="7" t="s">
        <v>42</v>
      </c>
      <c r="K350" s="7" t="s">
        <v>43</v>
      </c>
      <c r="L350" s="7" t="s">
        <v>92</v>
      </c>
      <c r="M350" s="7" t="s">
        <v>93</v>
      </c>
      <c r="N350" s="7">
        <v>17000</v>
      </c>
      <c r="O350" s="7">
        <v>1</v>
      </c>
      <c r="P350" s="16">
        <v>0.1</v>
      </c>
      <c r="Q350" s="7">
        <v>2940</v>
      </c>
      <c r="R350" s="7" t="s">
        <v>46</v>
      </c>
      <c r="S350" s="7" t="s">
        <v>47</v>
      </c>
      <c r="T350" s="7" t="s">
        <v>34</v>
      </c>
      <c r="U350" s="7">
        <v>4</v>
      </c>
      <c r="V350" s="7" t="str">
        <f>TEXT('E-Commerce Sales Data'!$B350,"mmmm")</f>
        <v>August</v>
      </c>
      <c r="W350" s="8">
        <f t="shared" si="20"/>
        <v>4070940</v>
      </c>
      <c r="X350">
        <f t="shared" si="21"/>
        <v>852</v>
      </c>
      <c r="Y350">
        <f t="shared" si="22"/>
        <v>27737.664319248826</v>
      </c>
      <c r="Z350">
        <f t="shared" si="23"/>
        <v>55</v>
      </c>
    </row>
    <row r="351" spans="1:26" x14ac:dyDescent="0.25">
      <c r="A351" s="9" t="s">
        <v>454</v>
      </c>
      <c r="B351" s="10">
        <v>48075</v>
      </c>
      <c r="C351" s="11" t="s">
        <v>95</v>
      </c>
      <c r="D351" s="11" t="s">
        <v>65</v>
      </c>
      <c r="E351" s="11">
        <v>25</v>
      </c>
      <c r="F351" s="11" t="s">
        <v>38</v>
      </c>
      <c r="G351" s="11" t="s">
        <v>25</v>
      </c>
      <c r="H351" s="11" t="s">
        <v>26</v>
      </c>
      <c r="I351" s="11" t="s">
        <v>27</v>
      </c>
      <c r="J351" s="11" t="s">
        <v>28</v>
      </c>
      <c r="K351" s="11" t="s">
        <v>29</v>
      </c>
      <c r="L351" s="11" t="s">
        <v>96</v>
      </c>
      <c r="M351" s="11" t="s">
        <v>97</v>
      </c>
      <c r="N351" s="11">
        <v>19200</v>
      </c>
      <c r="O351" s="11">
        <v>2</v>
      </c>
      <c r="P351" s="17">
        <v>0.05</v>
      </c>
      <c r="Q351" s="11">
        <v>3680</v>
      </c>
      <c r="R351" s="11" t="s">
        <v>32</v>
      </c>
      <c r="S351" s="11" t="s">
        <v>33</v>
      </c>
      <c r="T351" s="11" t="s">
        <v>34</v>
      </c>
      <c r="U351" s="11">
        <v>4</v>
      </c>
      <c r="V351" s="11" t="str">
        <f>TEXT('E-Commerce Sales Data'!$B351,"mmmm")</f>
        <v>August</v>
      </c>
      <c r="W351" s="8">
        <f t="shared" si="20"/>
        <v>4068000</v>
      </c>
      <c r="X351">
        <f t="shared" si="21"/>
        <v>851</v>
      </c>
      <c r="Y351">
        <f t="shared" si="22"/>
        <v>27750.282021151586</v>
      </c>
      <c r="Z351">
        <f t="shared" si="23"/>
        <v>55</v>
      </c>
    </row>
    <row r="352" spans="1:26" x14ac:dyDescent="0.25">
      <c r="A352" s="5" t="s">
        <v>455</v>
      </c>
      <c r="B352" s="6">
        <v>48082</v>
      </c>
      <c r="C352" s="7" t="s">
        <v>99</v>
      </c>
      <c r="D352" s="7" t="s">
        <v>100</v>
      </c>
      <c r="E352" s="7">
        <v>33</v>
      </c>
      <c r="F352" s="7" t="s">
        <v>24</v>
      </c>
      <c r="G352" s="7" t="s">
        <v>101</v>
      </c>
      <c r="H352" s="7" t="s">
        <v>102</v>
      </c>
      <c r="I352" s="7" t="s">
        <v>41</v>
      </c>
      <c r="J352" s="7" t="s">
        <v>28</v>
      </c>
      <c r="K352" s="7" t="s">
        <v>60</v>
      </c>
      <c r="L352" s="7" t="s">
        <v>53</v>
      </c>
      <c r="M352" s="7" t="s">
        <v>103</v>
      </c>
      <c r="N352" s="7">
        <v>1020</v>
      </c>
      <c r="O352" s="7">
        <v>25</v>
      </c>
      <c r="P352" s="16">
        <v>0</v>
      </c>
      <c r="Q352" s="7">
        <v>310</v>
      </c>
      <c r="R352" s="7" t="s">
        <v>55</v>
      </c>
      <c r="S352" s="7" t="s">
        <v>33</v>
      </c>
      <c r="T352" s="7" t="s">
        <v>34</v>
      </c>
      <c r="U352" s="7">
        <v>5</v>
      </c>
      <c r="V352" s="7" t="str">
        <f>TEXT('E-Commerce Sales Data'!$B352,"mmmm")</f>
        <v>August</v>
      </c>
      <c r="W352" s="8">
        <f t="shared" si="20"/>
        <v>4064320</v>
      </c>
      <c r="X352">
        <f t="shared" si="21"/>
        <v>850</v>
      </c>
      <c r="Y352">
        <f t="shared" si="22"/>
        <v>27760.341176470589</v>
      </c>
      <c r="Z352">
        <f t="shared" si="23"/>
        <v>55</v>
      </c>
    </row>
    <row r="353" spans="1:26" x14ac:dyDescent="0.25">
      <c r="A353" s="9" t="s">
        <v>456</v>
      </c>
      <c r="B353" s="10">
        <v>48089</v>
      </c>
      <c r="C353" s="11" t="s">
        <v>105</v>
      </c>
      <c r="D353" s="11" t="s">
        <v>58</v>
      </c>
      <c r="E353" s="11">
        <v>42</v>
      </c>
      <c r="F353" s="11" t="s">
        <v>38</v>
      </c>
      <c r="G353" s="11" t="s">
        <v>51</v>
      </c>
      <c r="H353" s="11" t="s">
        <v>51</v>
      </c>
      <c r="I353" s="11" t="s">
        <v>52</v>
      </c>
      <c r="J353" s="11" t="s">
        <v>42</v>
      </c>
      <c r="K353" s="11" t="s">
        <v>43</v>
      </c>
      <c r="L353" s="11" t="s">
        <v>68</v>
      </c>
      <c r="M353" s="11" t="s">
        <v>106</v>
      </c>
      <c r="N353" s="11">
        <v>28400</v>
      </c>
      <c r="O353" s="11">
        <v>1</v>
      </c>
      <c r="P353" s="17">
        <v>0.08</v>
      </c>
      <c r="Q353" s="11">
        <v>5620</v>
      </c>
      <c r="R353" s="11" t="s">
        <v>46</v>
      </c>
      <c r="S353" s="11" t="s">
        <v>47</v>
      </c>
      <c r="T353" s="11" t="s">
        <v>34</v>
      </c>
      <c r="U353" s="11">
        <v>4</v>
      </c>
      <c r="V353" s="11" t="str">
        <f>TEXT('E-Commerce Sales Data'!$B353,"mmmm")</f>
        <v>August</v>
      </c>
      <c r="W353" s="8">
        <f t="shared" si="20"/>
        <v>4064010</v>
      </c>
      <c r="X353">
        <f t="shared" si="21"/>
        <v>849</v>
      </c>
      <c r="Y353">
        <f t="shared" si="22"/>
        <v>27791.837455830388</v>
      </c>
      <c r="Z353">
        <f t="shared" si="23"/>
        <v>55</v>
      </c>
    </row>
    <row r="354" spans="1:26" x14ac:dyDescent="0.25">
      <c r="A354" s="5" t="s">
        <v>457</v>
      </c>
      <c r="B354" s="6">
        <v>48096</v>
      </c>
      <c r="C354" s="7" t="s">
        <v>108</v>
      </c>
      <c r="D354" s="7" t="s">
        <v>23</v>
      </c>
      <c r="E354" s="7">
        <v>30</v>
      </c>
      <c r="F354" s="7" t="s">
        <v>24</v>
      </c>
      <c r="G354" s="7" t="s">
        <v>59</v>
      </c>
      <c r="H354" s="7" t="s">
        <v>26</v>
      </c>
      <c r="I354" s="7" t="s">
        <v>27</v>
      </c>
      <c r="J354" s="7" t="s">
        <v>28</v>
      </c>
      <c r="K354" s="7" t="s">
        <v>29</v>
      </c>
      <c r="L354" s="7" t="s">
        <v>30</v>
      </c>
      <c r="M354" s="7" t="s">
        <v>31</v>
      </c>
      <c r="N354" s="7">
        <v>80000</v>
      </c>
      <c r="O354" s="7">
        <v>1</v>
      </c>
      <c r="P354" s="16">
        <v>0.1</v>
      </c>
      <c r="Q354" s="7">
        <v>9000</v>
      </c>
      <c r="R354" s="7" t="s">
        <v>32</v>
      </c>
      <c r="S354" s="7" t="s">
        <v>47</v>
      </c>
      <c r="T354" s="7" t="s">
        <v>34</v>
      </c>
      <c r="U354" s="7">
        <v>5</v>
      </c>
      <c r="V354" s="7" t="str">
        <f>TEXT('E-Commerce Sales Data'!$B354,"mmmm")</f>
        <v>September</v>
      </c>
      <c r="W354" s="8">
        <f t="shared" si="20"/>
        <v>4058390</v>
      </c>
      <c r="X354">
        <f t="shared" si="21"/>
        <v>848</v>
      </c>
      <c r="Y354">
        <f t="shared" si="22"/>
        <v>27791.120283018867</v>
      </c>
      <c r="Z354">
        <f t="shared" si="23"/>
        <v>55</v>
      </c>
    </row>
    <row r="355" spans="1:26" x14ac:dyDescent="0.25">
      <c r="A355" s="9" t="s">
        <v>458</v>
      </c>
      <c r="B355" s="10">
        <v>48103</v>
      </c>
      <c r="C355" s="11" t="s">
        <v>110</v>
      </c>
      <c r="D355" s="11" t="s">
        <v>37</v>
      </c>
      <c r="E355" s="11">
        <v>36</v>
      </c>
      <c r="F355" s="11" t="s">
        <v>38</v>
      </c>
      <c r="G355" s="11" t="s">
        <v>66</v>
      </c>
      <c r="H355" s="11" t="s">
        <v>67</v>
      </c>
      <c r="I355" s="11" t="s">
        <v>27</v>
      </c>
      <c r="J355" s="11" t="s">
        <v>28</v>
      </c>
      <c r="K355" s="11" t="s">
        <v>60</v>
      </c>
      <c r="L355" s="11" t="s">
        <v>92</v>
      </c>
      <c r="M355" s="11" t="s">
        <v>111</v>
      </c>
      <c r="N355" s="11">
        <v>1320</v>
      </c>
      <c r="O355" s="11">
        <v>15</v>
      </c>
      <c r="P355" s="17">
        <v>0.05</v>
      </c>
      <c r="Q355" s="11">
        <v>395</v>
      </c>
      <c r="R355" s="11" t="s">
        <v>80</v>
      </c>
      <c r="S355" s="11" t="s">
        <v>33</v>
      </c>
      <c r="T355" s="11" t="s">
        <v>34</v>
      </c>
      <c r="U355" s="11">
        <v>4</v>
      </c>
      <c r="V355" s="11" t="str">
        <f>TEXT('E-Commerce Sales Data'!$B355,"mmmm")</f>
        <v>September</v>
      </c>
      <c r="W355" s="8">
        <f t="shared" si="20"/>
        <v>4049390</v>
      </c>
      <c r="X355">
        <f t="shared" si="21"/>
        <v>847</v>
      </c>
      <c r="Y355">
        <f t="shared" si="22"/>
        <v>27729.480519480519</v>
      </c>
      <c r="Z355">
        <f t="shared" si="23"/>
        <v>55</v>
      </c>
    </row>
    <row r="356" spans="1:26" x14ac:dyDescent="0.25">
      <c r="A356" s="5" t="s">
        <v>459</v>
      </c>
      <c r="B356" s="6">
        <v>48110</v>
      </c>
      <c r="C356" s="7" t="s">
        <v>113</v>
      </c>
      <c r="D356" s="7" t="s">
        <v>114</v>
      </c>
      <c r="E356" s="7">
        <v>40</v>
      </c>
      <c r="F356" s="7" t="s">
        <v>24</v>
      </c>
      <c r="G356" s="7" t="s">
        <v>73</v>
      </c>
      <c r="H356" s="7" t="s">
        <v>74</v>
      </c>
      <c r="I356" s="7" t="s">
        <v>41</v>
      </c>
      <c r="J356" s="7" t="s">
        <v>42</v>
      </c>
      <c r="K356" s="7" t="s">
        <v>43</v>
      </c>
      <c r="L356" s="7" t="s">
        <v>44</v>
      </c>
      <c r="M356" s="7" t="s">
        <v>45</v>
      </c>
      <c r="N356" s="7">
        <v>12400</v>
      </c>
      <c r="O356" s="7">
        <v>4</v>
      </c>
      <c r="P356" s="16">
        <v>7.0000000000000007E-2</v>
      </c>
      <c r="Q356" s="7">
        <v>2700</v>
      </c>
      <c r="R356" s="7" t="s">
        <v>46</v>
      </c>
      <c r="S356" s="7" t="s">
        <v>33</v>
      </c>
      <c r="T356" s="7" t="s">
        <v>34</v>
      </c>
      <c r="U356" s="7">
        <v>4</v>
      </c>
      <c r="V356" s="7" t="str">
        <f>TEXT('E-Commerce Sales Data'!$B356,"mmmm")</f>
        <v>September</v>
      </c>
      <c r="W356" s="8">
        <f t="shared" si="20"/>
        <v>4048995</v>
      </c>
      <c r="X356">
        <f t="shared" si="21"/>
        <v>846</v>
      </c>
      <c r="Y356">
        <f t="shared" si="22"/>
        <v>27760.697399527187</v>
      </c>
      <c r="Z356">
        <f t="shared" si="23"/>
        <v>55</v>
      </c>
    </row>
    <row r="357" spans="1:26" x14ac:dyDescent="0.25">
      <c r="A357" s="9" t="s">
        <v>460</v>
      </c>
      <c r="B357" s="10">
        <v>48117</v>
      </c>
      <c r="C357" s="11" t="s">
        <v>116</v>
      </c>
      <c r="D357" s="11" t="s">
        <v>83</v>
      </c>
      <c r="E357" s="11">
        <v>27</v>
      </c>
      <c r="F357" s="11" t="s">
        <v>38</v>
      </c>
      <c r="G357" s="11" t="s">
        <v>39</v>
      </c>
      <c r="H357" s="11" t="s">
        <v>40</v>
      </c>
      <c r="I357" s="11" t="s">
        <v>41</v>
      </c>
      <c r="J357" s="11" t="s">
        <v>28</v>
      </c>
      <c r="K357" s="11" t="s">
        <v>29</v>
      </c>
      <c r="L357" s="11" t="s">
        <v>53</v>
      </c>
      <c r="M357" s="11" t="s">
        <v>54</v>
      </c>
      <c r="N357" s="11">
        <v>27100</v>
      </c>
      <c r="O357" s="11">
        <v>2</v>
      </c>
      <c r="P357" s="17">
        <v>0.05</v>
      </c>
      <c r="Q357" s="11">
        <v>5000</v>
      </c>
      <c r="R357" s="11" t="s">
        <v>32</v>
      </c>
      <c r="S357" s="11" t="s">
        <v>47</v>
      </c>
      <c r="T357" s="11" t="s">
        <v>34</v>
      </c>
      <c r="U357" s="11">
        <v>5</v>
      </c>
      <c r="V357" s="11" t="str">
        <f>TEXT('E-Commerce Sales Data'!$B357,"mmmm")</f>
        <v>September</v>
      </c>
      <c r="W357" s="8">
        <f t="shared" si="20"/>
        <v>4046295</v>
      </c>
      <c r="X357">
        <f t="shared" si="21"/>
        <v>845</v>
      </c>
      <c r="Y357">
        <f t="shared" si="22"/>
        <v>27778.875739644969</v>
      </c>
      <c r="Z357">
        <f t="shared" si="23"/>
        <v>55</v>
      </c>
    </row>
    <row r="358" spans="1:26" x14ac:dyDescent="0.25">
      <c r="A358" s="5" t="s">
        <v>461</v>
      </c>
      <c r="B358" s="6">
        <v>48124</v>
      </c>
      <c r="C358" s="7" t="s">
        <v>118</v>
      </c>
      <c r="D358" s="7" t="s">
        <v>72</v>
      </c>
      <c r="E358" s="7">
        <v>35</v>
      </c>
      <c r="F358" s="7" t="s">
        <v>24</v>
      </c>
      <c r="G358" s="7" t="s">
        <v>84</v>
      </c>
      <c r="H358" s="7" t="s">
        <v>85</v>
      </c>
      <c r="I358" s="7" t="s">
        <v>52</v>
      </c>
      <c r="J358" s="7" t="s">
        <v>42</v>
      </c>
      <c r="K358" s="7" t="s">
        <v>60</v>
      </c>
      <c r="L358" s="7" t="s">
        <v>61</v>
      </c>
      <c r="M358" s="7" t="s">
        <v>62</v>
      </c>
      <c r="N358" s="7">
        <v>5700</v>
      </c>
      <c r="O358" s="7">
        <v>10</v>
      </c>
      <c r="P358" s="16">
        <v>0.03</v>
      </c>
      <c r="Q358" s="7">
        <v>1390</v>
      </c>
      <c r="R358" s="7" t="s">
        <v>55</v>
      </c>
      <c r="S358" s="7" t="s">
        <v>33</v>
      </c>
      <c r="T358" s="7" t="s">
        <v>34</v>
      </c>
      <c r="U358" s="7">
        <v>4</v>
      </c>
      <c r="V358" s="7" t="str">
        <f>TEXT('E-Commerce Sales Data'!$B358,"mmmm")</f>
        <v>October</v>
      </c>
      <c r="W358" s="8">
        <f t="shared" si="20"/>
        <v>4041295</v>
      </c>
      <c r="X358">
        <f t="shared" si="21"/>
        <v>844</v>
      </c>
      <c r="Y358">
        <f t="shared" si="22"/>
        <v>27779.68009478673</v>
      </c>
      <c r="Z358">
        <f t="shared" si="23"/>
        <v>55</v>
      </c>
    </row>
    <row r="359" spans="1:26" x14ac:dyDescent="0.25">
      <c r="A359" s="9" t="s">
        <v>462</v>
      </c>
      <c r="B359" s="10">
        <v>48131</v>
      </c>
      <c r="C359" s="11" t="s">
        <v>120</v>
      </c>
      <c r="D359" s="11" t="s">
        <v>23</v>
      </c>
      <c r="E359" s="11">
        <v>24</v>
      </c>
      <c r="F359" s="11" t="s">
        <v>38</v>
      </c>
      <c r="G359" s="11" t="s">
        <v>25</v>
      </c>
      <c r="H359" s="11" t="s">
        <v>26</v>
      </c>
      <c r="I359" s="11" t="s">
        <v>27</v>
      </c>
      <c r="J359" s="11" t="s">
        <v>28</v>
      </c>
      <c r="K359" s="11" t="s">
        <v>43</v>
      </c>
      <c r="L359" s="11" t="s">
        <v>68</v>
      </c>
      <c r="M359" s="11" t="s">
        <v>69</v>
      </c>
      <c r="N359" s="11">
        <v>24200</v>
      </c>
      <c r="O359" s="11">
        <v>2</v>
      </c>
      <c r="P359" s="17">
        <v>0.1</v>
      </c>
      <c r="Q359" s="11">
        <v>3820</v>
      </c>
      <c r="R359" s="11" t="s">
        <v>32</v>
      </c>
      <c r="S359" s="11" t="s">
        <v>47</v>
      </c>
      <c r="T359" s="11" t="s">
        <v>34</v>
      </c>
      <c r="U359" s="11">
        <v>5</v>
      </c>
      <c r="V359" s="11" t="str">
        <f>TEXT('E-Commerce Sales Data'!$B359,"mmmm")</f>
        <v>October</v>
      </c>
      <c r="W359" s="8">
        <f t="shared" si="20"/>
        <v>4039905</v>
      </c>
      <c r="X359">
        <f t="shared" si="21"/>
        <v>843</v>
      </c>
      <c r="Y359">
        <f t="shared" si="22"/>
        <v>27805.871886120996</v>
      </c>
      <c r="Z359">
        <f t="shared" si="23"/>
        <v>55</v>
      </c>
    </row>
    <row r="360" spans="1:26" x14ac:dyDescent="0.25">
      <c r="A360" s="5" t="s">
        <v>463</v>
      </c>
      <c r="B360" s="6">
        <v>48138</v>
      </c>
      <c r="C360" s="7" t="s">
        <v>122</v>
      </c>
      <c r="D360" s="7" t="s">
        <v>50</v>
      </c>
      <c r="E360" s="7">
        <v>43</v>
      </c>
      <c r="F360" s="7" t="s">
        <v>24</v>
      </c>
      <c r="G360" s="7" t="s">
        <v>101</v>
      </c>
      <c r="H360" s="7" t="s">
        <v>102</v>
      </c>
      <c r="I360" s="7" t="s">
        <v>41</v>
      </c>
      <c r="J360" s="7" t="s">
        <v>42</v>
      </c>
      <c r="K360" s="7" t="s">
        <v>29</v>
      </c>
      <c r="L360" s="7" t="s">
        <v>53</v>
      </c>
      <c r="M360" s="7" t="s">
        <v>75</v>
      </c>
      <c r="N360" s="7">
        <v>4150</v>
      </c>
      <c r="O360" s="7">
        <v>4</v>
      </c>
      <c r="P360" s="16">
        <v>0.05</v>
      </c>
      <c r="Q360" s="7">
        <v>1020</v>
      </c>
      <c r="R360" s="7" t="s">
        <v>46</v>
      </c>
      <c r="S360" s="7" t="s">
        <v>33</v>
      </c>
      <c r="T360" s="7" t="s">
        <v>34</v>
      </c>
      <c r="U360" s="7">
        <v>3</v>
      </c>
      <c r="V360" s="7" t="str">
        <f>TEXT('E-Commerce Sales Data'!$B360,"mmmm")</f>
        <v>October</v>
      </c>
      <c r="W360" s="8">
        <f t="shared" si="20"/>
        <v>4036085</v>
      </c>
      <c r="X360">
        <f t="shared" si="21"/>
        <v>842</v>
      </c>
      <c r="Y360">
        <f t="shared" si="22"/>
        <v>27810.154394299287</v>
      </c>
      <c r="Z360">
        <f t="shared" si="23"/>
        <v>55</v>
      </c>
    </row>
    <row r="361" spans="1:26" x14ac:dyDescent="0.25">
      <c r="A361" s="9" t="s">
        <v>464</v>
      </c>
      <c r="B361" s="10">
        <v>48145</v>
      </c>
      <c r="C361" s="11" t="s">
        <v>124</v>
      </c>
      <c r="D361" s="11" t="s">
        <v>100</v>
      </c>
      <c r="E361" s="11">
        <v>32</v>
      </c>
      <c r="F361" s="11" t="s">
        <v>38</v>
      </c>
      <c r="G361" s="11" t="s">
        <v>78</v>
      </c>
      <c r="H361" s="11" t="s">
        <v>26</v>
      </c>
      <c r="I361" s="11" t="s">
        <v>27</v>
      </c>
      <c r="J361" s="11" t="s">
        <v>28</v>
      </c>
      <c r="K361" s="11" t="s">
        <v>29</v>
      </c>
      <c r="L361" s="11" t="s">
        <v>53</v>
      </c>
      <c r="M361" s="11" t="s">
        <v>79</v>
      </c>
      <c r="N361" s="11">
        <v>2600</v>
      </c>
      <c r="O361" s="11">
        <v>7</v>
      </c>
      <c r="P361" s="17">
        <v>0</v>
      </c>
      <c r="Q361" s="11">
        <v>780</v>
      </c>
      <c r="R361" s="11" t="s">
        <v>32</v>
      </c>
      <c r="S361" s="11" t="s">
        <v>33</v>
      </c>
      <c r="T361" s="11" t="s">
        <v>34</v>
      </c>
      <c r="U361" s="11">
        <v>4</v>
      </c>
      <c r="V361" s="11" t="str">
        <f>TEXT('E-Commerce Sales Data'!$B361,"mmmm")</f>
        <v>October</v>
      </c>
      <c r="W361" s="8">
        <f t="shared" si="20"/>
        <v>4035065</v>
      </c>
      <c r="X361">
        <f t="shared" si="21"/>
        <v>841</v>
      </c>
      <c r="Y361">
        <f t="shared" si="22"/>
        <v>27838.287752675387</v>
      </c>
      <c r="Z361">
        <f t="shared" si="23"/>
        <v>55</v>
      </c>
    </row>
    <row r="362" spans="1:26" x14ac:dyDescent="0.25">
      <c r="A362" s="5" t="s">
        <v>465</v>
      </c>
      <c r="B362" s="6">
        <v>48152</v>
      </c>
      <c r="C362" s="7" t="s">
        <v>22</v>
      </c>
      <c r="D362" s="7" t="s">
        <v>23</v>
      </c>
      <c r="E362" s="7">
        <v>28</v>
      </c>
      <c r="F362" s="7" t="s">
        <v>24</v>
      </c>
      <c r="G362" s="7" t="s">
        <v>25</v>
      </c>
      <c r="H362" s="7" t="s">
        <v>26</v>
      </c>
      <c r="I362" s="7" t="s">
        <v>27</v>
      </c>
      <c r="J362" s="7" t="s">
        <v>28</v>
      </c>
      <c r="K362" s="7" t="s">
        <v>29</v>
      </c>
      <c r="L362" s="7" t="s">
        <v>30</v>
      </c>
      <c r="M362" s="7" t="s">
        <v>31</v>
      </c>
      <c r="N362" s="7">
        <v>76000</v>
      </c>
      <c r="O362" s="7">
        <v>1</v>
      </c>
      <c r="P362" s="16">
        <v>0.05</v>
      </c>
      <c r="Q362" s="7">
        <v>10100</v>
      </c>
      <c r="R362" s="7" t="s">
        <v>32</v>
      </c>
      <c r="S362" s="7" t="s">
        <v>47</v>
      </c>
      <c r="T362" s="7" t="s">
        <v>34</v>
      </c>
      <c r="U362" s="7">
        <v>5</v>
      </c>
      <c r="V362" s="7" t="str">
        <f>TEXT('E-Commerce Sales Data'!$B362,"mmmm")</f>
        <v>October</v>
      </c>
      <c r="W362" s="8">
        <f t="shared" si="20"/>
        <v>4034285</v>
      </c>
      <c r="X362">
        <f t="shared" si="21"/>
        <v>840</v>
      </c>
      <c r="Y362">
        <f t="shared" si="22"/>
        <v>27868.333333333332</v>
      </c>
      <c r="Z362">
        <f t="shared" si="23"/>
        <v>55</v>
      </c>
    </row>
    <row r="363" spans="1:26" x14ac:dyDescent="0.25">
      <c r="A363" s="9" t="s">
        <v>466</v>
      </c>
      <c r="B363" s="10">
        <v>48159</v>
      </c>
      <c r="C363" s="11" t="s">
        <v>36</v>
      </c>
      <c r="D363" s="11" t="s">
        <v>37</v>
      </c>
      <c r="E363" s="11">
        <v>34</v>
      </c>
      <c r="F363" s="11" t="s">
        <v>38</v>
      </c>
      <c r="G363" s="11" t="s">
        <v>39</v>
      </c>
      <c r="H363" s="11" t="s">
        <v>40</v>
      </c>
      <c r="I363" s="11" t="s">
        <v>41</v>
      </c>
      <c r="J363" s="11" t="s">
        <v>42</v>
      </c>
      <c r="K363" s="11" t="s">
        <v>43</v>
      </c>
      <c r="L363" s="11" t="s">
        <v>44</v>
      </c>
      <c r="M363" s="11" t="s">
        <v>45</v>
      </c>
      <c r="N363" s="11">
        <v>10700</v>
      </c>
      <c r="O363" s="11">
        <v>3</v>
      </c>
      <c r="P363" s="17">
        <v>0.1</v>
      </c>
      <c r="Q363" s="11">
        <v>2420</v>
      </c>
      <c r="R363" s="11" t="s">
        <v>46</v>
      </c>
      <c r="S363" s="11" t="s">
        <v>33</v>
      </c>
      <c r="T363" s="11" t="s">
        <v>34</v>
      </c>
      <c r="U363" s="11">
        <v>4</v>
      </c>
      <c r="V363" s="11" t="str">
        <f>TEXT('E-Commerce Sales Data'!$B363,"mmmm")</f>
        <v>November</v>
      </c>
      <c r="W363" s="8">
        <f t="shared" si="20"/>
        <v>4024185</v>
      </c>
      <c r="X363">
        <f t="shared" si="21"/>
        <v>839</v>
      </c>
      <c r="Y363">
        <f t="shared" si="22"/>
        <v>27810.965435041715</v>
      </c>
      <c r="Z363">
        <f t="shared" si="23"/>
        <v>55</v>
      </c>
    </row>
    <row r="364" spans="1:26" x14ac:dyDescent="0.25">
      <c r="A364" s="5" t="s">
        <v>467</v>
      </c>
      <c r="B364" s="6">
        <v>48166</v>
      </c>
      <c r="C364" s="7" t="s">
        <v>49</v>
      </c>
      <c r="D364" s="7" t="s">
        <v>50</v>
      </c>
      <c r="E364" s="7">
        <v>41</v>
      </c>
      <c r="F364" s="7" t="s">
        <v>24</v>
      </c>
      <c r="G364" s="7" t="s">
        <v>51</v>
      </c>
      <c r="H364" s="7" t="s">
        <v>51</v>
      </c>
      <c r="I364" s="7" t="s">
        <v>52</v>
      </c>
      <c r="J364" s="7" t="s">
        <v>28</v>
      </c>
      <c r="K364" s="7" t="s">
        <v>29</v>
      </c>
      <c r="L364" s="7" t="s">
        <v>53</v>
      </c>
      <c r="M364" s="7" t="s">
        <v>54</v>
      </c>
      <c r="N364" s="7">
        <v>25000</v>
      </c>
      <c r="O364" s="7">
        <v>2</v>
      </c>
      <c r="P364" s="16">
        <v>0.05</v>
      </c>
      <c r="Q364" s="7">
        <v>4550</v>
      </c>
      <c r="R364" s="7" t="s">
        <v>55</v>
      </c>
      <c r="S364" s="7" t="s">
        <v>33</v>
      </c>
      <c r="T364" s="7" t="s">
        <v>34</v>
      </c>
      <c r="U364" s="7">
        <v>4</v>
      </c>
      <c r="V364" s="7" t="str">
        <f>TEXT('E-Commerce Sales Data'!$B364,"mmmm")</f>
        <v>November</v>
      </c>
      <c r="W364" s="8">
        <f t="shared" si="20"/>
        <v>4021765</v>
      </c>
      <c r="X364">
        <f t="shared" si="21"/>
        <v>838</v>
      </c>
      <c r="Y364">
        <f t="shared" si="22"/>
        <v>27831.384248210023</v>
      </c>
      <c r="Z364">
        <f t="shared" si="23"/>
        <v>55</v>
      </c>
    </row>
    <row r="365" spans="1:26" x14ac:dyDescent="0.25">
      <c r="A365" s="9" t="s">
        <v>468</v>
      </c>
      <c r="B365" s="10">
        <v>48173</v>
      </c>
      <c r="C365" s="11" t="s">
        <v>57</v>
      </c>
      <c r="D365" s="11" t="s">
        <v>58</v>
      </c>
      <c r="E365" s="11">
        <v>26</v>
      </c>
      <c r="F365" s="11" t="s">
        <v>38</v>
      </c>
      <c r="G365" s="11" t="s">
        <v>59</v>
      </c>
      <c r="H365" s="11" t="s">
        <v>26</v>
      </c>
      <c r="I365" s="11" t="s">
        <v>27</v>
      </c>
      <c r="J365" s="11" t="s">
        <v>28</v>
      </c>
      <c r="K365" s="11" t="s">
        <v>60</v>
      </c>
      <c r="L365" s="11" t="s">
        <v>61</v>
      </c>
      <c r="M365" s="11" t="s">
        <v>86</v>
      </c>
      <c r="N365" s="11">
        <v>730</v>
      </c>
      <c r="O365" s="11">
        <v>20</v>
      </c>
      <c r="P365" s="17">
        <v>0.02</v>
      </c>
      <c r="Q365" s="11">
        <v>210</v>
      </c>
      <c r="R365" s="11" t="s">
        <v>32</v>
      </c>
      <c r="S365" s="11" t="s">
        <v>33</v>
      </c>
      <c r="T365" s="11" t="s">
        <v>34</v>
      </c>
      <c r="U365" s="11">
        <v>5</v>
      </c>
      <c r="V365" s="11" t="str">
        <f>TEXT('E-Commerce Sales Data'!$B365,"mmmm")</f>
        <v>November</v>
      </c>
      <c r="W365" s="8">
        <f t="shared" si="20"/>
        <v>4017215</v>
      </c>
      <c r="X365">
        <f t="shared" si="21"/>
        <v>837</v>
      </c>
      <c r="Y365">
        <f t="shared" si="22"/>
        <v>27834.767025089604</v>
      </c>
      <c r="Z365">
        <f t="shared" si="23"/>
        <v>55</v>
      </c>
    </row>
    <row r="366" spans="1:26" x14ac:dyDescent="0.25">
      <c r="A366" s="5" t="s">
        <v>469</v>
      </c>
      <c r="B366" s="6">
        <v>48180</v>
      </c>
      <c r="C366" s="7" t="s">
        <v>64</v>
      </c>
      <c r="D366" s="7" t="s">
        <v>65</v>
      </c>
      <c r="E366" s="7">
        <v>39</v>
      </c>
      <c r="F366" s="7" t="s">
        <v>24</v>
      </c>
      <c r="G366" s="7" t="s">
        <v>66</v>
      </c>
      <c r="H366" s="7" t="s">
        <v>67</v>
      </c>
      <c r="I366" s="7" t="s">
        <v>27</v>
      </c>
      <c r="J366" s="7" t="s">
        <v>42</v>
      </c>
      <c r="K366" s="7" t="s">
        <v>43</v>
      </c>
      <c r="L366" s="7" t="s">
        <v>68</v>
      </c>
      <c r="M366" s="7" t="s">
        <v>69</v>
      </c>
      <c r="N366" s="7">
        <v>24800</v>
      </c>
      <c r="O366" s="7">
        <v>2</v>
      </c>
      <c r="P366" s="16">
        <v>0.08</v>
      </c>
      <c r="Q366" s="7">
        <v>4200</v>
      </c>
      <c r="R366" s="7" t="s">
        <v>46</v>
      </c>
      <c r="S366" s="7" t="s">
        <v>47</v>
      </c>
      <c r="T366" s="7" t="s">
        <v>34</v>
      </c>
      <c r="U366" s="7">
        <v>4</v>
      </c>
      <c r="V366" s="7" t="str">
        <f>TEXT('E-Commerce Sales Data'!$B366,"mmmm")</f>
        <v>November</v>
      </c>
      <c r="W366" s="8">
        <f t="shared" si="20"/>
        <v>4017005</v>
      </c>
      <c r="X366">
        <f t="shared" si="21"/>
        <v>836</v>
      </c>
      <c r="Y366">
        <f t="shared" si="22"/>
        <v>27867.188995215311</v>
      </c>
      <c r="Z366">
        <f t="shared" si="23"/>
        <v>55</v>
      </c>
    </row>
    <row r="367" spans="1:26" x14ac:dyDescent="0.25">
      <c r="A367" s="9" t="s">
        <v>470</v>
      </c>
      <c r="B367" s="10">
        <v>48187</v>
      </c>
      <c r="C367" s="11" t="s">
        <v>71</v>
      </c>
      <c r="D367" s="11" t="s">
        <v>72</v>
      </c>
      <c r="E367" s="11">
        <v>31</v>
      </c>
      <c r="F367" s="11" t="s">
        <v>38</v>
      </c>
      <c r="G367" s="11" t="s">
        <v>73</v>
      </c>
      <c r="H367" s="11" t="s">
        <v>74</v>
      </c>
      <c r="I367" s="11" t="s">
        <v>41</v>
      </c>
      <c r="J367" s="11" t="s">
        <v>28</v>
      </c>
      <c r="K367" s="11" t="s">
        <v>29</v>
      </c>
      <c r="L367" s="11" t="s">
        <v>53</v>
      </c>
      <c r="M367" s="11" t="s">
        <v>75</v>
      </c>
      <c r="N367" s="11">
        <v>3850</v>
      </c>
      <c r="O367" s="11">
        <v>3</v>
      </c>
      <c r="P367" s="17">
        <v>0.05</v>
      </c>
      <c r="Q367" s="11">
        <v>960</v>
      </c>
      <c r="R367" s="11" t="s">
        <v>32</v>
      </c>
      <c r="S367" s="11" t="s">
        <v>33</v>
      </c>
      <c r="T367" s="11" t="s">
        <v>34</v>
      </c>
      <c r="U367" s="11">
        <v>4</v>
      </c>
      <c r="V367" s="11" t="str">
        <f>TEXT('E-Commerce Sales Data'!$B367,"mmmm")</f>
        <v>December</v>
      </c>
      <c r="W367" s="8">
        <f t="shared" si="20"/>
        <v>4012805</v>
      </c>
      <c r="X367">
        <f t="shared" si="21"/>
        <v>835</v>
      </c>
      <c r="Y367">
        <f t="shared" si="22"/>
        <v>27870.862275449101</v>
      </c>
      <c r="Z367">
        <f t="shared" si="23"/>
        <v>55</v>
      </c>
    </row>
    <row r="368" spans="1:26" x14ac:dyDescent="0.25">
      <c r="A368" s="5" t="s">
        <v>471</v>
      </c>
      <c r="B368" s="6">
        <v>48194</v>
      </c>
      <c r="C368" s="7" t="s">
        <v>77</v>
      </c>
      <c r="D368" s="7" t="s">
        <v>23</v>
      </c>
      <c r="E368" s="7">
        <v>29</v>
      </c>
      <c r="F368" s="7" t="s">
        <v>24</v>
      </c>
      <c r="G368" s="7" t="s">
        <v>78</v>
      </c>
      <c r="H368" s="7" t="s">
        <v>26</v>
      </c>
      <c r="I368" s="7" t="s">
        <v>27</v>
      </c>
      <c r="J368" s="7" t="s">
        <v>28</v>
      </c>
      <c r="K368" s="7" t="s">
        <v>29</v>
      </c>
      <c r="L368" s="7" t="s">
        <v>53</v>
      </c>
      <c r="M368" s="7" t="s">
        <v>79</v>
      </c>
      <c r="N368" s="7">
        <v>2700</v>
      </c>
      <c r="O368" s="7">
        <v>6</v>
      </c>
      <c r="P368" s="16">
        <v>0</v>
      </c>
      <c r="Q368" s="7">
        <v>800</v>
      </c>
      <c r="R368" s="7" t="s">
        <v>80</v>
      </c>
      <c r="S368" s="7" t="s">
        <v>33</v>
      </c>
      <c r="T368" s="7" t="s">
        <v>34</v>
      </c>
      <c r="U368" s="7">
        <v>3</v>
      </c>
      <c r="V368" s="7" t="str">
        <f>TEXT('E-Commerce Sales Data'!$B368,"mmmm")</f>
        <v>December</v>
      </c>
      <c r="W368" s="8">
        <f t="shared" si="20"/>
        <v>4011845</v>
      </c>
      <c r="X368">
        <f t="shared" si="21"/>
        <v>834</v>
      </c>
      <c r="Y368">
        <f t="shared" si="22"/>
        <v>27899.664268585133</v>
      </c>
      <c r="Z368">
        <f t="shared" si="23"/>
        <v>55</v>
      </c>
    </row>
    <row r="369" spans="1:26" x14ac:dyDescent="0.25">
      <c r="A369" s="9" t="s">
        <v>472</v>
      </c>
      <c r="B369" s="10">
        <v>48201</v>
      </c>
      <c r="C369" s="11" t="s">
        <v>82</v>
      </c>
      <c r="D369" s="11" t="s">
        <v>83</v>
      </c>
      <c r="E369" s="11">
        <v>37</v>
      </c>
      <c r="F369" s="11" t="s">
        <v>38</v>
      </c>
      <c r="G369" s="11" t="s">
        <v>84</v>
      </c>
      <c r="H369" s="11" t="s">
        <v>85</v>
      </c>
      <c r="I369" s="11" t="s">
        <v>52</v>
      </c>
      <c r="J369" s="11" t="s">
        <v>42</v>
      </c>
      <c r="K369" s="11" t="s">
        <v>60</v>
      </c>
      <c r="L369" s="11" t="s">
        <v>61</v>
      </c>
      <c r="M369" s="11" t="s">
        <v>62</v>
      </c>
      <c r="N369" s="11">
        <v>5800</v>
      </c>
      <c r="O369" s="11">
        <v>10</v>
      </c>
      <c r="P369" s="17">
        <v>0.02</v>
      </c>
      <c r="Q369" s="11">
        <v>1430</v>
      </c>
      <c r="R369" s="11" t="s">
        <v>32</v>
      </c>
      <c r="S369" s="11" t="s">
        <v>33</v>
      </c>
      <c r="T369" s="11" t="s">
        <v>34</v>
      </c>
      <c r="U369" s="11">
        <v>5</v>
      </c>
      <c r="V369" s="11" t="str">
        <f>TEXT('E-Commerce Sales Data'!$B369,"mmmm")</f>
        <v>December</v>
      </c>
      <c r="W369" s="8">
        <f t="shared" si="20"/>
        <v>4011045</v>
      </c>
      <c r="X369">
        <f t="shared" si="21"/>
        <v>833</v>
      </c>
      <c r="Y369">
        <f t="shared" si="22"/>
        <v>27929.915966386554</v>
      </c>
      <c r="Z369">
        <f t="shared" si="23"/>
        <v>55</v>
      </c>
    </row>
    <row r="370" spans="1:26" x14ac:dyDescent="0.25">
      <c r="A370" s="5" t="s">
        <v>473</v>
      </c>
      <c r="B370" s="6">
        <v>48208</v>
      </c>
      <c r="C370" s="7" t="s">
        <v>88</v>
      </c>
      <c r="D370" s="7" t="s">
        <v>37</v>
      </c>
      <c r="E370" s="7">
        <v>45</v>
      </c>
      <c r="F370" s="7" t="s">
        <v>24</v>
      </c>
      <c r="G370" s="7" t="s">
        <v>89</v>
      </c>
      <c r="H370" s="7" t="s">
        <v>90</v>
      </c>
      <c r="I370" s="7" t="s">
        <v>91</v>
      </c>
      <c r="J370" s="7" t="s">
        <v>42</v>
      </c>
      <c r="K370" s="7" t="s">
        <v>43</v>
      </c>
      <c r="L370" s="7" t="s">
        <v>92</v>
      </c>
      <c r="M370" s="7" t="s">
        <v>93</v>
      </c>
      <c r="N370" s="7">
        <v>17400</v>
      </c>
      <c r="O370" s="7">
        <v>1</v>
      </c>
      <c r="P370" s="16">
        <v>0.1</v>
      </c>
      <c r="Q370" s="7">
        <v>3020</v>
      </c>
      <c r="R370" s="7" t="s">
        <v>46</v>
      </c>
      <c r="S370" s="7" t="s">
        <v>47</v>
      </c>
      <c r="T370" s="7" t="s">
        <v>34</v>
      </c>
      <c r="U370" s="7">
        <v>4</v>
      </c>
      <c r="V370" s="7" t="str">
        <f>TEXT('E-Commerce Sales Data'!$B370,"mmmm")</f>
        <v>December</v>
      </c>
      <c r="W370" s="8">
        <f t="shared" si="20"/>
        <v>4009615</v>
      </c>
      <c r="X370">
        <f t="shared" si="21"/>
        <v>832</v>
      </c>
      <c r="Y370">
        <f t="shared" si="22"/>
        <v>27956.514423076922</v>
      </c>
      <c r="Z370">
        <f t="shared" si="23"/>
        <v>55</v>
      </c>
    </row>
    <row r="371" spans="1:26" x14ac:dyDescent="0.25">
      <c r="A371" s="9" t="s">
        <v>474</v>
      </c>
      <c r="B371" s="10">
        <v>48215</v>
      </c>
      <c r="C371" s="11" t="s">
        <v>95</v>
      </c>
      <c r="D371" s="11" t="s">
        <v>65</v>
      </c>
      <c r="E371" s="11">
        <v>25</v>
      </c>
      <c r="F371" s="11" t="s">
        <v>38</v>
      </c>
      <c r="G371" s="11" t="s">
        <v>25</v>
      </c>
      <c r="H371" s="11" t="s">
        <v>26</v>
      </c>
      <c r="I371" s="11" t="s">
        <v>27</v>
      </c>
      <c r="J371" s="11" t="s">
        <v>28</v>
      </c>
      <c r="K371" s="11" t="s">
        <v>29</v>
      </c>
      <c r="L371" s="11" t="s">
        <v>96</v>
      </c>
      <c r="M371" s="11" t="s">
        <v>97</v>
      </c>
      <c r="N371" s="11">
        <v>19600</v>
      </c>
      <c r="O371" s="11">
        <v>2</v>
      </c>
      <c r="P371" s="17">
        <v>0.05</v>
      </c>
      <c r="Q371" s="11">
        <v>3760</v>
      </c>
      <c r="R371" s="11" t="s">
        <v>32</v>
      </c>
      <c r="S371" s="11" t="s">
        <v>33</v>
      </c>
      <c r="T371" s="11" t="s">
        <v>34</v>
      </c>
      <c r="U371" s="11">
        <v>4</v>
      </c>
      <c r="V371" s="11" t="str">
        <f>TEXT('E-Commerce Sales Data'!$B371,"mmmm")</f>
        <v>January</v>
      </c>
      <c r="W371" s="8">
        <f t="shared" si="20"/>
        <v>4006595</v>
      </c>
      <c r="X371">
        <f t="shared" si="21"/>
        <v>831</v>
      </c>
      <c r="Y371">
        <f t="shared" si="22"/>
        <v>27969.21780986763</v>
      </c>
      <c r="Z371">
        <f t="shared" si="23"/>
        <v>55</v>
      </c>
    </row>
    <row r="372" spans="1:26" x14ac:dyDescent="0.25">
      <c r="A372" s="5" t="s">
        <v>475</v>
      </c>
      <c r="B372" s="6">
        <v>48222</v>
      </c>
      <c r="C372" s="7" t="s">
        <v>99</v>
      </c>
      <c r="D372" s="7" t="s">
        <v>100</v>
      </c>
      <c r="E372" s="7">
        <v>33</v>
      </c>
      <c r="F372" s="7" t="s">
        <v>24</v>
      </c>
      <c r="G372" s="7" t="s">
        <v>101</v>
      </c>
      <c r="H372" s="7" t="s">
        <v>102</v>
      </c>
      <c r="I372" s="7" t="s">
        <v>41</v>
      </c>
      <c r="J372" s="7" t="s">
        <v>28</v>
      </c>
      <c r="K372" s="7" t="s">
        <v>60</v>
      </c>
      <c r="L372" s="7" t="s">
        <v>53</v>
      </c>
      <c r="M372" s="7" t="s">
        <v>103</v>
      </c>
      <c r="N372" s="7">
        <v>1050</v>
      </c>
      <c r="O372" s="7">
        <v>25</v>
      </c>
      <c r="P372" s="16">
        <v>0</v>
      </c>
      <c r="Q372" s="7">
        <v>320</v>
      </c>
      <c r="R372" s="7" t="s">
        <v>55</v>
      </c>
      <c r="S372" s="7" t="s">
        <v>33</v>
      </c>
      <c r="T372" s="7" t="s">
        <v>34</v>
      </c>
      <c r="U372" s="7">
        <v>5</v>
      </c>
      <c r="V372" s="7" t="str">
        <f>TEXT('E-Commerce Sales Data'!$B372,"mmmm")</f>
        <v>January</v>
      </c>
      <c r="W372" s="8">
        <f t="shared" si="20"/>
        <v>4002835</v>
      </c>
      <c r="X372">
        <f t="shared" si="21"/>
        <v>830</v>
      </c>
      <c r="Y372">
        <f t="shared" si="22"/>
        <v>27979.301204819276</v>
      </c>
      <c r="Z372">
        <f t="shared" si="23"/>
        <v>55</v>
      </c>
    </row>
    <row r="373" spans="1:26" x14ac:dyDescent="0.25">
      <c r="A373" s="9" t="s">
        <v>476</v>
      </c>
      <c r="B373" s="10">
        <v>48229</v>
      </c>
      <c r="C373" s="11" t="s">
        <v>105</v>
      </c>
      <c r="D373" s="11" t="s">
        <v>58</v>
      </c>
      <c r="E373" s="11">
        <v>42</v>
      </c>
      <c r="F373" s="11" t="s">
        <v>38</v>
      </c>
      <c r="G373" s="11" t="s">
        <v>51</v>
      </c>
      <c r="H373" s="11" t="s">
        <v>51</v>
      </c>
      <c r="I373" s="11" t="s">
        <v>52</v>
      </c>
      <c r="J373" s="11" t="s">
        <v>42</v>
      </c>
      <c r="K373" s="11" t="s">
        <v>43</v>
      </c>
      <c r="L373" s="11" t="s">
        <v>68</v>
      </c>
      <c r="M373" s="11" t="s">
        <v>106</v>
      </c>
      <c r="N373" s="11">
        <v>29000</v>
      </c>
      <c r="O373" s="11">
        <v>1</v>
      </c>
      <c r="P373" s="17">
        <v>0.08</v>
      </c>
      <c r="Q373" s="11">
        <v>5750</v>
      </c>
      <c r="R373" s="11" t="s">
        <v>46</v>
      </c>
      <c r="S373" s="11" t="s">
        <v>47</v>
      </c>
      <c r="T373" s="11" t="s">
        <v>34</v>
      </c>
      <c r="U373" s="11">
        <v>4</v>
      </c>
      <c r="V373" s="11" t="str">
        <f>TEXT('E-Commerce Sales Data'!$B373,"mmmm")</f>
        <v>January</v>
      </c>
      <c r="W373" s="8">
        <f t="shared" si="20"/>
        <v>4002515</v>
      </c>
      <c r="X373">
        <f t="shared" si="21"/>
        <v>829</v>
      </c>
      <c r="Y373">
        <f t="shared" si="22"/>
        <v>28011.785283474066</v>
      </c>
      <c r="Z373">
        <f t="shared" si="23"/>
        <v>55</v>
      </c>
    </row>
    <row r="374" spans="1:26" x14ac:dyDescent="0.25">
      <c r="A374" s="5" t="s">
        <v>477</v>
      </c>
      <c r="B374" s="6">
        <v>48236</v>
      </c>
      <c r="C374" s="7" t="s">
        <v>108</v>
      </c>
      <c r="D374" s="7" t="s">
        <v>23</v>
      </c>
      <c r="E374" s="7">
        <v>30</v>
      </c>
      <c r="F374" s="7" t="s">
        <v>24</v>
      </c>
      <c r="G374" s="7" t="s">
        <v>59</v>
      </c>
      <c r="H374" s="7" t="s">
        <v>26</v>
      </c>
      <c r="I374" s="7" t="s">
        <v>27</v>
      </c>
      <c r="J374" s="7" t="s">
        <v>28</v>
      </c>
      <c r="K374" s="7" t="s">
        <v>29</v>
      </c>
      <c r="L374" s="7" t="s">
        <v>30</v>
      </c>
      <c r="M374" s="7" t="s">
        <v>31</v>
      </c>
      <c r="N374" s="7">
        <v>81500</v>
      </c>
      <c r="O374" s="7">
        <v>1</v>
      </c>
      <c r="P374" s="16">
        <v>0.1</v>
      </c>
      <c r="Q374" s="7">
        <v>9200</v>
      </c>
      <c r="R374" s="7" t="s">
        <v>32</v>
      </c>
      <c r="S374" s="7" t="s">
        <v>47</v>
      </c>
      <c r="T374" s="7" t="s">
        <v>34</v>
      </c>
      <c r="U374" s="7">
        <v>5</v>
      </c>
      <c r="V374" s="7" t="str">
        <f>TEXT('E-Commerce Sales Data'!$B374,"mmmm")</f>
        <v>January</v>
      </c>
      <c r="W374" s="8">
        <f t="shared" si="20"/>
        <v>3996765</v>
      </c>
      <c r="X374">
        <f t="shared" si="21"/>
        <v>828</v>
      </c>
      <c r="Y374">
        <f t="shared" si="22"/>
        <v>28010.591787439615</v>
      </c>
      <c r="Z374">
        <f t="shared" si="23"/>
        <v>55</v>
      </c>
    </row>
    <row r="375" spans="1:26" x14ac:dyDescent="0.25">
      <c r="A375" s="9" t="s">
        <v>478</v>
      </c>
      <c r="B375" s="10">
        <v>48243</v>
      </c>
      <c r="C375" s="11" t="s">
        <v>110</v>
      </c>
      <c r="D375" s="11" t="s">
        <v>37</v>
      </c>
      <c r="E375" s="11">
        <v>36</v>
      </c>
      <c r="F375" s="11" t="s">
        <v>38</v>
      </c>
      <c r="G375" s="11" t="s">
        <v>66</v>
      </c>
      <c r="H375" s="11" t="s">
        <v>67</v>
      </c>
      <c r="I375" s="11" t="s">
        <v>27</v>
      </c>
      <c r="J375" s="11" t="s">
        <v>28</v>
      </c>
      <c r="K375" s="11" t="s">
        <v>60</v>
      </c>
      <c r="L375" s="11" t="s">
        <v>92</v>
      </c>
      <c r="M375" s="11" t="s">
        <v>111</v>
      </c>
      <c r="N375" s="11">
        <v>1360</v>
      </c>
      <c r="O375" s="11">
        <v>15</v>
      </c>
      <c r="P375" s="17">
        <v>0.05</v>
      </c>
      <c r="Q375" s="11">
        <v>410</v>
      </c>
      <c r="R375" s="11" t="s">
        <v>80</v>
      </c>
      <c r="S375" s="11" t="s">
        <v>33</v>
      </c>
      <c r="T375" s="11" t="s">
        <v>34</v>
      </c>
      <c r="U375" s="11">
        <v>4</v>
      </c>
      <c r="V375" s="11" t="str">
        <f>TEXT('E-Commerce Sales Data'!$B375,"mmmm")</f>
        <v>January</v>
      </c>
      <c r="W375" s="8">
        <f t="shared" si="20"/>
        <v>3987565</v>
      </c>
      <c r="X375">
        <f t="shared" si="21"/>
        <v>827</v>
      </c>
      <c r="Y375">
        <f t="shared" si="22"/>
        <v>27945.912938331319</v>
      </c>
      <c r="Z375">
        <f t="shared" si="23"/>
        <v>55</v>
      </c>
    </row>
    <row r="376" spans="1:26" x14ac:dyDescent="0.25">
      <c r="A376" s="5" t="s">
        <v>479</v>
      </c>
      <c r="B376" s="6">
        <v>48250</v>
      </c>
      <c r="C376" s="7" t="s">
        <v>113</v>
      </c>
      <c r="D376" s="7" t="s">
        <v>114</v>
      </c>
      <c r="E376" s="7">
        <v>40</v>
      </c>
      <c r="F376" s="7" t="s">
        <v>24</v>
      </c>
      <c r="G376" s="7" t="s">
        <v>73</v>
      </c>
      <c r="H376" s="7" t="s">
        <v>74</v>
      </c>
      <c r="I376" s="7" t="s">
        <v>41</v>
      </c>
      <c r="J376" s="7" t="s">
        <v>42</v>
      </c>
      <c r="K376" s="7" t="s">
        <v>43</v>
      </c>
      <c r="L376" s="7" t="s">
        <v>44</v>
      </c>
      <c r="M376" s="7" t="s">
        <v>45</v>
      </c>
      <c r="N376" s="7">
        <v>12800</v>
      </c>
      <c r="O376" s="7">
        <v>4</v>
      </c>
      <c r="P376" s="16">
        <v>7.0000000000000007E-2</v>
      </c>
      <c r="Q376" s="7">
        <v>2800</v>
      </c>
      <c r="R376" s="7" t="s">
        <v>46</v>
      </c>
      <c r="S376" s="7" t="s">
        <v>33</v>
      </c>
      <c r="T376" s="7" t="s">
        <v>34</v>
      </c>
      <c r="U376" s="7">
        <v>4</v>
      </c>
      <c r="V376" s="7" t="str">
        <f>TEXT('E-Commerce Sales Data'!$B376,"mmmm")</f>
        <v>February</v>
      </c>
      <c r="W376" s="8">
        <f t="shared" si="20"/>
        <v>3987155</v>
      </c>
      <c r="X376">
        <f t="shared" si="21"/>
        <v>826</v>
      </c>
      <c r="Y376">
        <f t="shared" si="22"/>
        <v>27978.09927360775</v>
      </c>
      <c r="Z376">
        <f t="shared" si="23"/>
        <v>55</v>
      </c>
    </row>
    <row r="377" spans="1:26" x14ac:dyDescent="0.25">
      <c r="A377" s="9" t="s">
        <v>480</v>
      </c>
      <c r="B377" s="10">
        <v>48257</v>
      </c>
      <c r="C377" s="11" t="s">
        <v>116</v>
      </c>
      <c r="D377" s="11" t="s">
        <v>83</v>
      </c>
      <c r="E377" s="11">
        <v>27</v>
      </c>
      <c r="F377" s="11" t="s">
        <v>38</v>
      </c>
      <c r="G377" s="11" t="s">
        <v>39</v>
      </c>
      <c r="H377" s="11" t="s">
        <v>40</v>
      </c>
      <c r="I377" s="11" t="s">
        <v>41</v>
      </c>
      <c r="J377" s="11" t="s">
        <v>28</v>
      </c>
      <c r="K377" s="11" t="s">
        <v>29</v>
      </c>
      <c r="L377" s="11" t="s">
        <v>53</v>
      </c>
      <c r="M377" s="11" t="s">
        <v>54</v>
      </c>
      <c r="N377" s="11">
        <v>27800</v>
      </c>
      <c r="O377" s="11">
        <v>2</v>
      </c>
      <c r="P377" s="17">
        <v>0.05</v>
      </c>
      <c r="Q377" s="11">
        <v>5150</v>
      </c>
      <c r="R377" s="11" t="s">
        <v>32</v>
      </c>
      <c r="S377" s="11" t="s">
        <v>47</v>
      </c>
      <c r="T377" s="11" t="s">
        <v>34</v>
      </c>
      <c r="U377" s="11">
        <v>5</v>
      </c>
      <c r="V377" s="11" t="str">
        <f>TEXT('E-Commerce Sales Data'!$B377,"mmmm")</f>
        <v>February</v>
      </c>
      <c r="W377" s="8">
        <f t="shared" si="20"/>
        <v>3984355</v>
      </c>
      <c r="X377">
        <f t="shared" si="21"/>
        <v>825</v>
      </c>
      <c r="Y377">
        <f t="shared" si="22"/>
        <v>27996.496969696971</v>
      </c>
      <c r="Z377">
        <f t="shared" si="23"/>
        <v>55</v>
      </c>
    </row>
    <row r="378" spans="1:26" x14ac:dyDescent="0.25">
      <c r="A378" s="5" t="s">
        <v>481</v>
      </c>
      <c r="B378" s="6">
        <v>48264</v>
      </c>
      <c r="C378" s="7" t="s">
        <v>118</v>
      </c>
      <c r="D378" s="7" t="s">
        <v>72</v>
      </c>
      <c r="E378" s="7">
        <v>35</v>
      </c>
      <c r="F378" s="7" t="s">
        <v>24</v>
      </c>
      <c r="G378" s="7" t="s">
        <v>84</v>
      </c>
      <c r="H378" s="7" t="s">
        <v>85</v>
      </c>
      <c r="I378" s="7" t="s">
        <v>52</v>
      </c>
      <c r="J378" s="7" t="s">
        <v>42</v>
      </c>
      <c r="K378" s="7" t="s">
        <v>60</v>
      </c>
      <c r="L378" s="7" t="s">
        <v>61</v>
      </c>
      <c r="M378" s="7" t="s">
        <v>62</v>
      </c>
      <c r="N378" s="7">
        <v>5900</v>
      </c>
      <c r="O378" s="7">
        <v>10</v>
      </c>
      <c r="P378" s="16">
        <v>0.03</v>
      </c>
      <c r="Q378" s="7">
        <v>1450</v>
      </c>
      <c r="R378" s="7" t="s">
        <v>55</v>
      </c>
      <c r="S378" s="7" t="s">
        <v>33</v>
      </c>
      <c r="T378" s="7" t="s">
        <v>34</v>
      </c>
      <c r="U378" s="7">
        <v>4</v>
      </c>
      <c r="V378" s="7" t="str">
        <f>TEXT('E-Commerce Sales Data'!$B378,"mmmm")</f>
        <v>February</v>
      </c>
      <c r="W378" s="8">
        <f t="shared" si="20"/>
        <v>3979205</v>
      </c>
      <c r="X378">
        <f t="shared" si="21"/>
        <v>824</v>
      </c>
      <c r="Y378">
        <f t="shared" si="22"/>
        <v>27996.735436893203</v>
      </c>
      <c r="Z378">
        <f t="shared" si="23"/>
        <v>55</v>
      </c>
    </row>
    <row r="379" spans="1:26" x14ac:dyDescent="0.25">
      <c r="A379" s="9" t="s">
        <v>482</v>
      </c>
      <c r="B379" s="10">
        <v>48271</v>
      </c>
      <c r="C379" s="11" t="s">
        <v>120</v>
      </c>
      <c r="D379" s="11" t="s">
        <v>23</v>
      </c>
      <c r="E379" s="11">
        <v>24</v>
      </c>
      <c r="F379" s="11" t="s">
        <v>38</v>
      </c>
      <c r="G379" s="11" t="s">
        <v>25</v>
      </c>
      <c r="H379" s="11" t="s">
        <v>26</v>
      </c>
      <c r="I379" s="11" t="s">
        <v>27</v>
      </c>
      <c r="J379" s="11" t="s">
        <v>28</v>
      </c>
      <c r="K379" s="11" t="s">
        <v>43</v>
      </c>
      <c r="L379" s="11" t="s">
        <v>68</v>
      </c>
      <c r="M379" s="11" t="s">
        <v>69</v>
      </c>
      <c r="N379" s="11">
        <v>25000</v>
      </c>
      <c r="O379" s="11">
        <v>2</v>
      </c>
      <c r="P379" s="17">
        <v>0.1</v>
      </c>
      <c r="Q379" s="11">
        <v>3950</v>
      </c>
      <c r="R379" s="11" t="s">
        <v>32</v>
      </c>
      <c r="S379" s="11" t="s">
        <v>47</v>
      </c>
      <c r="T379" s="11" t="s">
        <v>34</v>
      </c>
      <c r="U379" s="11">
        <v>5</v>
      </c>
      <c r="V379" s="11" t="str">
        <f>TEXT('E-Commerce Sales Data'!$B379,"mmmm")</f>
        <v>February</v>
      </c>
      <c r="W379" s="8">
        <f t="shared" si="20"/>
        <v>3977755</v>
      </c>
      <c r="X379">
        <f t="shared" si="21"/>
        <v>823</v>
      </c>
      <c r="Y379">
        <f t="shared" si="22"/>
        <v>28023.584447144593</v>
      </c>
      <c r="Z379">
        <f t="shared" si="23"/>
        <v>55</v>
      </c>
    </row>
    <row r="380" spans="1:26" x14ac:dyDescent="0.25">
      <c r="A380" s="5" t="s">
        <v>483</v>
      </c>
      <c r="B380" s="6">
        <v>48278</v>
      </c>
      <c r="C380" s="7" t="s">
        <v>122</v>
      </c>
      <c r="D380" s="7" t="s">
        <v>50</v>
      </c>
      <c r="E380" s="7">
        <v>43</v>
      </c>
      <c r="F380" s="7" t="s">
        <v>24</v>
      </c>
      <c r="G380" s="7" t="s">
        <v>101</v>
      </c>
      <c r="H380" s="7" t="s">
        <v>102</v>
      </c>
      <c r="I380" s="7" t="s">
        <v>41</v>
      </c>
      <c r="J380" s="7" t="s">
        <v>42</v>
      </c>
      <c r="K380" s="7" t="s">
        <v>29</v>
      </c>
      <c r="L380" s="7" t="s">
        <v>53</v>
      </c>
      <c r="M380" s="7" t="s">
        <v>75</v>
      </c>
      <c r="N380" s="7">
        <v>4250</v>
      </c>
      <c r="O380" s="7">
        <v>4</v>
      </c>
      <c r="P380" s="16">
        <v>0.05</v>
      </c>
      <c r="Q380" s="7">
        <v>1050</v>
      </c>
      <c r="R380" s="7" t="s">
        <v>46</v>
      </c>
      <c r="S380" s="7" t="s">
        <v>33</v>
      </c>
      <c r="T380" s="7" t="s">
        <v>34</v>
      </c>
      <c r="U380" s="7">
        <v>3</v>
      </c>
      <c r="V380" s="7" t="str">
        <f>TEXT('E-Commerce Sales Data'!$B380,"mmmm")</f>
        <v>March</v>
      </c>
      <c r="W380" s="8">
        <f t="shared" si="20"/>
        <v>3973805</v>
      </c>
      <c r="X380">
        <f t="shared" si="21"/>
        <v>822</v>
      </c>
      <c r="Y380">
        <f t="shared" si="22"/>
        <v>28027.262773722628</v>
      </c>
      <c r="Z380">
        <f t="shared" si="23"/>
        <v>55</v>
      </c>
    </row>
    <row r="381" spans="1:26" x14ac:dyDescent="0.25">
      <c r="A381" s="9" t="s">
        <v>484</v>
      </c>
      <c r="B381" s="10">
        <v>48285</v>
      </c>
      <c r="C381" s="11" t="s">
        <v>124</v>
      </c>
      <c r="D381" s="11" t="s">
        <v>100</v>
      </c>
      <c r="E381" s="11">
        <v>32</v>
      </c>
      <c r="F381" s="11" t="s">
        <v>38</v>
      </c>
      <c r="G381" s="11" t="s">
        <v>78</v>
      </c>
      <c r="H381" s="11" t="s">
        <v>26</v>
      </c>
      <c r="I381" s="11" t="s">
        <v>27</v>
      </c>
      <c r="J381" s="11" t="s">
        <v>28</v>
      </c>
      <c r="K381" s="11" t="s">
        <v>29</v>
      </c>
      <c r="L381" s="11" t="s">
        <v>53</v>
      </c>
      <c r="M381" s="11" t="s">
        <v>79</v>
      </c>
      <c r="N381" s="11">
        <v>2750</v>
      </c>
      <c r="O381" s="11">
        <v>7</v>
      </c>
      <c r="P381" s="17">
        <v>0</v>
      </c>
      <c r="Q381" s="11">
        <v>820</v>
      </c>
      <c r="R381" s="11" t="s">
        <v>32</v>
      </c>
      <c r="S381" s="11" t="s">
        <v>33</v>
      </c>
      <c r="T381" s="11" t="s">
        <v>34</v>
      </c>
      <c r="U381" s="11">
        <v>4</v>
      </c>
      <c r="V381" s="11" t="str">
        <f>TEXT('E-Commerce Sales Data'!$B381,"mmmm")</f>
        <v>March</v>
      </c>
      <c r="W381" s="8">
        <f t="shared" si="20"/>
        <v>3972755</v>
      </c>
      <c r="X381">
        <f t="shared" si="21"/>
        <v>821</v>
      </c>
      <c r="Y381">
        <f t="shared" si="22"/>
        <v>28056.224116930571</v>
      </c>
      <c r="Z381">
        <f t="shared" si="23"/>
        <v>55</v>
      </c>
    </row>
    <row r="382" spans="1:26" x14ac:dyDescent="0.25">
      <c r="A382" s="5" t="s">
        <v>485</v>
      </c>
      <c r="B382" s="6">
        <v>48292</v>
      </c>
      <c r="C382" s="7" t="s">
        <v>22</v>
      </c>
      <c r="D382" s="7" t="s">
        <v>23</v>
      </c>
      <c r="E382" s="7">
        <v>28</v>
      </c>
      <c r="F382" s="7" t="s">
        <v>24</v>
      </c>
      <c r="G382" s="7" t="s">
        <v>25</v>
      </c>
      <c r="H382" s="7" t="s">
        <v>26</v>
      </c>
      <c r="I382" s="7" t="s">
        <v>27</v>
      </c>
      <c r="J382" s="7" t="s">
        <v>28</v>
      </c>
      <c r="K382" s="7" t="s">
        <v>29</v>
      </c>
      <c r="L382" s="7" t="s">
        <v>30</v>
      </c>
      <c r="M382" s="7" t="s">
        <v>31</v>
      </c>
      <c r="N382" s="7">
        <v>77500</v>
      </c>
      <c r="O382" s="7">
        <v>1</v>
      </c>
      <c r="P382" s="16">
        <v>0.05</v>
      </c>
      <c r="Q382" s="7">
        <v>10300</v>
      </c>
      <c r="R382" s="7" t="s">
        <v>32</v>
      </c>
      <c r="S382" s="7" t="s">
        <v>47</v>
      </c>
      <c r="T382" s="7" t="s">
        <v>34</v>
      </c>
      <c r="U382" s="7">
        <v>5</v>
      </c>
      <c r="V382" s="7" t="str">
        <f>TEXT('E-Commerce Sales Data'!$B382,"mmmm")</f>
        <v>March</v>
      </c>
      <c r="W382" s="8">
        <f t="shared" si="20"/>
        <v>3971935</v>
      </c>
      <c r="X382">
        <f t="shared" si="21"/>
        <v>820</v>
      </c>
      <c r="Y382">
        <f t="shared" si="22"/>
        <v>28087.085365853658</v>
      </c>
      <c r="Z382">
        <f t="shared" si="23"/>
        <v>55</v>
      </c>
    </row>
    <row r="383" spans="1:26" x14ac:dyDescent="0.25">
      <c r="A383" s="9" t="s">
        <v>486</v>
      </c>
      <c r="B383" s="10">
        <v>48299</v>
      </c>
      <c r="C383" s="11" t="s">
        <v>36</v>
      </c>
      <c r="D383" s="11" t="s">
        <v>37</v>
      </c>
      <c r="E383" s="11">
        <v>34</v>
      </c>
      <c r="F383" s="11" t="s">
        <v>38</v>
      </c>
      <c r="G383" s="11" t="s">
        <v>39</v>
      </c>
      <c r="H383" s="11" t="s">
        <v>40</v>
      </c>
      <c r="I383" s="11" t="s">
        <v>41</v>
      </c>
      <c r="J383" s="11" t="s">
        <v>42</v>
      </c>
      <c r="K383" s="11" t="s">
        <v>43</v>
      </c>
      <c r="L383" s="11" t="s">
        <v>44</v>
      </c>
      <c r="M383" s="11" t="s">
        <v>45</v>
      </c>
      <c r="N383" s="11">
        <v>11000</v>
      </c>
      <c r="O383" s="11">
        <v>3</v>
      </c>
      <c r="P383" s="17">
        <v>0.1</v>
      </c>
      <c r="Q383" s="11">
        <v>2500</v>
      </c>
      <c r="R383" s="11" t="s">
        <v>46</v>
      </c>
      <c r="S383" s="11" t="s">
        <v>33</v>
      </c>
      <c r="T383" s="11" t="s">
        <v>34</v>
      </c>
      <c r="U383" s="11">
        <v>4</v>
      </c>
      <c r="V383" s="11" t="str">
        <f>TEXT('E-Commerce Sales Data'!$B383,"mmmm")</f>
        <v>March</v>
      </c>
      <c r="W383" s="8">
        <f t="shared" si="20"/>
        <v>3961635</v>
      </c>
      <c r="X383">
        <f t="shared" si="21"/>
        <v>819</v>
      </c>
      <c r="Y383">
        <f t="shared" si="22"/>
        <v>28026.752136752137</v>
      </c>
      <c r="Z383">
        <f t="shared" si="23"/>
        <v>55</v>
      </c>
    </row>
    <row r="384" spans="1:26" x14ac:dyDescent="0.25">
      <c r="A384" s="5" t="s">
        <v>487</v>
      </c>
      <c r="B384" s="6">
        <v>48306</v>
      </c>
      <c r="C384" s="7" t="s">
        <v>49</v>
      </c>
      <c r="D384" s="7" t="s">
        <v>50</v>
      </c>
      <c r="E384" s="7">
        <v>41</v>
      </c>
      <c r="F384" s="7" t="s">
        <v>24</v>
      </c>
      <c r="G384" s="7" t="s">
        <v>51</v>
      </c>
      <c r="H384" s="7" t="s">
        <v>51</v>
      </c>
      <c r="I384" s="7" t="s">
        <v>52</v>
      </c>
      <c r="J384" s="7" t="s">
        <v>28</v>
      </c>
      <c r="K384" s="7" t="s">
        <v>29</v>
      </c>
      <c r="L384" s="7" t="s">
        <v>53</v>
      </c>
      <c r="M384" s="7" t="s">
        <v>54</v>
      </c>
      <c r="N384" s="7">
        <v>25700</v>
      </c>
      <c r="O384" s="7">
        <v>2</v>
      </c>
      <c r="P384" s="16">
        <v>0.05</v>
      </c>
      <c r="Q384" s="7">
        <v>4700</v>
      </c>
      <c r="R384" s="7" t="s">
        <v>55</v>
      </c>
      <c r="S384" s="7" t="s">
        <v>33</v>
      </c>
      <c r="T384" s="7" t="s">
        <v>34</v>
      </c>
      <c r="U384" s="7">
        <v>4</v>
      </c>
      <c r="V384" s="7" t="str">
        <f>TEXT('E-Commerce Sales Data'!$B384,"mmmm")</f>
        <v>April</v>
      </c>
      <c r="W384" s="8">
        <f t="shared" si="20"/>
        <v>3959135</v>
      </c>
      <c r="X384">
        <f t="shared" si="21"/>
        <v>818</v>
      </c>
      <c r="Y384">
        <f t="shared" si="22"/>
        <v>28047.567237163814</v>
      </c>
      <c r="Z384">
        <f t="shared" si="23"/>
        <v>55</v>
      </c>
    </row>
    <row r="385" spans="1:26" x14ac:dyDescent="0.25">
      <c r="A385" s="9" t="s">
        <v>488</v>
      </c>
      <c r="B385" s="10">
        <v>48313</v>
      </c>
      <c r="C385" s="11" t="s">
        <v>57</v>
      </c>
      <c r="D385" s="11" t="s">
        <v>58</v>
      </c>
      <c r="E385" s="11">
        <v>26</v>
      </c>
      <c r="F385" s="11" t="s">
        <v>38</v>
      </c>
      <c r="G385" s="11" t="s">
        <v>59</v>
      </c>
      <c r="H385" s="11" t="s">
        <v>26</v>
      </c>
      <c r="I385" s="11" t="s">
        <v>27</v>
      </c>
      <c r="J385" s="11" t="s">
        <v>28</v>
      </c>
      <c r="K385" s="11" t="s">
        <v>60</v>
      </c>
      <c r="L385" s="11" t="s">
        <v>61</v>
      </c>
      <c r="M385" s="11" t="s">
        <v>86</v>
      </c>
      <c r="N385" s="11">
        <v>750</v>
      </c>
      <c r="O385" s="11">
        <v>20</v>
      </c>
      <c r="P385" s="17">
        <v>0.02</v>
      </c>
      <c r="Q385" s="11">
        <v>220</v>
      </c>
      <c r="R385" s="11" t="s">
        <v>32</v>
      </c>
      <c r="S385" s="11" t="s">
        <v>33</v>
      </c>
      <c r="T385" s="11" t="s">
        <v>34</v>
      </c>
      <c r="U385" s="11">
        <v>5</v>
      </c>
      <c r="V385" s="11" t="str">
        <f>TEXT('E-Commerce Sales Data'!$B385,"mmmm")</f>
        <v>April</v>
      </c>
      <c r="W385" s="8">
        <f t="shared" si="20"/>
        <v>3954435</v>
      </c>
      <c r="X385">
        <f t="shared" si="21"/>
        <v>817</v>
      </c>
      <c r="Y385">
        <f t="shared" si="22"/>
        <v>28050.440636474908</v>
      </c>
      <c r="Z385">
        <f t="shared" si="23"/>
        <v>55</v>
      </c>
    </row>
    <row r="386" spans="1:26" x14ac:dyDescent="0.25">
      <c r="A386" s="5" t="s">
        <v>489</v>
      </c>
      <c r="B386" s="6">
        <v>48320</v>
      </c>
      <c r="C386" s="7" t="s">
        <v>64</v>
      </c>
      <c r="D386" s="7" t="s">
        <v>65</v>
      </c>
      <c r="E386" s="7">
        <v>39</v>
      </c>
      <c r="F386" s="7" t="s">
        <v>24</v>
      </c>
      <c r="G386" s="7" t="s">
        <v>66</v>
      </c>
      <c r="H386" s="7" t="s">
        <v>67</v>
      </c>
      <c r="I386" s="7" t="s">
        <v>27</v>
      </c>
      <c r="J386" s="7" t="s">
        <v>42</v>
      </c>
      <c r="K386" s="7" t="s">
        <v>43</v>
      </c>
      <c r="L386" s="7" t="s">
        <v>68</v>
      </c>
      <c r="M386" s="7" t="s">
        <v>69</v>
      </c>
      <c r="N386" s="7">
        <v>25500</v>
      </c>
      <c r="O386" s="7">
        <v>2</v>
      </c>
      <c r="P386" s="16">
        <v>0.08</v>
      </c>
      <c r="Q386" s="7">
        <v>4350</v>
      </c>
      <c r="R386" s="7" t="s">
        <v>46</v>
      </c>
      <c r="S386" s="7" t="s">
        <v>47</v>
      </c>
      <c r="T386" s="7" t="s">
        <v>34</v>
      </c>
      <c r="U386" s="7">
        <v>4</v>
      </c>
      <c r="V386" s="7" t="str">
        <f>TEXT('E-Commerce Sales Data'!$B386,"mmmm")</f>
        <v>April</v>
      </c>
      <c r="W386" s="8">
        <f t="shared" si="20"/>
        <v>3954215</v>
      </c>
      <c r="X386">
        <f t="shared" si="21"/>
        <v>816</v>
      </c>
      <c r="Y386">
        <f t="shared" si="22"/>
        <v>28083.897058823528</v>
      </c>
      <c r="Z386">
        <f t="shared" si="23"/>
        <v>55</v>
      </c>
    </row>
    <row r="387" spans="1:26" x14ac:dyDescent="0.25">
      <c r="A387" s="9" t="s">
        <v>490</v>
      </c>
      <c r="B387" s="10">
        <v>48327</v>
      </c>
      <c r="C387" s="11" t="s">
        <v>71</v>
      </c>
      <c r="D387" s="11" t="s">
        <v>72</v>
      </c>
      <c r="E387" s="11">
        <v>31</v>
      </c>
      <c r="F387" s="11" t="s">
        <v>38</v>
      </c>
      <c r="G387" s="11" t="s">
        <v>73</v>
      </c>
      <c r="H387" s="11" t="s">
        <v>74</v>
      </c>
      <c r="I387" s="11" t="s">
        <v>41</v>
      </c>
      <c r="J387" s="11" t="s">
        <v>28</v>
      </c>
      <c r="K387" s="11" t="s">
        <v>29</v>
      </c>
      <c r="L387" s="11" t="s">
        <v>53</v>
      </c>
      <c r="M387" s="11" t="s">
        <v>75</v>
      </c>
      <c r="N387" s="11">
        <v>3950</v>
      </c>
      <c r="O387" s="11">
        <v>3</v>
      </c>
      <c r="P387" s="17">
        <v>0.05</v>
      </c>
      <c r="Q387" s="11">
        <v>990</v>
      </c>
      <c r="R387" s="11" t="s">
        <v>32</v>
      </c>
      <c r="S387" s="11" t="s">
        <v>33</v>
      </c>
      <c r="T387" s="11" t="s">
        <v>34</v>
      </c>
      <c r="U387" s="11">
        <v>4</v>
      </c>
      <c r="V387" s="11" t="str">
        <f>TEXT('E-Commerce Sales Data'!$B387,"mmmm")</f>
        <v>April</v>
      </c>
      <c r="W387" s="8">
        <f t="shared" ref="W387:W450" si="24">SUM(Q387:Q1586)</f>
        <v>3949865</v>
      </c>
      <c r="X387">
        <f t="shared" ref="X387:X450" si="25">COUNT(E387:E1586)</f>
        <v>815</v>
      </c>
      <c r="Y387">
        <f t="shared" ref="Y387:Y450" si="26">AVERAGE(N387:N1586)</f>
        <v>28087.067484662577</v>
      </c>
      <c r="Z387">
        <f t="shared" ref="Z387:Z450" si="27">MAX(E387:E1586)</f>
        <v>55</v>
      </c>
    </row>
    <row r="388" spans="1:26" x14ac:dyDescent="0.25">
      <c r="A388" s="5" t="s">
        <v>491</v>
      </c>
      <c r="B388" s="6">
        <v>48334</v>
      </c>
      <c r="C388" s="7" t="s">
        <v>77</v>
      </c>
      <c r="D388" s="7" t="s">
        <v>23</v>
      </c>
      <c r="E388" s="7">
        <v>29</v>
      </c>
      <c r="F388" s="7" t="s">
        <v>24</v>
      </c>
      <c r="G388" s="7" t="s">
        <v>78</v>
      </c>
      <c r="H388" s="7" t="s">
        <v>26</v>
      </c>
      <c r="I388" s="7" t="s">
        <v>27</v>
      </c>
      <c r="J388" s="7" t="s">
        <v>28</v>
      </c>
      <c r="K388" s="7" t="s">
        <v>29</v>
      </c>
      <c r="L388" s="7" t="s">
        <v>53</v>
      </c>
      <c r="M388" s="7" t="s">
        <v>79</v>
      </c>
      <c r="N388" s="7">
        <v>2820</v>
      </c>
      <c r="O388" s="7">
        <v>6</v>
      </c>
      <c r="P388" s="16">
        <v>0</v>
      </c>
      <c r="Q388" s="7">
        <v>840</v>
      </c>
      <c r="R388" s="7" t="s">
        <v>80</v>
      </c>
      <c r="S388" s="7" t="s">
        <v>33</v>
      </c>
      <c r="T388" s="7" t="s">
        <v>34</v>
      </c>
      <c r="U388" s="7">
        <v>3</v>
      </c>
      <c r="V388" s="7" t="str">
        <f>TEXT('E-Commerce Sales Data'!$B388,"mmmm")</f>
        <v>April</v>
      </c>
      <c r="W388" s="8">
        <f t="shared" si="24"/>
        <v>3948875</v>
      </c>
      <c r="X388">
        <f t="shared" si="25"/>
        <v>814</v>
      </c>
      <c r="Y388">
        <f t="shared" si="26"/>
        <v>28116.719901719902</v>
      </c>
      <c r="Z388">
        <f t="shared" si="27"/>
        <v>55</v>
      </c>
    </row>
    <row r="389" spans="1:26" x14ac:dyDescent="0.25">
      <c r="A389" s="9" t="s">
        <v>492</v>
      </c>
      <c r="B389" s="10">
        <v>48341</v>
      </c>
      <c r="C389" s="11" t="s">
        <v>82</v>
      </c>
      <c r="D389" s="11" t="s">
        <v>83</v>
      </c>
      <c r="E389" s="11">
        <v>37</v>
      </c>
      <c r="F389" s="11" t="s">
        <v>38</v>
      </c>
      <c r="G389" s="11" t="s">
        <v>84</v>
      </c>
      <c r="H389" s="11" t="s">
        <v>85</v>
      </c>
      <c r="I389" s="11" t="s">
        <v>52</v>
      </c>
      <c r="J389" s="11" t="s">
        <v>42</v>
      </c>
      <c r="K389" s="11" t="s">
        <v>60</v>
      </c>
      <c r="L389" s="11" t="s">
        <v>61</v>
      </c>
      <c r="M389" s="11" t="s">
        <v>62</v>
      </c>
      <c r="N389" s="11">
        <v>6000</v>
      </c>
      <c r="O389" s="11">
        <v>10</v>
      </c>
      <c r="P389" s="17">
        <v>0.02</v>
      </c>
      <c r="Q389" s="11">
        <v>1480</v>
      </c>
      <c r="R389" s="11" t="s">
        <v>32</v>
      </c>
      <c r="S389" s="11" t="s">
        <v>33</v>
      </c>
      <c r="T389" s="11" t="s">
        <v>34</v>
      </c>
      <c r="U389" s="11">
        <v>5</v>
      </c>
      <c r="V389" s="11" t="str">
        <f>TEXT('E-Commerce Sales Data'!$B389,"mmmm")</f>
        <v>May</v>
      </c>
      <c r="W389" s="8">
        <f t="shared" si="24"/>
        <v>3948035</v>
      </c>
      <c r="X389">
        <f t="shared" si="25"/>
        <v>813</v>
      </c>
      <c r="Y389">
        <f t="shared" si="26"/>
        <v>28147.835178351783</v>
      </c>
      <c r="Z389">
        <f t="shared" si="27"/>
        <v>55</v>
      </c>
    </row>
    <row r="390" spans="1:26" x14ac:dyDescent="0.25">
      <c r="A390" s="5" t="s">
        <v>493</v>
      </c>
      <c r="B390" s="6">
        <v>48348</v>
      </c>
      <c r="C390" s="7" t="s">
        <v>88</v>
      </c>
      <c r="D390" s="7" t="s">
        <v>37</v>
      </c>
      <c r="E390" s="7">
        <v>45</v>
      </c>
      <c r="F390" s="7" t="s">
        <v>24</v>
      </c>
      <c r="G390" s="7" t="s">
        <v>89</v>
      </c>
      <c r="H390" s="7" t="s">
        <v>90</v>
      </c>
      <c r="I390" s="7" t="s">
        <v>91</v>
      </c>
      <c r="J390" s="7" t="s">
        <v>42</v>
      </c>
      <c r="K390" s="7" t="s">
        <v>43</v>
      </c>
      <c r="L390" s="7" t="s">
        <v>92</v>
      </c>
      <c r="M390" s="7" t="s">
        <v>93</v>
      </c>
      <c r="N390" s="7">
        <v>17800</v>
      </c>
      <c r="O390" s="7">
        <v>1</v>
      </c>
      <c r="P390" s="16">
        <v>0.1</v>
      </c>
      <c r="Q390" s="7">
        <v>3100</v>
      </c>
      <c r="R390" s="7" t="s">
        <v>46</v>
      </c>
      <c r="S390" s="7" t="s">
        <v>47</v>
      </c>
      <c r="T390" s="7" t="s">
        <v>34</v>
      </c>
      <c r="U390" s="7">
        <v>4</v>
      </c>
      <c r="V390" s="7" t="str">
        <f>TEXT('E-Commerce Sales Data'!$B390,"mmmm")</f>
        <v>May</v>
      </c>
      <c r="W390" s="8">
        <f t="shared" si="24"/>
        <v>3946555</v>
      </c>
      <c r="X390">
        <f t="shared" si="25"/>
        <v>812</v>
      </c>
      <c r="Y390">
        <f t="shared" si="26"/>
        <v>28175.110837438424</v>
      </c>
      <c r="Z390">
        <f t="shared" si="27"/>
        <v>55</v>
      </c>
    </row>
    <row r="391" spans="1:26" x14ac:dyDescent="0.25">
      <c r="A391" s="9" t="s">
        <v>494</v>
      </c>
      <c r="B391" s="10">
        <v>48355</v>
      </c>
      <c r="C391" s="11" t="s">
        <v>95</v>
      </c>
      <c r="D391" s="11" t="s">
        <v>65</v>
      </c>
      <c r="E391" s="11">
        <v>25</v>
      </c>
      <c r="F391" s="11" t="s">
        <v>38</v>
      </c>
      <c r="G391" s="11" t="s">
        <v>25</v>
      </c>
      <c r="H391" s="11" t="s">
        <v>26</v>
      </c>
      <c r="I391" s="11" t="s">
        <v>27</v>
      </c>
      <c r="J391" s="11" t="s">
        <v>28</v>
      </c>
      <c r="K391" s="11" t="s">
        <v>29</v>
      </c>
      <c r="L391" s="11" t="s">
        <v>96</v>
      </c>
      <c r="M391" s="11" t="s">
        <v>97</v>
      </c>
      <c r="N391" s="11">
        <v>20000</v>
      </c>
      <c r="O391" s="11">
        <v>2</v>
      </c>
      <c r="P391" s="17">
        <v>0.05</v>
      </c>
      <c r="Q391" s="11">
        <v>3850</v>
      </c>
      <c r="R391" s="11" t="s">
        <v>32</v>
      </c>
      <c r="S391" s="11" t="s">
        <v>33</v>
      </c>
      <c r="T391" s="11" t="s">
        <v>34</v>
      </c>
      <c r="U391" s="11">
        <v>4</v>
      </c>
      <c r="V391" s="11" t="str">
        <f>TEXT('E-Commerce Sales Data'!$B391,"mmmm")</f>
        <v>May</v>
      </c>
      <c r="W391" s="8">
        <f t="shared" si="24"/>
        <v>3943455</v>
      </c>
      <c r="X391">
        <f t="shared" si="25"/>
        <v>811</v>
      </c>
      <c r="Y391">
        <f t="shared" si="26"/>
        <v>28187.903822441429</v>
      </c>
      <c r="Z391">
        <f t="shared" si="27"/>
        <v>55</v>
      </c>
    </row>
    <row r="392" spans="1:26" x14ac:dyDescent="0.25">
      <c r="A392" s="5" t="s">
        <v>495</v>
      </c>
      <c r="B392" s="6">
        <v>48362</v>
      </c>
      <c r="C392" s="7" t="s">
        <v>99</v>
      </c>
      <c r="D392" s="7" t="s">
        <v>100</v>
      </c>
      <c r="E392" s="7">
        <v>33</v>
      </c>
      <c r="F392" s="7" t="s">
        <v>24</v>
      </c>
      <c r="G392" s="7" t="s">
        <v>101</v>
      </c>
      <c r="H392" s="7" t="s">
        <v>102</v>
      </c>
      <c r="I392" s="7" t="s">
        <v>41</v>
      </c>
      <c r="J392" s="7" t="s">
        <v>28</v>
      </c>
      <c r="K392" s="7" t="s">
        <v>60</v>
      </c>
      <c r="L392" s="7" t="s">
        <v>53</v>
      </c>
      <c r="M392" s="7" t="s">
        <v>103</v>
      </c>
      <c r="N392" s="7">
        <v>1080</v>
      </c>
      <c r="O392" s="7">
        <v>25</v>
      </c>
      <c r="P392" s="16">
        <v>0</v>
      </c>
      <c r="Q392" s="7">
        <v>330</v>
      </c>
      <c r="R392" s="7" t="s">
        <v>55</v>
      </c>
      <c r="S392" s="7" t="s">
        <v>33</v>
      </c>
      <c r="T392" s="7" t="s">
        <v>34</v>
      </c>
      <c r="U392" s="7">
        <v>5</v>
      </c>
      <c r="V392" s="7" t="str">
        <f>TEXT('E-Commerce Sales Data'!$B392,"mmmm")</f>
        <v>May</v>
      </c>
      <c r="W392" s="8">
        <f t="shared" si="24"/>
        <v>3939605</v>
      </c>
      <c r="X392">
        <f t="shared" si="25"/>
        <v>810</v>
      </c>
      <c r="Y392">
        <f t="shared" si="26"/>
        <v>28198.012345679013</v>
      </c>
      <c r="Z392">
        <f t="shared" si="27"/>
        <v>55</v>
      </c>
    </row>
    <row r="393" spans="1:26" x14ac:dyDescent="0.25">
      <c r="A393" s="9" t="s">
        <v>496</v>
      </c>
      <c r="B393" s="10">
        <v>48369</v>
      </c>
      <c r="C393" s="11" t="s">
        <v>105</v>
      </c>
      <c r="D393" s="11" t="s">
        <v>58</v>
      </c>
      <c r="E393" s="11">
        <v>42</v>
      </c>
      <c r="F393" s="11" t="s">
        <v>38</v>
      </c>
      <c r="G393" s="11" t="s">
        <v>51</v>
      </c>
      <c r="H393" s="11" t="s">
        <v>51</v>
      </c>
      <c r="I393" s="11" t="s">
        <v>52</v>
      </c>
      <c r="J393" s="11" t="s">
        <v>42</v>
      </c>
      <c r="K393" s="11" t="s">
        <v>43</v>
      </c>
      <c r="L393" s="11" t="s">
        <v>68</v>
      </c>
      <c r="M393" s="11" t="s">
        <v>106</v>
      </c>
      <c r="N393" s="11">
        <v>29600</v>
      </c>
      <c r="O393" s="11">
        <v>1</v>
      </c>
      <c r="P393" s="17">
        <v>0.08</v>
      </c>
      <c r="Q393" s="11">
        <v>5900</v>
      </c>
      <c r="R393" s="11" t="s">
        <v>46</v>
      </c>
      <c r="S393" s="11" t="s">
        <v>47</v>
      </c>
      <c r="T393" s="11" t="s">
        <v>34</v>
      </c>
      <c r="U393" s="11">
        <v>4</v>
      </c>
      <c r="V393" s="11" t="str">
        <f>TEXT('E-Commerce Sales Data'!$B393,"mmmm")</f>
        <v>June</v>
      </c>
      <c r="W393" s="8">
        <f t="shared" si="24"/>
        <v>3939275</v>
      </c>
      <c r="X393">
        <f t="shared" si="25"/>
        <v>809</v>
      </c>
      <c r="Y393">
        <f t="shared" si="26"/>
        <v>28231.532756489494</v>
      </c>
      <c r="Z393">
        <f t="shared" si="27"/>
        <v>55</v>
      </c>
    </row>
    <row r="394" spans="1:26" x14ac:dyDescent="0.25">
      <c r="A394" s="5" t="s">
        <v>497</v>
      </c>
      <c r="B394" s="6">
        <v>48376</v>
      </c>
      <c r="C394" s="7" t="s">
        <v>108</v>
      </c>
      <c r="D394" s="7" t="s">
        <v>23</v>
      </c>
      <c r="E394" s="7">
        <v>30</v>
      </c>
      <c r="F394" s="7" t="s">
        <v>24</v>
      </c>
      <c r="G394" s="7" t="s">
        <v>59</v>
      </c>
      <c r="H394" s="7" t="s">
        <v>26</v>
      </c>
      <c r="I394" s="7" t="s">
        <v>27</v>
      </c>
      <c r="J394" s="7" t="s">
        <v>28</v>
      </c>
      <c r="K394" s="7" t="s">
        <v>29</v>
      </c>
      <c r="L394" s="7" t="s">
        <v>30</v>
      </c>
      <c r="M394" s="7" t="s">
        <v>31</v>
      </c>
      <c r="N394" s="7">
        <v>83000</v>
      </c>
      <c r="O394" s="7">
        <v>1</v>
      </c>
      <c r="P394" s="16">
        <v>0.1</v>
      </c>
      <c r="Q394" s="7">
        <v>9400</v>
      </c>
      <c r="R394" s="7" t="s">
        <v>32</v>
      </c>
      <c r="S394" s="7" t="s">
        <v>47</v>
      </c>
      <c r="T394" s="7" t="s">
        <v>34</v>
      </c>
      <c r="U394" s="7">
        <v>5</v>
      </c>
      <c r="V394" s="7" t="str">
        <f>TEXT('E-Commerce Sales Data'!$B394,"mmmm")</f>
        <v>June</v>
      </c>
      <c r="W394" s="8">
        <f t="shared" si="24"/>
        <v>3933375</v>
      </c>
      <c r="X394">
        <f t="shared" si="25"/>
        <v>808</v>
      </c>
      <c r="Y394">
        <f t="shared" si="26"/>
        <v>28229.839108910892</v>
      </c>
      <c r="Z394">
        <f t="shared" si="27"/>
        <v>55</v>
      </c>
    </row>
    <row r="395" spans="1:26" x14ac:dyDescent="0.25">
      <c r="A395" s="9" t="s">
        <v>498</v>
      </c>
      <c r="B395" s="10">
        <v>48383</v>
      </c>
      <c r="C395" s="11" t="s">
        <v>110</v>
      </c>
      <c r="D395" s="11" t="s">
        <v>37</v>
      </c>
      <c r="E395" s="11">
        <v>36</v>
      </c>
      <c r="F395" s="11" t="s">
        <v>38</v>
      </c>
      <c r="G395" s="11" t="s">
        <v>66</v>
      </c>
      <c r="H395" s="11" t="s">
        <v>67</v>
      </c>
      <c r="I395" s="11" t="s">
        <v>27</v>
      </c>
      <c r="J395" s="11" t="s">
        <v>28</v>
      </c>
      <c r="K395" s="11" t="s">
        <v>60</v>
      </c>
      <c r="L395" s="11" t="s">
        <v>92</v>
      </c>
      <c r="M395" s="11" t="s">
        <v>111</v>
      </c>
      <c r="N395" s="11">
        <v>1400</v>
      </c>
      <c r="O395" s="11">
        <v>15</v>
      </c>
      <c r="P395" s="17">
        <v>0.05</v>
      </c>
      <c r="Q395" s="11">
        <v>425</v>
      </c>
      <c r="R395" s="11" t="s">
        <v>80</v>
      </c>
      <c r="S395" s="11" t="s">
        <v>33</v>
      </c>
      <c r="T395" s="11" t="s">
        <v>34</v>
      </c>
      <c r="U395" s="11">
        <v>4</v>
      </c>
      <c r="V395" s="11" t="str">
        <f>TEXT('E-Commerce Sales Data'!$B395,"mmmm")</f>
        <v>June</v>
      </c>
      <c r="W395" s="8">
        <f t="shared" si="24"/>
        <v>3923975</v>
      </c>
      <c r="X395">
        <f t="shared" si="25"/>
        <v>807</v>
      </c>
      <c r="Y395">
        <f t="shared" si="26"/>
        <v>28161.97026022305</v>
      </c>
      <c r="Z395">
        <f t="shared" si="27"/>
        <v>55</v>
      </c>
    </row>
    <row r="396" spans="1:26" x14ac:dyDescent="0.25">
      <c r="A396" s="5" t="s">
        <v>499</v>
      </c>
      <c r="B396" s="6">
        <v>48390</v>
      </c>
      <c r="C396" s="7" t="s">
        <v>113</v>
      </c>
      <c r="D396" s="7" t="s">
        <v>114</v>
      </c>
      <c r="E396" s="7">
        <v>40</v>
      </c>
      <c r="F396" s="7" t="s">
        <v>24</v>
      </c>
      <c r="G396" s="7" t="s">
        <v>73</v>
      </c>
      <c r="H396" s="7" t="s">
        <v>74</v>
      </c>
      <c r="I396" s="7" t="s">
        <v>41</v>
      </c>
      <c r="J396" s="7" t="s">
        <v>42</v>
      </c>
      <c r="K396" s="7" t="s">
        <v>43</v>
      </c>
      <c r="L396" s="7" t="s">
        <v>44</v>
      </c>
      <c r="M396" s="7" t="s">
        <v>45</v>
      </c>
      <c r="N396" s="7">
        <v>13200</v>
      </c>
      <c r="O396" s="7">
        <v>4</v>
      </c>
      <c r="P396" s="16">
        <v>7.0000000000000007E-2</v>
      </c>
      <c r="Q396" s="7">
        <v>2900</v>
      </c>
      <c r="R396" s="7" t="s">
        <v>46</v>
      </c>
      <c r="S396" s="7" t="s">
        <v>33</v>
      </c>
      <c r="T396" s="7" t="s">
        <v>34</v>
      </c>
      <c r="U396" s="7">
        <v>4</v>
      </c>
      <c r="V396" s="7" t="str">
        <f>TEXT('E-Commerce Sales Data'!$B396,"mmmm")</f>
        <v>June</v>
      </c>
      <c r="W396" s="8">
        <f t="shared" si="24"/>
        <v>3923550</v>
      </c>
      <c r="X396">
        <f t="shared" si="25"/>
        <v>806</v>
      </c>
      <c r="Y396">
        <f t="shared" si="26"/>
        <v>28195.173697270471</v>
      </c>
      <c r="Z396">
        <f t="shared" si="27"/>
        <v>55</v>
      </c>
    </row>
    <row r="397" spans="1:26" x14ac:dyDescent="0.25">
      <c r="A397" s="9" t="s">
        <v>500</v>
      </c>
      <c r="B397" s="10">
        <v>48397</v>
      </c>
      <c r="C397" s="11" t="s">
        <v>116</v>
      </c>
      <c r="D397" s="11" t="s">
        <v>83</v>
      </c>
      <c r="E397" s="11">
        <v>27</v>
      </c>
      <c r="F397" s="11" t="s">
        <v>38</v>
      </c>
      <c r="G397" s="11" t="s">
        <v>39</v>
      </c>
      <c r="H397" s="11" t="s">
        <v>40</v>
      </c>
      <c r="I397" s="11" t="s">
        <v>41</v>
      </c>
      <c r="J397" s="11" t="s">
        <v>28</v>
      </c>
      <c r="K397" s="11" t="s">
        <v>29</v>
      </c>
      <c r="L397" s="11" t="s">
        <v>53</v>
      </c>
      <c r="M397" s="11" t="s">
        <v>54</v>
      </c>
      <c r="N397" s="11">
        <v>28500</v>
      </c>
      <c r="O397" s="11">
        <v>2</v>
      </c>
      <c r="P397" s="17">
        <v>0.05</v>
      </c>
      <c r="Q397" s="11">
        <v>5300</v>
      </c>
      <c r="R397" s="11" t="s">
        <v>32</v>
      </c>
      <c r="S397" s="11" t="s">
        <v>47</v>
      </c>
      <c r="T397" s="11" t="s">
        <v>34</v>
      </c>
      <c r="U397" s="11">
        <v>5</v>
      </c>
      <c r="V397" s="11" t="str">
        <f>TEXT('E-Commerce Sales Data'!$B397,"mmmm")</f>
        <v>July</v>
      </c>
      <c r="W397" s="8">
        <f t="shared" si="24"/>
        <v>3920650</v>
      </c>
      <c r="X397">
        <f t="shared" si="25"/>
        <v>805</v>
      </c>
      <c r="Y397">
        <f t="shared" si="26"/>
        <v>28213.801242236026</v>
      </c>
      <c r="Z397">
        <f t="shared" si="27"/>
        <v>55</v>
      </c>
    </row>
    <row r="398" spans="1:26" x14ac:dyDescent="0.25">
      <c r="A398" s="5" t="s">
        <v>501</v>
      </c>
      <c r="B398" s="6">
        <v>48404</v>
      </c>
      <c r="C398" s="7" t="s">
        <v>118</v>
      </c>
      <c r="D398" s="7" t="s">
        <v>72</v>
      </c>
      <c r="E398" s="7">
        <v>35</v>
      </c>
      <c r="F398" s="7" t="s">
        <v>24</v>
      </c>
      <c r="G398" s="7" t="s">
        <v>84</v>
      </c>
      <c r="H398" s="7" t="s">
        <v>85</v>
      </c>
      <c r="I398" s="7" t="s">
        <v>52</v>
      </c>
      <c r="J398" s="7" t="s">
        <v>42</v>
      </c>
      <c r="K398" s="7" t="s">
        <v>60</v>
      </c>
      <c r="L398" s="7" t="s">
        <v>61</v>
      </c>
      <c r="M398" s="7" t="s">
        <v>62</v>
      </c>
      <c r="N398" s="7">
        <v>6100</v>
      </c>
      <c r="O398" s="7">
        <v>10</v>
      </c>
      <c r="P398" s="16">
        <v>0.03</v>
      </c>
      <c r="Q398" s="7">
        <v>1510</v>
      </c>
      <c r="R398" s="7" t="s">
        <v>55</v>
      </c>
      <c r="S398" s="7" t="s">
        <v>33</v>
      </c>
      <c r="T398" s="7" t="s">
        <v>34</v>
      </c>
      <c r="U398" s="7">
        <v>4</v>
      </c>
      <c r="V398" s="7" t="str">
        <f>TEXT('E-Commerce Sales Data'!$B398,"mmmm")</f>
        <v>July</v>
      </c>
      <c r="W398" s="8">
        <f t="shared" si="24"/>
        <v>3915350</v>
      </c>
      <c r="X398">
        <f t="shared" si="25"/>
        <v>804</v>
      </c>
      <c r="Y398">
        <f t="shared" si="26"/>
        <v>28213.445273631842</v>
      </c>
      <c r="Z398">
        <f t="shared" si="27"/>
        <v>55</v>
      </c>
    </row>
    <row r="399" spans="1:26" x14ac:dyDescent="0.25">
      <c r="A399" s="9" t="s">
        <v>502</v>
      </c>
      <c r="B399" s="10">
        <v>48411</v>
      </c>
      <c r="C399" s="11" t="s">
        <v>120</v>
      </c>
      <c r="D399" s="11" t="s">
        <v>23</v>
      </c>
      <c r="E399" s="11">
        <v>24</v>
      </c>
      <c r="F399" s="11" t="s">
        <v>38</v>
      </c>
      <c r="G399" s="11" t="s">
        <v>25</v>
      </c>
      <c r="H399" s="11" t="s">
        <v>26</v>
      </c>
      <c r="I399" s="11" t="s">
        <v>27</v>
      </c>
      <c r="J399" s="11" t="s">
        <v>28</v>
      </c>
      <c r="K399" s="11" t="s">
        <v>43</v>
      </c>
      <c r="L399" s="11" t="s">
        <v>68</v>
      </c>
      <c r="M399" s="11" t="s">
        <v>69</v>
      </c>
      <c r="N399" s="11">
        <v>25800</v>
      </c>
      <c r="O399" s="11">
        <v>2</v>
      </c>
      <c r="P399" s="17">
        <v>0.1</v>
      </c>
      <c r="Q399" s="11">
        <v>4080</v>
      </c>
      <c r="R399" s="11" t="s">
        <v>32</v>
      </c>
      <c r="S399" s="11" t="s">
        <v>47</v>
      </c>
      <c r="T399" s="11" t="s">
        <v>34</v>
      </c>
      <c r="U399" s="11">
        <v>5</v>
      </c>
      <c r="V399" s="11" t="str">
        <f>TEXT('E-Commerce Sales Data'!$B399,"mmmm")</f>
        <v>July</v>
      </c>
      <c r="W399" s="8">
        <f t="shared" si="24"/>
        <v>3913840</v>
      </c>
      <c r="X399">
        <f t="shared" si="25"/>
        <v>803</v>
      </c>
      <c r="Y399">
        <f t="shared" si="26"/>
        <v>28240.983810709837</v>
      </c>
      <c r="Z399">
        <f t="shared" si="27"/>
        <v>55</v>
      </c>
    </row>
    <row r="400" spans="1:26" x14ac:dyDescent="0.25">
      <c r="A400" s="5" t="s">
        <v>503</v>
      </c>
      <c r="B400" s="6">
        <v>48418</v>
      </c>
      <c r="C400" s="7" t="s">
        <v>122</v>
      </c>
      <c r="D400" s="7" t="s">
        <v>50</v>
      </c>
      <c r="E400" s="7">
        <v>43</v>
      </c>
      <c r="F400" s="7" t="s">
        <v>24</v>
      </c>
      <c r="G400" s="7" t="s">
        <v>101</v>
      </c>
      <c r="H400" s="7" t="s">
        <v>102</v>
      </c>
      <c r="I400" s="7" t="s">
        <v>41</v>
      </c>
      <c r="J400" s="7" t="s">
        <v>42</v>
      </c>
      <c r="K400" s="7" t="s">
        <v>29</v>
      </c>
      <c r="L400" s="7" t="s">
        <v>53</v>
      </c>
      <c r="M400" s="7" t="s">
        <v>75</v>
      </c>
      <c r="N400" s="7">
        <v>4350</v>
      </c>
      <c r="O400" s="7">
        <v>4</v>
      </c>
      <c r="P400" s="16">
        <v>0.05</v>
      </c>
      <c r="Q400" s="7">
        <v>1080</v>
      </c>
      <c r="R400" s="7" t="s">
        <v>46</v>
      </c>
      <c r="S400" s="7" t="s">
        <v>33</v>
      </c>
      <c r="T400" s="7" t="s">
        <v>34</v>
      </c>
      <c r="U400" s="7">
        <v>3</v>
      </c>
      <c r="V400" s="7" t="str">
        <f>TEXT('E-Commerce Sales Data'!$B400,"mmmm")</f>
        <v>July</v>
      </c>
      <c r="W400" s="8">
        <f t="shared" si="24"/>
        <v>3909760</v>
      </c>
      <c r="X400">
        <f t="shared" si="25"/>
        <v>802</v>
      </c>
      <c r="Y400">
        <f t="shared" si="26"/>
        <v>28244.027431421448</v>
      </c>
      <c r="Z400">
        <f t="shared" si="27"/>
        <v>55</v>
      </c>
    </row>
    <row r="401" spans="1:26" x14ac:dyDescent="0.25">
      <c r="A401" s="9" t="s">
        <v>504</v>
      </c>
      <c r="B401" s="10">
        <v>48425</v>
      </c>
      <c r="C401" s="11" t="s">
        <v>124</v>
      </c>
      <c r="D401" s="11" t="s">
        <v>100</v>
      </c>
      <c r="E401" s="11">
        <v>32</v>
      </c>
      <c r="F401" s="11" t="s">
        <v>38</v>
      </c>
      <c r="G401" s="11" t="s">
        <v>78</v>
      </c>
      <c r="H401" s="11" t="s">
        <v>26</v>
      </c>
      <c r="I401" s="11" t="s">
        <v>27</v>
      </c>
      <c r="J401" s="11" t="s">
        <v>28</v>
      </c>
      <c r="K401" s="11" t="s">
        <v>29</v>
      </c>
      <c r="L401" s="11" t="s">
        <v>53</v>
      </c>
      <c r="M401" s="11" t="s">
        <v>79</v>
      </c>
      <c r="N401" s="11">
        <v>2900</v>
      </c>
      <c r="O401" s="11">
        <v>7</v>
      </c>
      <c r="P401" s="17">
        <v>0</v>
      </c>
      <c r="Q401" s="11">
        <v>860</v>
      </c>
      <c r="R401" s="11" t="s">
        <v>32</v>
      </c>
      <c r="S401" s="11" t="s">
        <v>33</v>
      </c>
      <c r="T401" s="11" t="s">
        <v>34</v>
      </c>
      <c r="U401" s="11">
        <v>4</v>
      </c>
      <c r="V401" s="11" t="str">
        <f>TEXT('E-Commerce Sales Data'!$B401,"mmmm")</f>
        <v>July</v>
      </c>
      <c r="W401" s="8">
        <f t="shared" si="24"/>
        <v>3908680</v>
      </c>
      <c r="X401">
        <f t="shared" si="25"/>
        <v>801</v>
      </c>
      <c r="Y401">
        <f t="shared" si="26"/>
        <v>28273.857677902623</v>
      </c>
      <c r="Z401">
        <f t="shared" si="27"/>
        <v>55</v>
      </c>
    </row>
    <row r="402" spans="1:26" x14ac:dyDescent="0.25">
      <c r="A402" s="5" t="s">
        <v>505</v>
      </c>
      <c r="B402" s="6">
        <v>48432</v>
      </c>
      <c r="C402" s="7" t="s">
        <v>22</v>
      </c>
      <c r="D402" s="7" t="s">
        <v>23</v>
      </c>
      <c r="E402" s="7">
        <v>28</v>
      </c>
      <c r="F402" s="7" t="s">
        <v>24</v>
      </c>
      <c r="G402" s="7" t="s">
        <v>25</v>
      </c>
      <c r="H402" s="7" t="s">
        <v>26</v>
      </c>
      <c r="I402" s="7" t="s">
        <v>27</v>
      </c>
      <c r="J402" s="7" t="s">
        <v>28</v>
      </c>
      <c r="K402" s="7" t="s">
        <v>29</v>
      </c>
      <c r="L402" s="7" t="s">
        <v>30</v>
      </c>
      <c r="M402" s="7" t="s">
        <v>31</v>
      </c>
      <c r="N402" s="7">
        <v>79000</v>
      </c>
      <c r="O402" s="7">
        <v>1</v>
      </c>
      <c r="P402" s="16">
        <v>0.05</v>
      </c>
      <c r="Q402" s="7">
        <v>10500</v>
      </c>
      <c r="R402" s="7" t="s">
        <v>32</v>
      </c>
      <c r="S402" s="7" t="s">
        <v>47</v>
      </c>
      <c r="T402" s="7" t="s">
        <v>34</v>
      </c>
      <c r="U402" s="7">
        <v>5</v>
      </c>
      <c r="V402" s="7" t="str">
        <f>TEXT('E-Commerce Sales Data'!$B402,"mmmm")</f>
        <v>August</v>
      </c>
      <c r="W402" s="8">
        <f t="shared" si="24"/>
        <v>3907820</v>
      </c>
      <c r="X402">
        <f t="shared" si="25"/>
        <v>800</v>
      </c>
      <c r="Y402">
        <f t="shared" si="26"/>
        <v>28305.575000000001</v>
      </c>
      <c r="Z402">
        <f t="shared" si="27"/>
        <v>55</v>
      </c>
    </row>
    <row r="403" spans="1:26" x14ac:dyDescent="0.25">
      <c r="A403" s="9" t="s">
        <v>506</v>
      </c>
      <c r="B403" s="10">
        <v>48439</v>
      </c>
      <c r="C403" s="11" t="s">
        <v>36</v>
      </c>
      <c r="D403" s="11" t="s">
        <v>37</v>
      </c>
      <c r="E403" s="11">
        <v>34</v>
      </c>
      <c r="F403" s="11" t="s">
        <v>38</v>
      </c>
      <c r="G403" s="11" t="s">
        <v>39</v>
      </c>
      <c r="H403" s="11" t="s">
        <v>40</v>
      </c>
      <c r="I403" s="11" t="s">
        <v>41</v>
      </c>
      <c r="J403" s="11" t="s">
        <v>42</v>
      </c>
      <c r="K403" s="11" t="s">
        <v>43</v>
      </c>
      <c r="L403" s="11" t="s">
        <v>44</v>
      </c>
      <c r="M403" s="11" t="s">
        <v>45</v>
      </c>
      <c r="N403" s="11">
        <v>11300</v>
      </c>
      <c r="O403" s="11">
        <v>3</v>
      </c>
      <c r="P403" s="17">
        <v>0.1</v>
      </c>
      <c r="Q403" s="11">
        <v>2580</v>
      </c>
      <c r="R403" s="11" t="s">
        <v>46</v>
      </c>
      <c r="S403" s="11" t="s">
        <v>33</v>
      </c>
      <c r="T403" s="11" t="s">
        <v>34</v>
      </c>
      <c r="U403" s="11">
        <v>4</v>
      </c>
      <c r="V403" s="11" t="str">
        <f>TEXT('E-Commerce Sales Data'!$B403,"mmmm")</f>
        <v>August</v>
      </c>
      <c r="W403" s="8">
        <f t="shared" si="24"/>
        <v>3897320</v>
      </c>
      <c r="X403">
        <f t="shared" si="25"/>
        <v>799</v>
      </c>
      <c r="Y403">
        <f t="shared" si="26"/>
        <v>28242.127659574468</v>
      </c>
      <c r="Z403">
        <f t="shared" si="27"/>
        <v>55</v>
      </c>
    </row>
    <row r="404" spans="1:26" x14ac:dyDescent="0.25">
      <c r="A404" s="5" t="s">
        <v>507</v>
      </c>
      <c r="B404" s="6">
        <v>48446</v>
      </c>
      <c r="C404" s="7" t="s">
        <v>49</v>
      </c>
      <c r="D404" s="7" t="s">
        <v>50</v>
      </c>
      <c r="E404" s="7">
        <v>41</v>
      </c>
      <c r="F404" s="7" t="s">
        <v>24</v>
      </c>
      <c r="G404" s="7" t="s">
        <v>51</v>
      </c>
      <c r="H404" s="7" t="s">
        <v>51</v>
      </c>
      <c r="I404" s="7" t="s">
        <v>52</v>
      </c>
      <c r="J404" s="7" t="s">
        <v>28</v>
      </c>
      <c r="K404" s="7" t="s">
        <v>29</v>
      </c>
      <c r="L404" s="7" t="s">
        <v>53</v>
      </c>
      <c r="M404" s="7" t="s">
        <v>54</v>
      </c>
      <c r="N404" s="7">
        <v>26400</v>
      </c>
      <c r="O404" s="7">
        <v>2</v>
      </c>
      <c r="P404" s="16">
        <v>0.05</v>
      </c>
      <c r="Q404" s="7">
        <v>4850</v>
      </c>
      <c r="R404" s="7" t="s">
        <v>55</v>
      </c>
      <c r="S404" s="7" t="s">
        <v>33</v>
      </c>
      <c r="T404" s="7" t="s">
        <v>34</v>
      </c>
      <c r="U404" s="7">
        <v>4</v>
      </c>
      <c r="V404" s="7" t="str">
        <f>TEXT('E-Commerce Sales Data'!$B404,"mmmm")</f>
        <v>August</v>
      </c>
      <c r="W404" s="8">
        <f t="shared" si="24"/>
        <v>3894740</v>
      </c>
      <c r="X404">
        <f t="shared" si="25"/>
        <v>798</v>
      </c>
      <c r="Y404">
        <f t="shared" si="26"/>
        <v>28263.358395989973</v>
      </c>
      <c r="Z404">
        <f t="shared" si="27"/>
        <v>55</v>
      </c>
    </row>
    <row r="405" spans="1:26" x14ac:dyDescent="0.25">
      <c r="A405" s="9" t="s">
        <v>508</v>
      </c>
      <c r="B405" s="10">
        <v>48453</v>
      </c>
      <c r="C405" s="11" t="s">
        <v>57</v>
      </c>
      <c r="D405" s="11" t="s">
        <v>58</v>
      </c>
      <c r="E405" s="11">
        <v>26</v>
      </c>
      <c r="F405" s="11" t="s">
        <v>38</v>
      </c>
      <c r="G405" s="11" t="s">
        <v>59</v>
      </c>
      <c r="H405" s="11" t="s">
        <v>26</v>
      </c>
      <c r="I405" s="11" t="s">
        <v>27</v>
      </c>
      <c r="J405" s="11" t="s">
        <v>28</v>
      </c>
      <c r="K405" s="11" t="s">
        <v>60</v>
      </c>
      <c r="L405" s="11" t="s">
        <v>61</v>
      </c>
      <c r="M405" s="11" t="s">
        <v>86</v>
      </c>
      <c r="N405" s="11">
        <v>770</v>
      </c>
      <c r="O405" s="11">
        <v>20</v>
      </c>
      <c r="P405" s="17">
        <v>0.02</v>
      </c>
      <c r="Q405" s="11">
        <v>225</v>
      </c>
      <c r="R405" s="11" t="s">
        <v>32</v>
      </c>
      <c r="S405" s="11" t="s">
        <v>33</v>
      </c>
      <c r="T405" s="11" t="s">
        <v>34</v>
      </c>
      <c r="U405" s="11">
        <v>5</v>
      </c>
      <c r="V405" s="11" t="str">
        <f>TEXT('E-Commerce Sales Data'!$B405,"mmmm")</f>
        <v>August</v>
      </c>
      <c r="W405" s="8">
        <f t="shared" si="24"/>
        <v>3889890</v>
      </c>
      <c r="X405">
        <f t="shared" si="25"/>
        <v>797</v>
      </c>
      <c r="Y405">
        <f t="shared" si="26"/>
        <v>28265.696361355083</v>
      </c>
      <c r="Z405">
        <f t="shared" si="27"/>
        <v>55</v>
      </c>
    </row>
    <row r="406" spans="1:26" x14ac:dyDescent="0.25">
      <c r="A406" s="5" t="s">
        <v>509</v>
      </c>
      <c r="B406" s="6">
        <v>48460</v>
      </c>
      <c r="C406" s="7" t="s">
        <v>64</v>
      </c>
      <c r="D406" s="7" t="s">
        <v>65</v>
      </c>
      <c r="E406" s="7">
        <v>39</v>
      </c>
      <c r="F406" s="7" t="s">
        <v>24</v>
      </c>
      <c r="G406" s="7" t="s">
        <v>66</v>
      </c>
      <c r="H406" s="7" t="s">
        <v>67</v>
      </c>
      <c r="I406" s="7" t="s">
        <v>27</v>
      </c>
      <c r="J406" s="7" t="s">
        <v>42</v>
      </c>
      <c r="K406" s="7" t="s">
        <v>43</v>
      </c>
      <c r="L406" s="7" t="s">
        <v>68</v>
      </c>
      <c r="M406" s="7" t="s">
        <v>69</v>
      </c>
      <c r="N406" s="7">
        <v>26200</v>
      </c>
      <c r="O406" s="7">
        <v>2</v>
      </c>
      <c r="P406" s="16">
        <v>0.08</v>
      </c>
      <c r="Q406" s="7">
        <v>4480</v>
      </c>
      <c r="R406" s="7" t="s">
        <v>46</v>
      </c>
      <c r="S406" s="7" t="s">
        <v>47</v>
      </c>
      <c r="T406" s="7" t="s">
        <v>34</v>
      </c>
      <c r="U406" s="7">
        <v>4</v>
      </c>
      <c r="V406" s="7" t="str">
        <f>TEXT('E-Commerce Sales Data'!$B406,"mmmm")</f>
        <v>September</v>
      </c>
      <c r="W406" s="8">
        <f t="shared" si="24"/>
        <v>3889665</v>
      </c>
      <c r="X406">
        <f t="shared" si="25"/>
        <v>796</v>
      </c>
      <c r="Y406">
        <f t="shared" si="26"/>
        <v>28300.238693467338</v>
      </c>
      <c r="Z406">
        <f t="shared" si="27"/>
        <v>55</v>
      </c>
    </row>
    <row r="407" spans="1:26" x14ac:dyDescent="0.25">
      <c r="A407" s="9" t="s">
        <v>510</v>
      </c>
      <c r="B407" s="10">
        <v>48467</v>
      </c>
      <c r="C407" s="11" t="s">
        <v>71</v>
      </c>
      <c r="D407" s="11" t="s">
        <v>72</v>
      </c>
      <c r="E407" s="11">
        <v>31</v>
      </c>
      <c r="F407" s="11" t="s">
        <v>38</v>
      </c>
      <c r="G407" s="11" t="s">
        <v>73</v>
      </c>
      <c r="H407" s="11" t="s">
        <v>74</v>
      </c>
      <c r="I407" s="11" t="s">
        <v>41</v>
      </c>
      <c r="J407" s="11" t="s">
        <v>28</v>
      </c>
      <c r="K407" s="11" t="s">
        <v>29</v>
      </c>
      <c r="L407" s="11" t="s">
        <v>53</v>
      </c>
      <c r="M407" s="11" t="s">
        <v>75</v>
      </c>
      <c r="N407" s="11">
        <v>4050</v>
      </c>
      <c r="O407" s="11">
        <v>3</v>
      </c>
      <c r="P407" s="17">
        <v>0.05</v>
      </c>
      <c r="Q407" s="11">
        <v>1020</v>
      </c>
      <c r="R407" s="11" t="s">
        <v>32</v>
      </c>
      <c r="S407" s="11" t="s">
        <v>33</v>
      </c>
      <c r="T407" s="11" t="s">
        <v>34</v>
      </c>
      <c r="U407" s="11">
        <v>4</v>
      </c>
      <c r="V407" s="11" t="str">
        <f>TEXT('E-Commerce Sales Data'!$B407,"mmmm")</f>
        <v>September</v>
      </c>
      <c r="W407" s="8">
        <f t="shared" si="24"/>
        <v>3885185</v>
      </c>
      <c r="X407">
        <f t="shared" si="25"/>
        <v>795</v>
      </c>
      <c r="Y407">
        <f t="shared" si="26"/>
        <v>28302.880503144654</v>
      </c>
      <c r="Z407">
        <f t="shared" si="27"/>
        <v>55</v>
      </c>
    </row>
    <row r="408" spans="1:26" x14ac:dyDescent="0.25">
      <c r="A408" s="5" t="s">
        <v>511</v>
      </c>
      <c r="B408" s="6">
        <v>48474</v>
      </c>
      <c r="C408" s="7" t="s">
        <v>77</v>
      </c>
      <c r="D408" s="7" t="s">
        <v>23</v>
      </c>
      <c r="E408" s="7">
        <v>29</v>
      </c>
      <c r="F408" s="7" t="s">
        <v>24</v>
      </c>
      <c r="G408" s="7" t="s">
        <v>78</v>
      </c>
      <c r="H408" s="7" t="s">
        <v>26</v>
      </c>
      <c r="I408" s="7" t="s">
        <v>27</v>
      </c>
      <c r="J408" s="7" t="s">
        <v>28</v>
      </c>
      <c r="K408" s="7" t="s">
        <v>29</v>
      </c>
      <c r="L408" s="7" t="s">
        <v>53</v>
      </c>
      <c r="M408" s="7" t="s">
        <v>79</v>
      </c>
      <c r="N408" s="7">
        <v>2980</v>
      </c>
      <c r="O408" s="7">
        <v>6</v>
      </c>
      <c r="P408" s="16">
        <v>0</v>
      </c>
      <c r="Q408" s="7">
        <v>890</v>
      </c>
      <c r="R408" s="7" t="s">
        <v>80</v>
      </c>
      <c r="S408" s="7" t="s">
        <v>33</v>
      </c>
      <c r="T408" s="7" t="s">
        <v>34</v>
      </c>
      <c r="U408" s="7">
        <v>3</v>
      </c>
      <c r="V408" s="7" t="str">
        <f>TEXT('E-Commerce Sales Data'!$B408,"mmmm")</f>
        <v>September</v>
      </c>
      <c r="W408" s="8">
        <f t="shared" si="24"/>
        <v>3884165</v>
      </c>
      <c r="X408">
        <f t="shared" si="25"/>
        <v>794</v>
      </c>
      <c r="Y408">
        <f t="shared" si="26"/>
        <v>28333.425692695215</v>
      </c>
      <c r="Z408">
        <f t="shared" si="27"/>
        <v>55</v>
      </c>
    </row>
    <row r="409" spans="1:26" x14ac:dyDescent="0.25">
      <c r="A409" s="9" t="s">
        <v>512</v>
      </c>
      <c r="B409" s="10">
        <v>48481</v>
      </c>
      <c r="C409" s="11" t="s">
        <v>82</v>
      </c>
      <c r="D409" s="11" t="s">
        <v>83</v>
      </c>
      <c r="E409" s="11">
        <v>37</v>
      </c>
      <c r="F409" s="11" t="s">
        <v>38</v>
      </c>
      <c r="G409" s="11" t="s">
        <v>84</v>
      </c>
      <c r="H409" s="11" t="s">
        <v>85</v>
      </c>
      <c r="I409" s="11" t="s">
        <v>52</v>
      </c>
      <c r="J409" s="11" t="s">
        <v>42</v>
      </c>
      <c r="K409" s="11" t="s">
        <v>60</v>
      </c>
      <c r="L409" s="11" t="s">
        <v>61</v>
      </c>
      <c r="M409" s="11" t="s">
        <v>62</v>
      </c>
      <c r="N409" s="11">
        <v>6200</v>
      </c>
      <c r="O409" s="11">
        <v>10</v>
      </c>
      <c r="P409" s="17">
        <v>0.02</v>
      </c>
      <c r="Q409" s="11">
        <v>1530</v>
      </c>
      <c r="R409" s="11" t="s">
        <v>32</v>
      </c>
      <c r="S409" s="11" t="s">
        <v>33</v>
      </c>
      <c r="T409" s="11" t="s">
        <v>34</v>
      </c>
      <c r="U409" s="11">
        <v>5</v>
      </c>
      <c r="V409" s="11" t="str">
        <f>TEXT('E-Commerce Sales Data'!$B409,"mmmm")</f>
        <v>September</v>
      </c>
      <c r="W409" s="8">
        <f t="shared" si="24"/>
        <v>3883275</v>
      </c>
      <c r="X409">
        <f t="shared" si="25"/>
        <v>793</v>
      </c>
      <c r="Y409">
        <f t="shared" si="26"/>
        <v>28365.397225725093</v>
      </c>
      <c r="Z409">
        <f t="shared" si="27"/>
        <v>55</v>
      </c>
    </row>
    <row r="410" spans="1:26" x14ac:dyDescent="0.25">
      <c r="A410" s="5" t="s">
        <v>513</v>
      </c>
      <c r="B410" s="6">
        <v>48488</v>
      </c>
      <c r="C410" s="7" t="s">
        <v>88</v>
      </c>
      <c r="D410" s="7" t="s">
        <v>37</v>
      </c>
      <c r="E410" s="7">
        <v>45</v>
      </c>
      <c r="F410" s="7" t="s">
        <v>24</v>
      </c>
      <c r="G410" s="7" t="s">
        <v>89</v>
      </c>
      <c r="H410" s="7" t="s">
        <v>90</v>
      </c>
      <c r="I410" s="7" t="s">
        <v>91</v>
      </c>
      <c r="J410" s="7" t="s">
        <v>42</v>
      </c>
      <c r="K410" s="7" t="s">
        <v>43</v>
      </c>
      <c r="L410" s="7" t="s">
        <v>92</v>
      </c>
      <c r="M410" s="7" t="s">
        <v>93</v>
      </c>
      <c r="N410" s="7">
        <v>18200</v>
      </c>
      <c r="O410" s="7">
        <v>1</v>
      </c>
      <c r="P410" s="16">
        <v>0.1</v>
      </c>
      <c r="Q410" s="7">
        <v>3180</v>
      </c>
      <c r="R410" s="7" t="s">
        <v>46</v>
      </c>
      <c r="S410" s="7" t="s">
        <v>47</v>
      </c>
      <c r="T410" s="7" t="s">
        <v>34</v>
      </c>
      <c r="U410" s="7">
        <v>4</v>
      </c>
      <c r="V410" s="7" t="str">
        <f>TEXT('E-Commerce Sales Data'!$B410,"mmmm")</f>
        <v>October</v>
      </c>
      <c r="W410" s="8">
        <f t="shared" si="24"/>
        <v>3881745</v>
      </c>
      <c r="X410">
        <f t="shared" si="25"/>
        <v>792</v>
      </c>
      <c r="Y410">
        <f t="shared" si="26"/>
        <v>28393.383838383837</v>
      </c>
      <c r="Z410">
        <f t="shared" si="27"/>
        <v>55</v>
      </c>
    </row>
    <row r="411" spans="1:26" x14ac:dyDescent="0.25">
      <c r="A411" s="9" t="s">
        <v>514</v>
      </c>
      <c r="B411" s="10">
        <v>48495</v>
      </c>
      <c r="C411" s="11" t="s">
        <v>95</v>
      </c>
      <c r="D411" s="11" t="s">
        <v>65</v>
      </c>
      <c r="E411" s="11">
        <v>25</v>
      </c>
      <c r="F411" s="11" t="s">
        <v>38</v>
      </c>
      <c r="G411" s="11" t="s">
        <v>25</v>
      </c>
      <c r="H411" s="11" t="s">
        <v>26</v>
      </c>
      <c r="I411" s="11" t="s">
        <v>27</v>
      </c>
      <c r="J411" s="11" t="s">
        <v>28</v>
      </c>
      <c r="K411" s="11" t="s">
        <v>29</v>
      </c>
      <c r="L411" s="11" t="s">
        <v>96</v>
      </c>
      <c r="M411" s="11" t="s">
        <v>97</v>
      </c>
      <c r="N411" s="11">
        <v>20400</v>
      </c>
      <c r="O411" s="11">
        <v>2</v>
      </c>
      <c r="P411" s="17">
        <v>0.05</v>
      </c>
      <c r="Q411" s="11">
        <v>3940</v>
      </c>
      <c r="R411" s="11" t="s">
        <v>32</v>
      </c>
      <c r="S411" s="11" t="s">
        <v>33</v>
      </c>
      <c r="T411" s="11" t="s">
        <v>34</v>
      </c>
      <c r="U411" s="11">
        <v>4</v>
      </c>
      <c r="V411" s="11" t="str">
        <f>TEXT('E-Commerce Sales Data'!$B411,"mmmm")</f>
        <v>October</v>
      </c>
      <c r="W411" s="8">
        <f t="shared" si="24"/>
        <v>3878565</v>
      </c>
      <c r="X411">
        <f t="shared" si="25"/>
        <v>791</v>
      </c>
      <c r="Y411">
        <f t="shared" si="26"/>
        <v>28406.270543615676</v>
      </c>
      <c r="Z411">
        <f t="shared" si="27"/>
        <v>55</v>
      </c>
    </row>
    <row r="412" spans="1:26" x14ac:dyDescent="0.25">
      <c r="A412" s="5" t="s">
        <v>515</v>
      </c>
      <c r="B412" s="6">
        <v>48502</v>
      </c>
      <c r="C412" s="7" t="s">
        <v>99</v>
      </c>
      <c r="D412" s="7" t="s">
        <v>100</v>
      </c>
      <c r="E412" s="7">
        <v>33</v>
      </c>
      <c r="F412" s="7" t="s">
        <v>24</v>
      </c>
      <c r="G412" s="7" t="s">
        <v>101</v>
      </c>
      <c r="H412" s="7" t="s">
        <v>102</v>
      </c>
      <c r="I412" s="7" t="s">
        <v>41</v>
      </c>
      <c r="J412" s="7" t="s">
        <v>28</v>
      </c>
      <c r="K412" s="7" t="s">
        <v>60</v>
      </c>
      <c r="L412" s="7" t="s">
        <v>53</v>
      </c>
      <c r="M412" s="7" t="s">
        <v>103</v>
      </c>
      <c r="N412" s="7">
        <v>1110</v>
      </c>
      <c r="O412" s="7">
        <v>25</v>
      </c>
      <c r="P412" s="16">
        <v>0</v>
      </c>
      <c r="Q412" s="7">
        <v>340</v>
      </c>
      <c r="R412" s="7" t="s">
        <v>55</v>
      </c>
      <c r="S412" s="7" t="s">
        <v>33</v>
      </c>
      <c r="T412" s="7" t="s">
        <v>34</v>
      </c>
      <c r="U412" s="7">
        <v>5</v>
      </c>
      <c r="V412" s="7" t="str">
        <f>TEXT('E-Commerce Sales Data'!$B412,"mmmm")</f>
        <v>October</v>
      </c>
      <c r="W412" s="8">
        <f t="shared" si="24"/>
        <v>3874625</v>
      </c>
      <c r="X412">
        <f t="shared" si="25"/>
        <v>790</v>
      </c>
      <c r="Y412">
        <f t="shared" si="26"/>
        <v>28416.405063291139</v>
      </c>
      <c r="Z412">
        <f t="shared" si="27"/>
        <v>55</v>
      </c>
    </row>
    <row r="413" spans="1:26" x14ac:dyDescent="0.25">
      <c r="A413" s="9" t="s">
        <v>516</v>
      </c>
      <c r="B413" s="10">
        <v>48509</v>
      </c>
      <c r="C413" s="11" t="s">
        <v>105</v>
      </c>
      <c r="D413" s="11" t="s">
        <v>58</v>
      </c>
      <c r="E413" s="11">
        <v>42</v>
      </c>
      <c r="F413" s="11" t="s">
        <v>38</v>
      </c>
      <c r="G413" s="11" t="s">
        <v>51</v>
      </c>
      <c r="H413" s="11" t="s">
        <v>51</v>
      </c>
      <c r="I413" s="11" t="s">
        <v>52</v>
      </c>
      <c r="J413" s="11" t="s">
        <v>42</v>
      </c>
      <c r="K413" s="11" t="s">
        <v>43</v>
      </c>
      <c r="L413" s="11" t="s">
        <v>68</v>
      </c>
      <c r="M413" s="11" t="s">
        <v>106</v>
      </c>
      <c r="N413" s="11">
        <v>30200</v>
      </c>
      <c r="O413" s="11">
        <v>1</v>
      </c>
      <c r="P413" s="17">
        <v>0.08</v>
      </c>
      <c r="Q413" s="11">
        <v>6050</v>
      </c>
      <c r="R413" s="11" t="s">
        <v>46</v>
      </c>
      <c r="S413" s="11" t="s">
        <v>47</v>
      </c>
      <c r="T413" s="11" t="s">
        <v>34</v>
      </c>
      <c r="U413" s="11">
        <v>4</v>
      </c>
      <c r="V413" s="11" t="str">
        <f>TEXT('E-Commerce Sales Data'!$B413,"mmmm")</f>
        <v>October</v>
      </c>
      <c r="W413" s="8">
        <f t="shared" si="24"/>
        <v>3874285</v>
      </c>
      <c r="X413">
        <f t="shared" si="25"/>
        <v>789</v>
      </c>
      <c r="Y413">
        <f t="shared" si="26"/>
        <v>28451.013941698351</v>
      </c>
      <c r="Z413">
        <f t="shared" si="27"/>
        <v>55</v>
      </c>
    </row>
    <row r="414" spans="1:26" x14ac:dyDescent="0.25">
      <c r="A414" s="5" t="s">
        <v>517</v>
      </c>
      <c r="B414" s="6">
        <v>48516</v>
      </c>
      <c r="C414" s="7" t="s">
        <v>108</v>
      </c>
      <c r="D414" s="7" t="s">
        <v>23</v>
      </c>
      <c r="E414" s="7">
        <v>30</v>
      </c>
      <c r="F414" s="7" t="s">
        <v>24</v>
      </c>
      <c r="G414" s="7" t="s">
        <v>59</v>
      </c>
      <c r="H414" s="7" t="s">
        <v>26</v>
      </c>
      <c r="I414" s="7" t="s">
        <v>27</v>
      </c>
      <c r="J414" s="7" t="s">
        <v>28</v>
      </c>
      <c r="K414" s="7" t="s">
        <v>29</v>
      </c>
      <c r="L414" s="7" t="s">
        <v>30</v>
      </c>
      <c r="M414" s="7" t="s">
        <v>31</v>
      </c>
      <c r="N414" s="7">
        <v>84500</v>
      </c>
      <c r="O414" s="7">
        <v>1</v>
      </c>
      <c r="P414" s="16">
        <v>0.1</v>
      </c>
      <c r="Q414" s="7">
        <v>9600</v>
      </c>
      <c r="R414" s="7" t="s">
        <v>32</v>
      </c>
      <c r="S414" s="7" t="s">
        <v>47</v>
      </c>
      <c r="T414" s="7" t="s">
        <v>34</v>
      </c>
      <c r="U414" s="7">
        <v>5</v>
      </c>
      <c r="V414" s="7" t="str">
        <f>TEXT('E-Commerce Sales Data'!$B414,"mmmm")</f>
        <v>October</v>
      </c>
      <c r="W414" s="8">
        <f t="shared" si="24"/>
        <v>3868235</v>
      </c>
      <c r="X414">
        <f t="shared" si="25"/>
        <v>788</v>
      </c>
      <c r="Y414">
        <f t="shared" si="26"/>
        <v>28448.794416243654</v>
      </c>
      <c r="Z414">
        <f t="shared" si="27"/>
        <v>55</v>
      </c>
    </row>
    <row r="415" spans="1:26" x14ac:dyDescent="0.25">
      <c r="A415" s="9" t="s">
        <v>518</v>
      </c>
      <c r="B415" s="10">
        <v>48523</v>
      </c>
      <c r="C415" s="11" t="s">
        <v>110</v>
      </c>
      <c r="D415" s="11" t="s">
        <v>37</v>
      </c>
      <c r="E415" s="11">
        <v>36</v>
      </c>
      <c r="F415" s="11" t="s">
        <v>38</v>
      </c>
      <c r="G415" s="11" t="s">
        <v>66</v>
      </c>
      <c r="H415" s="11" t="s">
        <v>67</v>
      </c>
      <c r="I415" s="11" t="s">
        <v>27</v>
      </c>
      <c r="J415" s="11" t="s">
        <v>28</v>
      </c>
      <c r="K415" s="11" t="s">
        <v>60</v>
      </c>
      <c r="L415" s="11" t="s">
        <v>92</v>
      </c>
      <c r="M415" s="11" t="s">
        <v>111</v>
      </c>
      <c r="N415" s="11">
        <v>1440</v>
      </c>
      <c r="O415" s="11">
        <v>15</v>
      </c>
      <c r="P415" s="17">
        <v>0.05</v>
      </c>
      <c r="Q415" s="11">
        <v>440</v>
      </c>
      <c r="R415" s="11" t="s">
        <v>80</v>
      </c>
      <c r="S415" s="11" t="s">
        <v>33</v>
      </c>
      <c r="T415" s="11" t="s">
        <v>34</v>
      </c>
      <c r="U415" s="11">
        <v>4</v>
      </c>
      <c r="V415" s="11" t="str">
        <f>TEXT('E-Commerce Sales Data'!$B415,"mmmm")</f>
        <v>November</v>
      </c>
      <c r="W415" s="8">
        <f t="shared" si="24"/>
        <v>3858635</v>
      </c>
      <c r="X415">
        <f t="shared" si="25"/>
        <v>787</v>
      </c>
      <c r="Y415">
        <f t="shared" si="26"/>
        <v>28377.573062261752</v>
      </c>
      <c r="Z415">
        <f t="shared" si="27"/>
        <v>55</v>
      </c>
    </row>
    <row r="416" spans="1:26" x14ac:dyDescent="0.25">
      <c r="A416" s="5" t="s">
        <v>519</v>
      </c>
      <c r="B416" s="6">
        <v>48530</v>
      </c>
      <c r="C416" s="7" t="s">
        <v>113</v>
      </c>
      <c r="D416" s="7" t="s">
        <v>114</v>
      </c>
      <c r="E416" s="7">
        <v>40</v>
      </c>
      <c r="F416" s="7" t="s">
        <v>24</v>
      </c>
      <c r="G416" s="7" t="s">
        <v>73</v>
      </c>
      <c r="H416" s="7" t="s">
        <v>74</v>
      </c>
      <c r="I416" s="7" t="s">
        <v>41</v>
      </c>
      <c r="J416" s="7" t="s">
        <v>42</v>
      </c>
      <c r="K416" s="7" t="s">
        <v>43</v>
      </c>
      <c r="L416" s="7" t="s">
        <v>44</v>
      </c>
      <c r="M416" s="7" t="s">
        <v>45</v>
      </c>
      <c r="N416" s="7">
        <v>13600</v>
      </c>
      <c r="O416" s="7">
        <v>4</v>
      </c>
      <c r="P416" s="16">
        <v>7.0000000000000007E-2</v>
      </c>
      <c r="Q416" s="7">
        <v>3000</v>
      </c>
      <c r="R416" s="7" t="s">
        <v>46</v>
      </c>
      <c r="S416" s="7" t="s">
        <v>33</v>
      </c>
      <c r="T416" s="7" t="s">
        <v>34</v>
      </c>
      <c r="U416" s="7">
        <v>4</v>
      </c>
      <c r="V416" s="7" t="str">
        <f>TEXT('E-Commerce Sales Data'!$B416,"mmmm")</f>
        <v>November</v>
      </c>
      <c r="W416" s="8">
        <f t="shared" si="24"/>
        <v>3858195</v>
      </c>
      <c r="X416">
        <f t="shared" si="25"/>
        <v>786</v>
      </c>
      <c r="Y416">
        <f t="shared" si="26"/>
        <v>28411.844783715012</v>
      </c>
      <c r="Z416">
        <f t="shared" si="27"/>
        <v>55</v>
      </c>
    </row>
    <row r="417" spans="1:26" x14ac:dyDescent="0.25">
      <c r="A417" s="9" t="s">
        <v>520</v>
      </c>
      <c r="B417" s="10">
        <v>48537</v>
      </c>
      <c r="C417" s="11" t="s">
        <v>116</v>
      </c>
      <c r="D417" s="11" t="s">
        <v>83</v>
      </c>
      <c r="E417" s="11">
        <v>27</v>
      </c>
      <c r="F417" s="11" t="s">
        <v>38</v>
      </c>
      <c r="G417" s="11" t="s">
        <v>39</v>
      </c>
      <c r="H417" s="11" t="s">
        <v>40</v>
      </c>
      <c r="I417" s="11" t="s">
        <v>41</v>
      </c>
      <c r="J417" s="11" t="s">
        <v>28</v>
      </c>
      <c r="K417" s="11" t="s">
        <v>29</v>
      </c>
      <c r="L417" s="11" t="s">
        <v>53</v>
      </c>
      <c r="M417" s="11" t="s">
        <v>54</v>
      </c>
      <c r="N417" s="11">
        <v>29200</v>
      </c>
      <c r="O417" s="11">
        <v>2</v>
      </c>
      <c r="P417" s="17">
        <v>0.05</v>
      </c>
      <c r="Q417" s="11">
        <v>5450</v>
      </c>
      <c r="R417" s="11" t="s">
        <v>32</v>
      </c>
      <c r="S417" s="11" t="s">
        <v>47</v>
      </c>
      <c r="T417" s="11" t="s">
        <v>34</v>
      </c>
      <c r="U417" s="11">
        <v>5</v>
      </c>
      <c r="V417" s="11" t="str">
        <f>TEXT('E-Commerce Sales Data'!$B417,"mmmm")</f>
        <v>November</v>
      </c>
      <c r="W417" s="8">
        <f t="shared" si="24"/>
        <v>3855195</v>
      </c>
      <c r="X417">
        <f t="shared" si="25"/>
        <v>785</v>
      </c>
      <c r="Y417">
        <f t="shared" si="26"/>
        <v>28430.713375796178</v>
      </c>
      <c r="Z417">
        <f t="shared" si="27"/>
        <v>55</v>
      </c>
    </row>
    <row r="418" spans="1:26" x14ac:dyDescent="0.25">
      <c r="A418" s="5" t="s">
        <v>521</v>
      </c>
      <c r="B418" s="6">
        <v>48544</v>
      </c>
      <c r="C418" s="7" t="s">
        <v>118</v>
      </c>
      <c r="D418" s="7" t="s">
        <v>72</v>
      </c>
      <c r="E418" s="7">
        <v>35</v>
      </c>
      <c r="F418" s="7" t="s">
        <v>24</v>
      </c>
      <c r="G418" s="7" t="s">
        <v>84</v>
      </c>
      <c r="H418" s="7" t="s">
        <v>85</v>
      </c>
      <c r="I418" s="7" t="s">
        <v>52</v>
      </c>
      <c r="J418" s="7" t="s">
        <v>42</v>
      </c>
      <c r="K418" s="7" t="s">
        <v>60</v>
      </c>
      <c r="L418" s="7" t="s">
        <v>61</v>
      </c>
      <c r="M418" s="7" t="s">
        <v>62</v>
      </c>
      <c r="N418" s="7">
        <v>6300</v>
      </c>
      <c r="O418" s="7">
        <v>10</v>
      </c>
      <c r="P418" s="16">
        <v>0.03</v>
      </c>
      <c r="Q418" s="7">
        <v>1560</v>
      </c>
      <c r="R418" s="7" t="s">
        <v>55</v>
      </c>
      <c r="S418" s="7" t="s">
        <v>33</v>
      </c>
      <c r="T418" s="7" t="s">
        <v>34</v>
      </c>
      <c r="U418" s="7">
        <v>4</v>
      </c>
      <c r="V418" s="7" t="str">
        <f>TEXT('E-Commerce Sales Data'!$B418,"mmmm")</f>
        <v>November</v>
      </c>
      <c r="W418" s="8">
        <f t="shared" si="24"/>
        <v>3849745</v>
      </c>
      <c r="X418">
        <f t="shared" si="25"/>
        <v>784</v>
      </c>
      <c r="Y418">
        <f t="shared" si="26"/>
        <v>28429.732142857141</v>
      </c>
      <c r="Z418">
        <f t="shared" si="27"/>
        <v>55</v>
      </c>
    </row>
    <row r="419" spans="1:26" x14ac:dyDescent="0.25">
      <c r="A419" s="9" t="s">
        <v>522</v>
      </c>
      <c r="B419" s="10">
        <v>48551</v>
      </c>
      <c r="C419" s="11" t="s">
        <v>120</v>
      </c>
      <c r="D419" s="11" t="s">
        <v>23</v>
      </c>
      <c r="E419" s="11">
        <v>24</v>
      </c>
      <c r="F419" s="11" t="s">
        <v>38</v>
      </c>
      <c r="G419" s="11" t="s">
        <v>25</v>
      </c>
      <c r="H419" s="11" t="s">
        <v>26</v>
      </c>
      <c r="I419" s="11" t="s">
        <v>27</v>
      </c>
      <c r="J419" s="11" t="s">
        <v>28</v>
      </c>
      <c r="K419" s="11" t="s">
        <v>43</v>
      </c>
      <c r="L419" s="11" t="s">
        <v>68</v>
      </c>
      <c r="M419" s="11" t="s">
        <v>69</v>
      </c>
      <c r="N419" s="11">
        <v>26500</v>
      </c>
      <c r="O419" s="11">
        <v>2</v>
      </c>
      <c r="P419" s="17">
        <v>0.1</v>
      </c>
      <c r="Q419" s="11">
        <v>4200</v>
      </c>
      <c r="R419" s="11" t="s">
        <v>32</v>
      </c>
      <c r="S419" s="11" t="s">
        <v>47</v>
      </c>
      <c r="T419" s="11" t="s">
        <v>34</v>
      </c>
      <c r="U419" s="11">
        <v>5</v>
      </c>
      <c r="V419" s="11" t="str">
        <f>TEXT('E-Commerce Sales Data'!$B419,"mmmm")</f>
        <v>December</v>
      </c>
      <c r="W419" s="8">
        <f t="shared" si="24"/>
        <v>3848185</v>
      </c>
      <c r="X419">
        <f t="shared" si="25"/>
        <v>783</v>
      </c>
      <c r="Y419">
        <f t="shared" si="26"/>
        <v>28457.994891443166</v>
      </c>
      <c r="Z419">
        <f t="shared" si="27"/>
        <v>55</v>
      </c>
    </row>
    <row r="420" spans="1:26" x14ac:dyDescent="0.25">
      <c r="A420" s="5" t="s">
        <v>523</v>
      </c>
      <c r="B420" s="6">
        <v>48558</v>
      </c>
      <c r="C420" s="7" t="s">
        <v>122</v>
      </c>
      <c r="D420" s="7" t="s">
        <v>50</v>
      </c>
      <c r="E420" s="7">
        <v>43</v>
      </c>
      <c r="F420" s="7" t="s">
        <v>24</v>
      </c>
      <c r="G420" s="7" t="s">
        <v>101</v>
      </c>
      <c r="H420" s="7" t="s">
        <v>102</v>
      </c>
      <c r="I420" s="7" t="s">
        <v>41</v>
      </c>
      <c r="J420" s="7" t="s">
        <v>42</v>
      </c>
      <c r="K420" s="7" t="s">
        <v>29</v>
      </c>
      <c r="L420" s="7" t="s">
        <v>53</v>
      </c>
      <c r="M420" s="7" t="s">
        <v>75</v>
      </c>
      <c r="N420" s="7">
        <v>4450</v>
      </c>
      <c r="O420" s="7">
        <v>4</v>
      </c>
      <c r="P420" s="16">
        <v>0.05</v>
      </c>
      <c r="Q420" s="7">
        <v>1110</v>
      </c>
      <c r="R420" s="7" t="s">
        <v>46</v>
      </c>
      <c r="S420" s="7" t="s">
        <v>33</v>
      </c>
      <c r="T420" s="7" t="s">
        <v>34</v>
      </c>
      <c r="U420" s="7">
        <v>3</v>
      </c>
      <c r="V420" s="7" t="str">
        <f>TEXT('E-Commerce Sales Data'!$B420,"mmmm")</f>
        <v>December</v>
      </c>
      <c r="W420" s="8">
        <f t="shared" si="24"/>
        <v>3843985</v>
      </c>
      <c r="X420">
        <f t="shared" si="25"/>
        <v>782</v>
      </c>
      <c r="Y420">
        <f t="shared" si="26"/>
        <v>28460.498721227621</v>
      </c>
      <c r="Z420">
        <f t="shared" si="27"/>
        <v>55</v>
      </c>
    </row>
    <row r="421" spans="1:26" x14ac:dyDescent="0.25">
      <c r="A421" s="9" t="s">
        <v>524</v>
      </c>
      <c r="B421" s="10">
        <v>48565</v>
      </c>
      <c r="C421" s="11" t="s">
        <v>124</v>
      </c>
      <c r="D421" s="11" t="s">
        <v>100</v>
      </c>
      <c r="E421" s="11">
        <v>32</v>
      </c>
      <c r="F421" s="11" t="s">
        <v>38</v>
      </c>
      <c r="G421" s="11" t="s">
        <v>78</v>
      </c>
      <c r="H421" s="11" t="s">
        <v>26</v>
      </c>
      <c r="I421" s="11" t="s">
        <v>27</v>
      </c>
      <c r="J421" s="11" t="s">
        <v>28</v>
      </c>
      <c r="K421" s="11" t="s">
        <v>29</v>
      </c>
      <c r="L421" s="11" t="s">
        <v>53</v>
      </c>
      <c r="M421" s="11" t="s">
        <v>79</v>
      </c>
      <c r="N421" s="11">
        <v>3050</v>
      </c>
      <c r="O421" s="11">
        <v>7</v>
      </c>
      <c r="P421" s="17">
        <v>0</v>
      </c>
      <c r="Q421" s="11">
        <v>910</v>
      </c>
      <c r="R421" s="11" t="s">
        <v>32</v>
      </c>
      <c r="S421" s="11" t="s">
        <v>33</v>
      </c>
      <c r="T421" s="11" t="s">
        <v>34</v>
      </c>
      <c r="U421" s="11">
        <v>4</v>
      </c>
      <c r="V421" s="11" t="str">
        <f>TEXT('E-Commerce Sales Data'!$B421,"mmmm")</f>
        <v>December</v>
      </c>
      <c r="W421" s="8">
        <f t="shared" si="24"/>
        <v>3842875</v>
      </c>
      <c r="X421">
        <f t="shared" si="25"/>
        <v>781</v>
      </c>
      <c r="Y421">
        <f t="shared" si="26"/>
        <v>28491.241997439181</v>
      </c>
      <c r="Z421">
        <f t="shared" si="27"/>
        <v>55</v>
      </c>
    </row>
    <row r="422" spans="1:26" x14ac:dyDescent="0.25">
      <c r="A422" s="5" t="s">
        <v>525</v>
      </c>
      <c r="B422" s="6">
        <v>48572</v>
      </c>
      <c r="C422" s="7" t="s">
        <v>22</v>
      </c>
      <c r="D422" s="7" t="s">
        <v>23</v>
      </c>
      <c r="E422" s="7">
        <v>28</v>
      </c>
      <c r="F422" s="7" t="s">
        <v>24</v>
      </c>
      <c r="G422" s="7" t="s">
        <v>25</v>
      </c>
      <c r="H422" s="7" t="s">
        <v>26</v>
      </c>
      <c r="I422" s="7" t="s">
        <v>27</v>
      </c>
      <c r="J422" s="7" t="s">
        <v>28</v>
      </c>
      <c r="K422" s="7" t="s">
        <v>29</v>
      </c>
      <c r="L422" s="7" t="s">
        <v>30</v>
      </c>
      <c r="M422" s="7" t="s">
        <v>31</v>
      </c>
      <c r="N422" s="7">
        <v>80500</v>
      </c>
      <c r="O422" s="7">
        <v>1</v>
      </c>
      <c r="P422" s="16">
        <v>0.05</v>
      </c>
      <c r="Q422" s="7">
        <v>10700</v>
      </c>
      <c r="R422" s="7" t="s">
        <v>32</v>
      </c>
      <c r="S422" s="7" t="s">
        <v>47</v>
      </c>
      <c r="T422" s="7" t="s">
        <v>34</v>
      </c>
      <c r="U422" s="7">
        <v>5</v>
      </c>
      <c r="V422" s="7" t="str">
        <f>TEXT('E-Commerce Sales Data'!$B422,"mmmm")</f>
        <v>December</v>
      </c>
      <c r="W422" s="8">
        <f t="shared" si="24"/>
        <v>3841965</v>
      </c>
      <c r="X422">
        <f t="shared" si="25"/>
        <v>780</v>
      </c>
      <c r="Y422">
        <f t="shared" si="26"/>
        <v>28523.858974358973</v>
      </c>
      <c r="Z422">
        <f t="shared" si="27"/>
        <v>55</v>
      </c>
    </row>
    <row r="423" spans="1:26" x14ac:dyDescent="0.25">
      <c r="A423" s="9" t="s">
        <v>526</v>
      </c>
      <c r="B423" s="10">
        <v>48579</v>
      </c>
      <c r="C423" s="11" t="s">
        <v>36</v>
      </c>
      <c r="D423" s="11" t="s">
        <v>37</v>
      </c>
      <c r="E423" s="11">
        <v>34</v>
      </c>
      <c r="F423" s="11" t="s">
        <v>38</v>
      </c>
      <c r="G423" s="11" t="s">
        <v>39</v>
      </c>
      <c r="H423" s="11" t="s">
        <v>40</v>
      </c>
      <c r="I423" s="11" t="s">
        <v>41</v>
      </c>
      <c r="J423" s="11" t="s">
        <v>42</v>
      </c>
      <c r="K423" s="11" t="s">
        <v>43</v>
      </c>
      <c r="L423" s="11" t="s">
        <v>44</v>
      </c>
      <c r="M423" s="11" t="s">
        <v>45</v>
      </c>
      <c r="N423" s="11">
        <v>11600</v>
      </c>
      <c r="O423" s="11">
        <v>3</v>
      </c>
      <c r="P423" s="17">
        <v>0.1</v>
      </c>
      <c r="Q423" s="11">
        <v>2650</v>
      </c>
      <c r="R423" s="11" t="s">
        <v>46</v>
      </c>
      <c r="S423" s="11" t="s">
        <v>33</v>
      </c>
      <c r="T423" s="11" t="s">
        <v>34</v>
      </c>
      <c r="U423" s="11">
        <v>4</v>
      </c>
      <c r="V423" s="11" t="str">
        <f>TEXT('E-Commerce Sales Data'!$B423,"mmmm")</f>
        <v>December</v>
      </c>
      <c r="W423" s="8">
        <f t="shared" si="24"/>
        <v>3831265</v>
      </c>
      <c r="X423">
        <f t="shared" si="25"/>
        <v>779</v>
      </c>
      <c r="Y423">
        <f t="shared" si="26"/>
        <v>28457.137355584084</v>
      </c>
      <c r="Z423">
        <f t="shared" si="27"/>
        <v>55</v>
      </c>
    </row>
    <row r="424" spans="1:26" x14ac:dyDescent="0.25">
      <c r="A424" s="5" t="s">
        <v>527</v>
      </c>
      <c r="B424" s="6">
        <v>48586</v>
      </c>
      <c r="C424" s="7" t="s">
        <v>49</v>
      </c>
      <c r="D424" s="7" t="s">
        <v>50</v>
      </c>
      <c r="E424" s="7">
        <v>41</v>
      </c>
      <c r="F424" s="7" t="s">
        <v>24</v>
      </c>
      <c r="G424" s="7" t="s">
        <v>51</v>
      </c>
      <c r="H424" s="7" t="s">
        <v>51</v>
      </c>
      <c r="I424" s="7" t="s">
        <v>52</v>
      </c>
      <c r="J424" s="7" t="s">
        <v>28</v>
      </c>
      <c r="K424" s="7" t="s">
        <v>29</v>
      </c>
      <c r="L424" s="7" t="s">
        <v>53</v>
      </c>
      <c r="M424" s="7" t="s">
        <v>54</v>
      </c>
      <c r="N424" s="7">
        <v>27100</v>
      </c>
      <c r="O424" s="7">
        <v>2</v>
      </c>
      <c r="P424" s="16">
        <v>0.05</v>
      </c>
      <c r="Q424" s="7">
        <v>5000</v>
      </c>
      <c r="R424" s="7" t="s">
        <v>55</v>
      </c>
      <c r="S424" s="7" t="s">
        <v>33</v>
      </c>
      <c r="T424" s="7" t="s">
        <v>34</v>
      </c>
      <c r="U424" s="7">
        <v>4</v>
      </c>
      <c r="V424" s="7" t="str">
        <f>TEXT('E-Commerce Sales Data'!$B424,"mmmm")</f>
        <v>January</v>
      </c>
      <c r="W424" s="8">
        <f t="shared" si="24"/>
        <v>3828615</v>
      </c>
      <c r="X424">
        <f t="shared" si="25"/>
        <v>778</v>
      </c>
      <c r="Y424">
        <f t="shared" si="26"/>
        <v>28478.804627249356</v>
      </c>
      <c r="Z424">
        <f t="shared" si="27"/>
        <v>55</v>
      </c>
    </row>
    <row r="425" spans="1:26" x14ac:dyDescent="0.25">
      <c r="A425" s="9" t="s">
        <v>528</v>
      </c>
      <c r="B425" s="10">
        <v>48593</v>
      </c>
      <c r="C425" s="11" t="s">
        <v>57</v>
      </c>
      <c r="D425" s="11" t="s">
        <v>58</v>
      </c>
      <c r="E425" s="11">
        <v>26</v>
      </c>
      <c r="F425" s="11" t="s">
        <v>38</v>
      </c>
      <c r="G425" s="11" t="s">
        <v>59</v>
      </c>
      <c r="H425" s="11" t="s">
        <v>26</v>
      </c>
      <c r="I425" s="11" t="s">
        <v>27</v>
      </c>
      <c r="J425" s="11" t="s">
        <v>28</v>
      </c>
      <c r="K425" s="11" t="s">
        <v>60</v>
      </c>
      <c r="L425" s="11" t="s">
        <v>61</v>
      </c>
      <c r="M425" s="11" t="s">
        <v>86</v>
      </c>
      <c r="N425" s="11">
        <v>790</v>
      </c>
      <c r="O425" s="11">
        <v>20</v>
      </c>
      <c r="P425" s="17">
        <v>0.02</v>
      </c>
      <c r="Q425" s="11">
        <v>230</v>
      </c>
      <c r="R425" s="11" t="s">
        <v>32</v>
      </c>
      <c r="S425" s="11" t="s">
        <v>33</v>
      </c>
      <c r="T425" s="11" t="s">
        <v>34</v>
      </c>
      <c r="U425" s="11">
        <v>5</v>
      </c>
      <c r="V425" s="11" t="str">
        <f>TEXT('E-Commerce Sales Data'!$B425,"mmmm")</f>
        <v>January</v>
      </c>
      <c r="W425" s="8">
        <f t="shared" si="24"/>
        <v>3823615</v>
      </c>
      <c r="X425">
        <f t="shared" si="25"/>
        <v>777</v>
      </c>
      <c r="Y425">
        <f t="shared" si="26"/>
        <v>28480.579150579149</v>
      </c>
      <c r="Z425">
        <f t="shared" si="27"/>
        <v>55</v>
      </c>
    </row>
    <row r="426" spans="1:26" x14ac:dyDescent="0.25">
      <c r="A426" s="5" t="s">
        <v>529</v>
      </c>
      <c r="B426" s="6">
        <v>48600</v>
      </c>
      <c r="C426" s="7" t="s">
        <v>64</v>
      </c>
      <c r="D426" s="7" t="s">
        <v>65</v>
      </c>
      <c r="E426" s="7">
        <v>39</v>
      </c>
      <c r="F426" s="7" t="s">
        <v>24</v>
      </c>
      <c r="G426" s="7" t="s">
        <v>66</v>
      </c>
      <c r="H426" s="7" t="s">
        <v>67</v>
      </c>
      <c r="I426" s="7" t="s">
        <v>27</v>
      </c>
      <c r="J426" s="7" t="s">
        <v>42</v>
      </c>
      <c r="K426" s="7" t="s">
        <v>43</v>
      </c>
      <c r="L426" s="7" t="s">
        <v>68</v>
      </c>
      <c r="M426" s="7" t="s">
        <v>69</v>
      </c>
      <c r="N426" s="7">
        <v>27000</v>
      </c>
      <c r="O426" s="7">
        <v>2</v>
      </c>
      <c r="P426" s="16">
        <v>0.08</v>
      </c>
      <c r="Q426" s="7">
        <v>4620</v>
      </c>
      <c r="R426" s="7" t="s">
        <v>46</v>
      </c>
      <c r="S426" s="7" t="s">
        <v>47</v>
      </c>
      <c r="T426" s="7" t="s">
        <v>34</v>
      </c>
      <c r="U426" s="7">
        <v>4</v>
      </c>
      <c r="V426" s="7" t="str">
        <f>TEXT('E-Commerce Sales Data'!$B426,"mmmm")</f>
        <v>January</v>
      </c>
      <c r="W426" s="8">
        <f t="shared" si="24"/>
        <v>3823385</v>
      </c>
      <c r="X426">
        <f t="shared" si="25"/>
        <v>776</v>
      </c>
      <c r="Y426">
        <f t="shared" si="26"/>
        <v>28516.262886597939</v>
      </c>
      <c r="Z426">
        <f t="shared" si="27"/>
        <v>55</v>
      </c>
    </row>
    <row r="427" spans="1:26" x14ac:dyDescent="0.25">
      <c r="A427" s="9" t="s">
        <v>530</v>
      </c>
      <c r="B427" s="10">
        <v>48607</v>
      </c>
      <c r="C427" s="11" t="s">
        <v>71</v>
      </c>
      <c r="D427" s="11" t="s">
        <v>72</v>
      </c>
      <c r="E427" s="11">
        <v>31</v>
      </c>
      <c r="F427" s="11" t="s">
        <v>38</v>
      </c>
      <c r="G427" s="11" t="s">
        <v>73</v>
      </c>
      <c r="H427" s="11" t="s">
        <v>74</v>
      </c>
      <c r="I427" s="11" t="s">
        <v>41</v>
      </c>
      <c r="J427" s="11" t="s">
        <v>28</v>
      </c>
      <c r="K427" s="11" t="s">
        <v>29</v>
      </c>
      <c r="L427" s="11" t="s">
        <v>53</v>
      </c>
      <c r="M427" s="11" t="s">
        <v>75</v>
      </c>
      <c r="N427" s="11">
        <v>4150</v>
      </c>
      <c r="O427" s="11">
        <v>3</v>
      </c>
      <c r="P427" s="17">
        <v>0.05</v>
      </c>
      <c r="Q427" s="11">
        <v>1050</v>
      </c>
      <c r="R427" s="11" t="s">
        <v>32</v>
      </c>
      <c r="S427" s="11" t="s">
        <v>33</v>
      </c>
      <c r="T427" s="11" t="s">
        <v>34</v>
      </c>
      <c r="U427" s="11">
        <v>4</v>
      </c>
      <c r="V427" s="11" t="str">
        <f>TEXT('E-Commerce Sales Data'!$B427,"mmmm")</f>
        <v>January</v>
      </c>
      <c r="W427" s="8">
        <f t="shared" si="24"/>
        <v>3818765</v>
      </c>
      <c r="X427">
        <f t="shared" si="25"/>
        <v>775</v>
      </c>
      <c r="Y427">
        <f t="shared" si="26"/>
        <v>28518.219354838711</v>
      </c>
      <c r="Z427">
        <f t="shared" si="27"/>
        <v>55</v>
      </c>
    </row>
    <row r="428" spans="1:26" x14ac:dyDescent="0.25">
      <c r="A428" s="5" t="s">
        <v>531</v>
      </c>
      <c r="B428" s="6">
        <v>48614</v>
      </c>
      <c r="C428" s="7" t="s">
        <v>77</v>
      </c>
      <c r="D428" s="7" t="s">
        <v>23</v>
      </c>
      <c r="E428" s="7">
        <v>29</v>
      </c>
      <c r="F428" s="7" t="s">
        <v>24</v>
      </c>
      <c r="G428" s="7" t="s">
        <v>78</v>
      </c>
      <c r="H428" s="7" t="s">
        <v>26</v>
      </c>
      <c r="I428" s="7" t="s">
        <v>27</v>
      </c>
      <c r="J428" s="7" t="s">
        <v>28</v>
      </c>
      <c r="K428" s="7" t="s">
        <v>29</v>
      </c>
      <c r="L428" s="7" t="s">
        <v>53</v>
      </c>
      <c r="M428" s="7" t="s">
        <v>79</v>
      </c>
      <c r="N428" s="7">
        <v>3150</v>
      </c>
      <c r="O428" s="7">
        <v>6</v>
      </c>
      <c r="P428" s="16">
        <v>0</v>
      </c>
      <c r="Q428" s="7">
        <v>940</v>
      </c>
      <c r="R428" s="7" t="s">
        <v>80</v>
      </c>
      <c r="S428" s="7" t="s">
        <v>33</v>
      </c>
      <c r="T428" s="7" t="s">
        <v>34</v>
      </c>
      <c r="U428" s="7">
        <v>3</v>
      </c>
      <c r="V428" s="7" t="str">
        <f>TEXT('E-Commerce Sales Data'!$B428,"mmmm")</f>
        <v>February</v>
      </c>
      <c r="W428" s="8">
        <f t="shared" si="24"/>
        <v>3817715</v>
      </c>
      <c r="X428">
        <f t="shared" si="25"/>
        <v>774</v>
      </c>
      <c r="Y428">
        <f t="shared" si="26"/>
        <v>28549.702842377261</v>
      </c>
      <c r="Z428">
        <f t="shared" si="27"/>
        <v>55</v>
      </c>
    </row>
    <row r="429" spans="1:26" x14ac:dyDescent="0.25">
      <c r="A429" s="9" t="s">
        <v>532</v>
      </c>
      <c r="B429" s="10">
        <v>48621</v>
      </c>
      <c r="C429" s="11" t="s">
        <v>82</v>
      </c>
      <c r="D429" s="11" t="s">
        <v>83</v>
      </c>
      <c r="E429" s="11">
        <v>37</v>
      </c>
      <c r="F429" s="11" t="s">
        <v>38</v>
      </c>
      <c r="G429" s="11" t="s">
        <v>84</v>
      </c>
      <c r="H429" s="11" t="s">
        <v>85</v>
      </c>
      <c r="I429" s="11" t="s">
        <v>52</v>
      </c>
      <c r="J429" s="11" t="s">
        <v>42</v>
      </c>
      <c r="K429" s="11" t="s">
        <v>60</v>
      </c>
      <c r="L429" s="11" t="s">
        <v>61</v>
      </c>
      <c r="M429" s="11" t="s">
        <v>62</v>
      </c>
      <c r="N429" s="11">
        <v>6400</v>
      </c>
      <c r="O429" s="11">
        <v>10</v>
      </c>
      <c r="P429" s="17">
        <v>0.02</v>
      </c>
      <c r="Q429" s="11">
        <v>1580</v>
      </c>
      <c r="R429" s="11" t="s">
        <v>32</v>
      </c>
      <c r="S429" s="11" t="s">
        <v>33</v>
      </c>
      <c r="T429" s="11" t="s">
        <v>34</v>
      </c>
      <c r="U429" s="11">
        <v>5</v>
      </c>
      <c r="V429" s="11" t="str">
        <f>TEXT('E-Commerce Sales Data'!$B429,"mmmm")</f>
        <v>February</v>
      </c>
      <c r="W429" s="8">
        <f t="shared" si="24"/>
        <v>3816775</v>
      </c>
      <c r="X429">
        <f t="shared" si="25"/>
        <v>773</v>
      </c>
      <c r="Y429">
        <f t="shared" si="26"/>
        <v>28582.561448900389</v>
      </c>
      <c r="Z429">
        <f t="shared" si="27"/>
        <v>55</v>
      </c>
    </row>
    <row r="430" spans="1:26" x14ac:dyDescent="0.25">
      <c r="A430" s="5" t="s">
        <v>533</v>
      </c>
      <c r="B430" s="6">
        <v>48628</v>
      </c>
      <c r="C430" s="7" t="s">
        <v>88</v>
      </c>
      <c r="D430" s="7" t="s">
        <v>37</v>
      </c>
      <c r="E430" s="7">
        <v>45</v>
      </c>
      <c r="F430" s="7" t="s">
        <v>24</v>
      </c>
      <c r="G430" s="7" t="s">
        <v>89</v>
      </c>
      <c r="H430" s="7" t="s">
        <v>90</v>
      </c>
      <c r="I430" s="7" t="s">
        <v>91</v>
      </c>
      <c r="J430" s="7" t="s">
        <v>42</v>
      </c>
      <c r="K430" s="7" t="s">
        <v>43</v>
      </c>
      <c r="L430" s="7" t="s">
        <v>92</v>
      </c>
      <c r="M430" s="7" t="s">
        <v>93</v>
      </c>
      <c r="N430" s="7">
        <v>18600</v>
      </c>
      <c r="O430" s="7">
        <v>1</v>
      </c>
      <c r="P430" s="16">
        <v>0.1</v>
      </c>
      <c r="Q430" s="7">
        <v>3260</v>
      </c>
      <c r="R430" s="7" t="s">
        <v>46</v>
      </c>
      <c r="S430" s="7" t="s">
        <v>47</v>
      </c>
      <c r="T430" s="7" t="s">
        <v>34</v>
      </c>
      <c r="U430" s="7">
        <v>4</v>
      </c>
      <c r="V430" s="7" t="str">
        <f>TEXT('E-Commerce Sales Data'!$B430,"mmmm")</f>
        <v>February</v>
      </c>
      <c r="W430" s="8">
        <f t="shared" si="24"/>
        <v>3815195</v>
      </c>
      <c r="X430">
        <f t="shared" si="25"/>
        <v>772</v>
      </c>
      <c r="Y430">
        <f t="shared" si="26"/>
        <v>28611.295336787563</v>
      </c>
      <c r="Z430">
        <f t="shared" si="27"/>
        <v>55</v>
      </c>
    </row>
    <row r="431" spans="1:26" x14ac:dyDescent="0.25">
      <c r="A431" s="9" t="s">
        <v>534</v>
      </c>
      <c r="B431" s="10">
        <v>48635</v>
      </c>
      <c r="C431" s="11" t="s">
        <v>95</v>
      </c>
      <c r="D431" s="11" t="s">
        <v>65</v>
      </c>
      <c r="E431" s="11">
        <v>25</v>
      </c>
      <c r="F431" s="11" t="s">
        <v>38</v>
      </c>
      <c r="G431" s="11" t="s">
        <v>25</v>
      </c>
      <c r="H431" s="11" t="s">
        <v>26</v>
      </c>
      <c r="I431" s="11" t="s">
        <v>27</v>
      </c>
      <c r="J431" s="11" t="s">
        <v>28</v>
      </c>
      <c r="K431" s="11" t="s">
        <v>29</v>
      </c>
      <c r="L431" s="11" t="s">
        <v>96</v>
      </c>
      <c r="M431" s="11" t="s">
        <v>97</v>
      </c>
      <c r="N431" s="11">
        <v>20800</v>
      </c>
      <c r="O431" s="11">
        <v>2</v>
      </c>
      <c r="P431" s="17">
        <v>0.05</v>
      </c>
      <c r="Q431" s="11">
        <v>4020</v>
      </c>
      <c r="R431" s="11" t="s">
        <v>32</v>
      </c>
      <c r="S431" s="11" t="s">
        <v>33</v>
      </c>
      <c r="T431" s="11" t="s">
        <v>34</v>
      </c>
      <c r="U431" s="11">
        <v>4</v>
      </c>
      <c r="V431" s="11" t="str">
        <f>TEXT('E-Commerce Sales Data'!$B431,"mmmm")</f>
        <v>February</v>
      </c>
      <c r="W431" s="8">
        <f t="shared" si="24"/>
        <v>3811935</v>
      </c>
      <c r="X431">
        <f t="shared" si="25"/>
        <v>771</v>
      </c>
      <c r="Y431">
        <f t="shared" si="26"/>
        <v>28624.280155642024</v>
      </c>
      <c r="Z431">
        <f t="shared" si="27"/>
        <v>55</v>
      </c>
    </row>
    <row r="432" spans="1:26" x14ac:dyDescent="0.25">
      <c r="A432" s="5" t="s">
        <v>535</v>
      </c>
      <c r="B432" s="6">
        <v>48642</v>
      </c>
      <c r="C432" s="7" t="s">
        <v>99</v>
      </c>
      <c r="D432" s="7" t="s">
        <v>100</v>
      </c>
      <c r="E432" s="7">
        <v>33</v>
      </c>
      <c r="F432" s="7" t="s">
        <v>24</v>
      </c>
      <c r="G432" s="7" t="s">
        <v>101</v>
      </c>
      <c r="H432" s="7" t="s">
        <v>102</v>
      </c>
      <c r="I432" s="7" t="s">
        <v>41</v>
      </c>
      <c r="J432" s="7" t="s">
        <v>28</v>
      </c>
      <c r="K432" s="7" t="s">
        <v>60</v>
      </c>
      <c r="L432" s="7" t="s">
        <v>53</v>
      </c>
      <c r="M432" s="7" t="s">
        <v>103</v>
      </c>
      <c r="N432" s="7">
        <v>1140</v>
      </c>
      <c r="O432" s="7">
        <v>25</v>
      </c>
      <c r="P432" s="16">
        <v>0</v>
      </c>
      <c r="Q432" s="7">
        <v>350</v>
      </c>
      <c r="R432" s="7" t="s">
        <v>55</v>
      </c>
      <c r="S432" s="7" t="s">
        <v>33</v>
      </c>
      <c r="T432" s="7" t="s">
        <v>34</v>
      </c>
      <c r="U432" s="7">
        <v>5</v>
      </c>
      <c r="V432" s="7" t="str">
        <f>TEXT('E-Commerce Sales Data'!$B432,"mmmm")</f>
        <v>March</v>
      </c>
      <c r="W432" s="8">
        <f t="shared" si="24"/>
        <v>3807915</v>
      </c>
      <c r="X432">
        <f t="shared" si="25"/>
        <v>770</v>
      </c>
      <c r="Y432">
        <f t="shared" si="26"/>
        <v>28634.441558441558</v>
      </c>
      <c r="Z432">
        <f t="shared" si="27"/>
        <v>55</v>
      </c>
    </row>
    <row r="433" spans="1:26" x14ac:dyDescent="0.25">
      <c r="A433" s="9" t="s">
        <v>536</v>
      </c>
      <c r="B433" s="10">
        <v>48649</v>
      </c>
      <c r="C433" s="11" t="s">
        <v>105</v>
      </c>
      <c r="D433" s="11" t="s">
        <v>58</v>
      </c>
      <c r="E433" s="11">
        <v>42</v>
      </c>
      <c r="F433" s="11" t="s">
        <v>38</v>
      </c>
      <c r="G433" s="11" t="s">
        <v>51</v>
      </c>
      <c r="H433" s="11" t="s">
        <v>51</v>
      </c>
      <c r="I433" s="11" t="s">
        <v>52</v>
      </c>
      <c r="J433" s="11" t="s">
        <v>42</v>
      </c>
      <c r="K433" s="11" t="s">
        <v>43</v>
      </c>
      <c r="L433" s="11" t="s">
        <v>68</v>
      </c>
      <c r="M433" s="11" t="s">
        <v>106</v>
      </c>
      <c r="N433" s="11">
        <v>30800</v>
      </c>
      <c r="O433" s="11">
        <v>1</v>
      </c>
      <c r="P433" s="17">
        <v>0.08</v>
      </c>
      <c r="Q433" s="11">
        <v>6200</v>
      </c>
      <c r="R433" s="11" t="s">
        <v>46</v>
      </c>
      <c r="S433" s="11" t="s">
        <v>47</v>
      </c>
      <c r="T433" s="11" t="s">
        <v>34</v>
      </c>
      <c r="U433" s="11">
        <v>4</v>
      </c>
      <c r="V433" s="11" t="str">
        <f>TEXT('E-Commerce Sales Data'!$B433,"mmmm")</f>
        <v>March</v>
      </c>
      <c r="W433" s="8">
        <f t="shared" si="24"/>
        <v>3807565</v>
      </c>
      <c r="X433">
        <f t="shared" si="25"/>
        <v>769</v>
      </c>
      <c r="Y433">
        <f t="shared" si="26"/>
        <v>28670.195058517555</v>
      </c>
      <c r="Z433">
        <f t="shared" si="27"/>
        <v>55</v>
      </c>
    </row>
    <row r="434" spans="1:26" x14ac:dyDescent="0.25">
      <c r="A434" s="5" t="s">
        <v>537</v>
      </c>
      <c r="B434" s="6">
        <v>48656</v>
      </c>
      <c r="C434" s="7" t="s">
        <v>108</v>
      </c>
      <c r="D434" s="7" t="s">
        <v>23</v>
      </c>
      <c r="E434" s="7">
        <v>30</v>
      </c>
      <c r="F434" s="7" t="s">
        <v>24</v>
      </c>
      <c r="G434" s="7" t="s">
        <v>59</v>
      </c>
      <c r="H434" s="7" t="s">
        <v>26</v>
      </c>
      <c r="I434" s="7" t="s">
        <v>27</v>
      </c>
      <c r="J434" s="7" t="s">
        <v>28</v>
      </c>
      <c r="K434" s="7" t="s">
        <v>29</v>
      </c>
      <c r="L434" s="7" t="s">
        <v>30</v>
      </c>
      <c r="M434" s="7" t="s">
        <v>31</v>
      </c>
      <c r="N434" s="7">
        <v>86000</v>
      </c>
      <c r="O434" s="7">
        <v>1</v>
      </c>
      <c r="P434" s="16">
        <v>0.1</v>
      </c>
      <c r="Q434" s="7">
        <v>9800</v>
      </c>
      <c r="R434" s="7" t="s">
        <v>32</v>
      </c>
      <c r="S434" s="7" t="s">
        <v>47</v>
      </c>
      <c r="T434" s="7" t="s">
        <v>34</v>
      </c>
      <c r="U434" s="7">
        <v>5</v>
      </c>
      <c r="V434" s="7" t="str">
        <f>TEXT('E-Commerce Sales Data'!$B434,"mmmm")</f>
        <v>March</v>
      </c>
      <c r="W434" s="8">
        <f t="shared" si="24"/>
        <v>3801365</v>
      </c>
      <c r="X434">
        <f t="shared" si="25"/>
        <v>768</v>
      </c>
      <c r="Y434">
        <f t="shared" si="26"/>
        <v>28667.421875</v>
      </c>
      <c r="Z434">
        <f t="shared" si="27"/>
        <v>55</v>
      </c>
    </row>
    <row r="435" spans="1:26" x14ac:dyDescent="0.25">
      <c r="A435" s="9" t="s">
        <v>538</v>
      </c>
      <c r="B435" s="10">
        <v>48663</v>
      </c>
      <c r="C435" s="11" t="s">
        <v>110</v>
      </c>
      <c r="D435" s="11" t="s">
        <v>37</v>
      </c>
      <c r="E435" s="11">
        <v>36</v>
      </c>
      <c r="F435" s="11" t="s">
        <v>38</v>
      </c>
      <c r="G435" s="11" t="s">
        <v>66</v>
      </c>
      <c r="H435" s="11" t="s">
        <v>67</v>
      </c>
      <c r="I435" s="11" t="s">
        <v>27</v>
      </c>
      <c r="J435" s="11" t="s">
        <v>28</v>
      </c>
      <c r="K435" s="11" t="s">
        <v>60</v>
      </c>
      <c r="L435" s="11" t="s">
        <v>92</v>
      </c>
      <c r="M435" s="11" t="s">
        <v>111</v>
      </c>
      <c r="N435" s="11">
        <v>1480</v>
      </c>
      <c r="O435" s="11">
        <v>15</v>
      </c>
      <c r="P435" s="17">
        <v>0.05</v>
      </c>
      <c r="Q435" s="11">
        <v>450</v>
      </c>
      <c r="R435" s="11" t="s">
        <v>80</v>
      </c>
      <c r="S435" s="11" t="s">
        <v>33</v>
      </c>
      <c r="T435" s="11" t="s">
        <v>34</v>
      </c>
      <c r="U435" s="11">
        <v>4</v>
      </c>
      <c r="V435" s="11" t="str">
        <f>TEXT('E-Commerce Sales Data'!$B435,"mmmm")</f>
        <v>March</v>
      </c>
      <c r="W435" s="8">
        <f t="shared" si="24"/>
        <v>3791565</v>
      </c>
      <c r="X435">
        <f t="shared" si="25"/>
        <v>767</v>
      </c>
      <c r="Y435">
        <f t="shared" si="26"/>
        <v>28592.672750977836</v>
      </c>
      <c r="Z435">
        <f t="shared" si="27"/>
        <v>55</v>
      </c>
    </row>
    <row r="436" spans="1:26" x14ac:dyDescent="0.25">
      <c r="A436" s="5" t="s">
        <v>539</v>
      </c>
      <c r="B436" s="6">
        <v>48670</v>
      </c>
      <c r="C436" s="7" t="s">
        <v>113</v>
      </c>
      <c r="D436" s="7" t="s">
        <v>114</v>
      </c>
      <c r="E436" s="7">
        <v>40</v>
      </c>
      <c r="F436" s="7" t="s">
        <v>24</v>
      </c>
      <c r="G436" s="7" t="s">
        <v>73</v>
      </c>
      <c r="H436" s="7" t="s">
        <v>74</v>
      </c>
      <c r="I436" s="7" t="s">
        <v>41</v>
      </c>
      <c r="J436" s="7" t="s">
        <v>42</v>
      </c>
      <c r="K436" s="7" t="s">
        <v>43</v>
      </c>
      <c r="L436" s="7" t="s">
        <v>44</v>
      </c>
      <c r="M436" s="7" t="s">
        <v>45</v>
      </c>
      <c r="N436" s="7">
        <v>14000</v>
      </c>
      <c r="O436" s="7">
        <v>4</v>
      </c>
      <c r="P436" s="16">
        <v>7.0000000000000007E-2</v>
      </c>
      <c r="Q436" s="7">
        <v>3100</v>
      </c>
      <c r="R436" s="7" t="s">
        <v>46</v>
      </c>
      <c r="S436" s="7" t="s">
        <v>33</v>
      </c>
      <c r="T436" s="7" t="s">
        <v>34</v>
      </c>
      <c r="U436" s="7">
        <v>4</v>
      </c>
      <c r="V436" s="7" t="str">
        <f>TEXT('E-Commerce Sales Data'!$B436,"mmmm")</f>
        <v>April</v>
      </c>
      <c r="W436" s="8">
        <f t="shared" si="24"/>
        <v>3791115</v>
      </c>
      <c r="X436">
        <f t="shared" si="25"/>
        <v>766</v>
      </c>
      <c r="Y436">
        <f t="shared" si="26"/>
        <v>28628.067885117493</v>
      </c>
      <c r="Z436">
        <f t="shared" si="27"/>
        <v>55</v>
      </c>
    </row>
    <row r="437" spans="1:26" x14ac:dyDescent="0.25">
      <c r="A437" s="9" t="s">
        <v>540</v>
      </c>
      <c r="B437" s="10">
        <v>48677</v>
      </c>
      <c r="C437" s="11" t="s">
        <v>116</v>
      </c>
      <c r="D437" s="11" t="s">
        <v>83</v>
      </c>
      <c r="E437" s="11">
        <v>27</v>
      </c>
      <c r="F437" s="11" t="s">
        <v>38</v>
      </c>
      <c r="G437" s="11" t="s">
        <v>39</v>
      </c>
      <c r="H437" s="11" t="s">
        <v>40</v>
      </c>
      <c r="I437" s="11" t="s">
        <v>41</v>
      </c>
      <c r="J437" s="11" t="s">
        <v>28</v>
      </c>
      <c r="K437" s="11" t="s">
        <v>29</v>
      </c>
      <c r="L437" s="11" t="s">
        <v>53</v>
      </c>
      <c r="M437" s="11" t="s">
        <v>54</v>
      </c>
      <c r="N437" s="11">
        <v>29900</v>
      </c>
      <c r="O437" s="11">
        <v>2</v>
      </c>
      <c r="P437" s="17">
        <v>0.05</v>
      </c>
      <c r="Q437" s="11">
        <v>5600</v>
      </c>
      <c r="R437" s="11" t="s">
        <v>32</v>
      </c>
      <c r="S437" s="11" t="s">
        <v>47</v>
      </c>
      <c r="T437" s="11" t="s">
        <v>34</v>
      </c>
      <c r="U437" s="11">
        <v>5</v>
      </c>
      <c r="V437" s="11" t="str">
        <f>TEXT('E-Commerce Sales Data'!$B437,"mmmm")</f>
        <v>April</v>
      </c>
      <c r="W437" s="8">
        <f t="shared" si="24"/>
        <v>3788015</v>
      </c>
      <c r="X437">
        <f t="shared" si="25"/>
        <v>765</v>
      </c>
      <c r="Y437">
        <f t="shared" si="26"/>
        <v>28647.189542483658</v>
      </c>
      <c r="Z437">
        <f t="shared" si="27"/>
        <v>55</v>
      </c>
    </row>
    <row r="438" spans="1:26" x14ac:dyDescent="0.25">
      <c r="A438" s="5" t="s">
        <v>541</v>
      </c>
      <c r="B438" s="6">
        <v>48684</v>
      </c>
      <c r="C438" s="7" t="s">
        <v>118</v>
      </c>
      <c r="D438" s="7" t="s">
        <v>72</v>
      </c>
      <c r="E438" s="7">
        <v>35</v>
      </c>
      <c r="F438" s="7" t="s">
        <v>24</v>
      </c>
      <c r="G438" s="7" t="s">
        <v>84</v>
      </c>
      <c r="H438" s="7" t="s">
        <v>85</v>
      </c>
      <c r="I438" s="7" t="s">
        <v>52</v>
      </c>
      <c r="J438" s="7" t="s">
        <v>42</v>
      </c>
      <c r="K438" s="7" t="s">
        <v>60</v>
      </c>
      <c r="L438" s="7" t="s">
        <v>61</v>
      </c>
      <c r="M438" s="7" t="s">
        <v>62</v>
      </c>
      <c r="N438" s="7">
        <v>6500</v>
      </c>
      <c r="O438" s="7">
        <v>10</v>
      </c>
      <c r="P438" s="16">
        <v>0.03</v>
      </c>
      <c r="Q438" s="7">
        <v>1610</v>
      </c>
      <c r="R438" s="7" t="s">
        <v>55</v>
      </c>
      <c r="S438" s="7" t="s">
        <v>33</v>
      </c>
      <c r="T438" s="7" t="s">
        <v>34</v>
      </c>
      <c r="U438" s="7">
        <v>4</v>
      </c>
      <c r="V438" s="7" t="str">
        <f>TEXT('E-Commerce Sales Data'!$B438,"mmmm")</f>
        <v>April</v>
      </c>
      <c r="W438" s="8">
        <f t="shared" si="24"/>
        <v>3782415</v>
      </c>
      <c r="X438">
        <f t="shared" si="25"/>
        <v>764</v>
      </c>
      <c r="Y438">
        <f t="shared" si="26"/>
        <v>28645.549738219896</v>
      </c>
      <c r="Z438">
        <f t="shared" si="27"/>
        <v>55</v>
      </c>
    </row>
    <row r="439" spans="1:26" x14ac:dyDescent="0.25">
      <c r="A439" s="9" t="s">
        <v>542</v>
      </c>
      <c r="B439" s="10">
        <v>48691</v>
      </c>
      <c r="C439" s="11" t="s">
        <v>120</v>
      </c>
      <c r="D439" s="11" t="s">
        <v>23</v>
      </c>
      <c r="E439" s="11">
        <v>24</v>
      </c>
      <c r="F439" s="11" t="s">
        <v>38</v>
      </c>
      <c r="G439" s="11" t="s">
        <v>25</v>
      </c>
      <c r="H439" s="11" t="s">
        <v>26</v>
      </c>
      <c r="I439" s="11" t="s">
        <v>27</v>
      </c>
      <c r="J439" s="11" t="s">
        <v>28</v>
      </c>
      <c r="K439" s="11" t="s">
        <v>43</v>
      </c>
      <c r="L439" s="11" t="s">
        <v>68</v>
      </c>
      <c r="M439" s="11" t="s">
        <v>69</v>
      </c>
      <c r="N439" s="11">
        <v>27200</v>
      </c>
      <c r="O439" s="11">
        <v>2</v>
      </c>
      <c r="P439" s="17">
        <v>0.1</v>
      </c>
      <c r="Q439" s="11">
        <v>4320</v>
      </c>
      <c r="R439" s="11" t="s">
        <v>32</v>
      </c>
      <c r="S439" s="11" t="s">
        <v>47</v>
      </c>
      <c r="T439" s="11" t="s">
        <v>34</v>
      </c>
      <c r="U439" s="11">
        <v>5</v>
      </c>
      <c r="V439" s="11" t="str">
        <f>TEXT('E-Commerce Sales Data'!$B439,"mmmm")</f>
        <v>April</v>
      </c>
      <c r="W439" s="8">
        <f t="shared" si="24"/>
        <v>3780805</v>
      </c>
      <c r="X439">
        <f t="shared" si="25"/>
        <v>763</v>
      </c>
      <c r="Y439">
        <f t="shared" si="26"/>
        <v>28674.574049803407</v>
      </c>
      <c r="Z439">
        <f t="shared" si="27"/>
        <v>55</v>
      </c>
    </row>
    <row r="440" spans="1:26" x14ac:dyDescent="0.25">
      <c r="A440" s="5" t="s">
        <v>543</v>
      </c>
      <c r="B440" s="6">
        <v>48698</v>
      </c>
      <c r="C440" s="7" t="s">
        <v>122</v>
      </c>
      <c r="D440" s="7" t="s">
        <v>50</v>
      </c>
      <c r="E440" s="7">
        <v>43</v>
      </c>
      <c r="F440" s="7" t="s">
        <v>24</v>
      </c>
      <c r="G440" s="7" t="s">
        <v>101</v>
      </c>
      <c r="H440" s="7" t="s">
        <v>102</v>
      </c>
      <c r="I440" s="7" t="s">
        <v>41</v>
      </c>
      <c r="J440" s="7" t="s">
        <v>42</v>
      </c>
      <c r="K440" s="7" t="s">
        <v>29</v>
      </c>
      <c r="L440" s="7" t="s">
        <v>53</v>
      </c>
      <c r="M440" s="7" t="s">
        <v>75</v>
      </c>
      <c r="N440" s="7">
        <v>4550</v>
      </c>
      <c r="O440" s="7">
        <v>4</v>
      </c>
      <c r="P440" s="16">
        <v>0.05</v>
      </c>
      <c r="Q440" s="7">
        <v>1140</v>
      </c>
      <c r="R440" s="7" t="s">
        <v>46</v>
      </c>
      <c r="S440" s="7" t="s">
        <v>33</v>
      </c>
      <c r="T440" s="7" t="s">
        <v>34</v>
      </c>
      <c r="U440" s="7">
        <v>3</v>
      </c>
      <c r="V440" s="7" t="str">
        <f>TEXT('E-Commerce Sales Data'!$B440,"mmmm")</f>
        <v>April</v>
      </c>
      <c r="W440" s="8">
        <f t="shared" si="24"/>
        <v>3776485</v>
      </c>
      <c r="X440">
        <f t="shared" si="25"/>
        <v>762</v>
      </c>
      <c r="Y440">
        <f t="shared" si="26"/>
        <v>28676.509186351705</v>
      </c>
      <c r="Z440">
        <f t="shared" si="27"/>
        <v>55</v>
      </c>
    </row>
    <row r="441" spans="1:26" x14ac:dyDescent="0.25">
      <c r="A441" s="9" t="s">
        <v>544</v>
      </c>
      <c r="B441" s="10">
        <v>48705</v>
      </c>
      <c r="C441" s="11" t="s">
        <v>124</v>
      </c>
      <c r="D441" s="11" t="s">
        <v>100</v>
      </c>
      <c r="E441" s="11">
        <v>32</v>
      </c>
      <c r="F441" s="11" t="s">
        <v>38</v>
      </c>
      <c r="G441" s="11" t="s">
        <v>78</v>
      </c>
      <c r="H441" s="11" t="s">
        <v>26</v>
      </c>
      <c r="I441" s="11" t="s">
        <v>27</v>
      </c>
      <c r="J441" s="11" t="s">
        <v>28</v>
      </c>
      <c r="K441" s="11" t="s">
        <v>29</v>
      </c>
      <c r="L441" s="11" t="s">
        <v>53</v>
      </c>
      <c r="M441" s="11" t="s">
        <v>79</v>
      </c>
      <c r="N441" s="11">
        <v>3200</v>
      </c>
      <c r="O441" s="11">
        <v>7</v>
      </c>
      <c r="P441" s="17">
        <v>0</v>
      </c>
      <c r="Q441" s="11">
        <v>960</v>
      </c>
      <c r="R441" s="11" t="s">
        <v>32</v>
      </c>
      <c r="S441" s="11" t="s">
        <v>33</v>
      </c>
      <c r="T441" s="11" t="s">
        <v>34</v>
      </c>
      <c r="U441" s="11">
        <v>4</v>
      </c>
      <c r="V441" s="11" t="str">
        <f>TEXT('E-Commerce Sales Data'!$B441,"mmmm")</f>
        <v>May</v>
      </c>
      <c r="W441" s="8">
        <f t="shared" si="24"/>
        <v>3775345</v>
      </c>
      <c r="X441">
        <f t="shared" si="25"/>
        <v>761</v>
      </c>
      <c r="Y441">
        <f t="shared" si="26"/>
        <v>28708.212877792379</v>
      </c>
      <c r="Z441">
        <f t="shared" si="27"/>
        <v>55</v>
      </c>
    </row>
    <row r="442" spans="1:26" x14ac:dyDescent="0.25">
      <c r="A442" s="5" t="s">
        <v>545</v>
      </c>
      <c r="B442" s="6">
        <v>48712</v>
      </c>
      <c r="C442" s="7" t="s">
        <v>22</v>
      </c>
      <c r="D442" s="7" t="s">
        <v>23</v>
      </c>
      <c r="E442" s="7">
        <v>28</v>
      </c>
      <c r="F442" s="7" t="s">
        <v>24</v>
      </c>
      <c r="G442" s="7" t="s">
        <v>25</v>
      </c>
      <c r="H442" s="7" t="s">
        <v>26</v>
      </c>
      <c r="I442" s="7" t="s">
        <v>27</v>
      </c>
      <c r="J442" s="7" t="s">
        <v>28</v>
      </c>
      <c r="K442" s="7" t="s">
        <v>29</v>
      </c>
      <c r="L442" s="7" t="s">
        <v>30</v>
      </c>
      <c r="M442" s="7" t="s">
        <v>31</v>
      </c>
      <c r="N442" s="7">
        <v>82000</v>
      </c>
      <c r="O442" s="7">
        <v>1</v>
      </c>
      <c r="P442" s="16">
        <v>0.05</v>
      </c>
      <c r="Q442" s="7">
        <v>10900</v>
      </c>
      <c r="R442" s="7" t="s">
        <v>32</v>
      </c>
      <c r="S442" s="7" t="s">
        <v>47</v>
      </c>
      <c r="T442" s="7" t="s">
        <v>34</v>
      </c>
      <c r="U442" s="7">
        <v>5</v>
      </c>
      <c r="V442" s="7" t="str">
        <f>TEXT('E-Commerce Sales Data'!$B442,"mmmm")</f>
        <v>May</v>
      </c>
      <c r="W442" s="8">
        <f t="shared" si="24"/>
        <v>3774385</v>
      </c>
      <c r="X442">
        <f t="shared" si="25"/>
        <v>760</v>
      </c>
      <c r="Y442">
        <f t="shared" si="26"/>
        <v>28741.776315789473</v>
      </c>
      <c r="Z442">
        <f t="shared" si="27"/>
        <v>55</v>
      </c>
    </row>
    <row r="443" spans="1:26" x14ac:dyDescent="0.25">
      <c r="A443" s="9" t="s">
        <v>546</v>
      </c>
      <c r="B443" s="10">
        <v>48719</v>
      </c>
      <c r="C443" s="11" t="s">
        <v>36</v>
      </c>
      <c r="D443" s="11" t="s">
        <v>37</v>
      </c>
      <c r="E443" s="11">
        <v>34</v>
      </c>
      <c r="F443" s="11" t="s">
        <v>38</v>
      </c>
      <c r="G443" s="11" t="s">
        <v>39</v>
      </c>
      <c r="H443" s="11" t="s">
        <v>40</v>
      </c>
      <c r="I443" s="11" t="s">
        <v>41</v>
      </c>
      <c r="J443" s="11" t="s">
        <v>42</v>
      </c>
      <c r="K443" s="11" t="s">
        <v>43</v>
      </c>
      <c r="L443" s="11" t="s">
        <v>44</v>
      </c>
      <c r="M443" s="11" t="s">
        <v>45</v>
      </c>
      <c r="N443" s="11">
        <v>11900</v>
      </c>
      <c r="O443" s="11">
        <v>3</v>
      </c>
      <c r="P443" s="17">
        <v>0.1</v>
      </c>
      <c r="Q443" s="11">
        <v>2720</v>
      </c>
      <c r="R443" s="11" t="s">
        <v>46</v>
      </c>
      <c r="S443" s="11" t="s">
        <v>33</v>
      </c>
      <c r="T443" s="11" t="s">
        <v>34</v>
      </c>
      <c r="U443" s="11">
        <v>4</v>
      </c>
      <c r="V443" s="11" t="str">
        <f>TEXT('E-Commerce Sales Data'!$B443,"mmmm")</f>
        <v>May</v>
      </c>
      <c r="W443" s="8">
        <f t="shared" si="24"/>
        <v>3763485</v>
      </c>
      <c r="X443">
        <f t="shared" si="25"/>
        <v>759</v>
      </c>
      <c r="Y443">
        <f t="shared" si="26"/>
        <v>28671.607378129116</v>
      </c>
      <c r="Z443">
        <f t="shared" si="27"/>
        <v>55</v>
      </c>
    </row>
    <row r="444" spans="1:26" x14ac:dyDescent="0.25">
      <c r="A444" s="5" t="s">
        <v>547</v>
      </c>
      <c r="B444" s="6">
        <v>48726</v>
      </c>
      <c r="C444" s="7" t="s">
        <v>49</v>
      </c>
      <c r="D444" s="7" t="s">
        <v>50</v>
      </c>
      <c r="E444" s="7">
        <v>41</v>
      </c>
      <c r="F444" s="7" t="s">
        <v>24</v>
      </c>
      <c r="G444" s="7" t="s">
        <v>51</v>
      </c>
      <c r="H444" s="7" t="s">
        <v>51</v>
      </c>
      <c r="I444" s="7" t="s">
        <v>52</v>
      </c>
      <c r="J444" s="7" t="s">
        <v>28</v>
      </c>
      <c r="K444" s="7" t="s">
        <v>29</v>
      </c>
      <c r="L444" s="7" t="s">
        <v>53</v>
      </c>
      <c r="M444" s="7" t="s">
        <v>54</v>
      </c>
      <c r="N444" s="7">
        <v>27800</v>
      </c>
      <c r="O444" s="7">
        <v>2</v>
      </c>
      <c r="P444" s="16">
        <v>0.05</v>
      </c>
      <c r="Q444" s="7">
        <v>5150</v>
      </c>
      <c r="R444" s="7" t="s">
        <v>55</v>
      </c>
      <c r="S444" s="7" t="s">
        <v>33</v>
      </c>
      <c r="T444" s="7" t="s">
        <v>34</v>
      </c>
      <c r="U444" s="7">
        <v>4</v>
      </c>
      <c r="V444" s="7" t="str">
        <f>TEXT('E-Commerce Sales Data'!$B444,"mmmm")</f>
        <v>May</v>
      </c>
      <c r="W444" s="8">
        <f t="shared" si="24"/>
        <v>3760765</v>
      </c>
      <c r="X444">
        <f t="shared" si="25"/>
        <v>758</v>
      </c>
      <c r="Y444">
        <f t="shared" si="26"/>
        <v>28693.733509234829</v>
      </c>
      <c r="Z444">
        <f t="shared" si="27"/>
        <v>55</v>
      </c>
    </row>
    <row r="445" spans="1:26" x14ac:dyDescent="0.25">
      <c r="A445" s="9" t="s">
        <v>548</v>
      </c>
      <c r="B445" s="10">
        <v>48733</v>
      </c>
      <c r="C445" s="11" t="s">
        <v>57</v>
      </c>
      <c r="D445" s="11" t="s">
        <v>58</v>
      </c>
      <c r="E445" s="11">
        <v>26</v>
      </c>
      <c r="F445" s="11" t="s">
        <v>38</v>
      </c>
      <c r="G445" s="11" t="s">
        <v>59</v>
      </c>
      <c r="H445" s="11" t="s">
        <v>26</v>
      </c>
      <c r="I445" s="11" t="s">
        <v>27</v>
      </c>
      <c r="J445" s="11" t="s">
        <v>28</v>
      </c>
      <c r="K445" s="11" t="s">
        <v>60</v>
      </c>
      <c r="L445" s="11" t="s">
        <v>61</v>
      </c>
      <c r="M445" s="11" t="s">
        <v>86</v>
      </c>
      <c r="N445" s="11">
        <v>810</v>
      </c>
      <c r="O445" s="11">
        <v>20</v>
      </c>
      <c r="P445" s="17">
        <v>0.02</v>
      </c>
      <c r="Q445" s="11">
        <v>235</v>
      </c>
      <c r="R445" s="11" t="s">
        <v>32</v>
      </c>
      <c r="S445" s="11" t="s">
        <v>33</v>
      </c>
      <c r="T445" s="11" t="s">
        <v>34</v>
      </c>
      <c r="U445" s="11">
        <v>5</v>
      </c>
      <c r="V445" s="11" t="str">
        <f>TEXT('E-Commerce Sales Data'!$B445,"mmmm")</f>
        <v>June</v>
      </c>
      <c r="W445" s="8">
        <f t="shared" si="24"/>
        <v>3755615</v>
      </c>
      <c r="X445">
        <f t="shared" si="25"/>
        <v>757</v>
      </c>
      <c r="Y445">
        <f t="shared" si="26"/>
        <v>28694.914134742405</v>
      </c>
      <c r="Z445">
        <f t="shared" si="27"/>
        <v>55</v>
      </c>
    </row>
    <row r="446" spans="1:26" x14ac:dyDescent="0.25">
      <c r="A446" s="5" t="s">
        <v>549</v>
      </c>
      <c r="B446" s="6">
        <v>48740</v>
      </c>
      <c r="C446" s="7" t="s">
        <v>64</v>
      </c>
      <c r="D446" s="7" t="s">
        <v>65</v>
      </c>
      <c r="E446" s="7">
        <v>39</v>
      </c>
      <c r="F446" s="7" t="s">
        <v>24</v>
      </c>
      <c r="G446" s="7" t="s">
        <v>66</v>
      </c>
      <c r="H446" s="7" t="s">
        <v>67</v>
      </c>
      <c r="I446" s="7" t="s">
        <v>27</v>
      </c>
      <c r="J446" s="7" t="s">
        <v>42</v>
      </c>
      <c r="K446" s="7" t="s">
        <v>43</v>
      </c>
      <c r="L446" s="7" t="s">
        <v>68</v>
      </c>
      <c r="M446" s="7" t="s">
        <v>69</v>
      </c>
      <c r="N446" s="7">
        <v>27800</v>
      </c>
      <c r="O446" s="7">
        <v>2</v>
      </c>
      <c r="P446" s="16">
        <v>0.08</v>
      </c>
      <c r="Q446" s="7">
        <v>4760</v>
      </c>
      <c r="R446" s="7" t="s">
        <v>46</v>
      </c>
      <c r="S446" s="7" t="s">
        <v>47</v>
      </c>
      <c r="T446" s="7" t="s">
        <v>34</v>
      </c>
      <c r="U446" s="7">
        <v>4</v>
      </c>
      <c r="V446" s="7" t="str">
        <f>TEXT('E-Commerce Sales Data'!$B446,"mmmm")</f>
        <v>June</v>
      </c>
      <c r="W446" s="8">
        <f t="shared" si="24"/>
        <v>3755380</v>
      </c>
      <c r="X446">
        <f t="shared" si="25"/>
        <v>756</v>
      </c>
      <c r="Y446">
        <f t="shared" si="26"/>
        <v>28731.798941798941</v>
      </c>
      <c r="Z446">
        <f t="shared" si="27"/>
        <v>55</v>
      </c>
    </row>
    <row r="447" spans="1:26" x14ac:dyDescent="0.25">
      <c r="A447" s="9" t="s">
        <v>550</v>
      </c>
      <c r="B447" s="10">
        <v>48747</v>
      </c>
      <c r="C447" s="11" t="s">
        <v>71</v>
      </c>
      <c r="D447" s="11" t="s">
        <v>72</v>
      </c>
      <c r="E447" s="11">
        <v>31</v>
      </c>
      <c r="F447" s="11" t="s">
        <v>38</v>
      </c>
      <c r="G447" s="11" t="s">
        <v>73</v>
      </c>
      <c r="H447" s="11" t="s">
        <v>74</v>
      </c>
      <c r="I447" s="11" t="s">
        <v>41</v>
      </c>
      <c r="J447" s="11" t="s">
        <v>28</v>
      </c>
      <c r="K447" s="11" t="s">
        <v>29</v>
      </c>
      <c r="L447" s="11" t="s">
        <v>53</v>
      </c>
      <c r="M447" s="11" t="s">
        <v>75</v>
      </c>
      <c r="N447" s="11">
        <v>4250</v>
      </c>
      <c r="O447" s="11">
        <v>3</v>
      </c>
      <c r="P447" s="17">
        <v>0.05</v>
      </c>
      <c r="Q447" s="11">
        <v>1080</v>
      </c>
      <c r="R447" s="11" t="s">
        <v>32</v>
      </c>
      <c r="S447" s="11" t="s">
        <v>33</v>
      </c>
      <c r="T447" s="11" t="s">
        <v>34</v>
      </c>
      <c r="U447" s="11">
        <v>4</v>
      </c>
      <c r="V447" s="11" t="str">
        <f>TEXT('E-Commerce Sales Data'!$B447,"mmmm")</f>
        <v>June</v>
      </c>
      <c r="W447" s="8">
        <f t="shared" si="24"/>
        <v>3750620</v>
      </c>
      <c r="X447">
        <f t="shared" si="25"/>
        <v>755</v>
      </c>
      <c r="Y447">
        <f t="shared" si="26"/>
        <v>28733.03311258278</v>
      </c>
      <c r="Z447">
        <f t="shared" si="27"/>
        <v>55</v>
      </c>
    </row>
    <row r="448" spans="1:26" x14ac:dyDescent="0.25">
      <c r="A448" s="5" t="s">
        <v>551</v>
      </c>
      <c r="B448" s="6">
        <v>48754</v>
      </c>
      <c r="C448" s="7" t="s">
        <v>77</v>
      </c>
      <c r="D448" s="7" t="s">
        <v>23</v>
      </c>
      <c r="E448" s="7">
        <v>29</v>
      </c>
      <c r="F448" s="7" t="s">
        <v>24</v>
      </c>
      <c r="G448" s="7" t="s">
        <v>78</v>
      </c>
      <c r="H448" s="7" t="s">
        <v>26</v>
      </c>
      <c r="I448" s="7" t="s">
        <v>27</v>
      </c>
      <c r="J448" s="7" t="s">
        <v>28</v>
      </c>
      <c r="K448" s="7" t="s">
        <v>29</v>
      </c>
      <c r="L448" s="7" t="s">
        <v>53</v>
      </c>
      <c r="M448" s="7" t="s">
        <v>79</v>
      </c>
      <c r="N448" s="7">
        <v>3250</v>
      </c>
      <c r="O448" s="7">
        <v>6</v>
      </c>
      <c r="P448" s="16">
        <v>0</v>
      </c>
      <c r="Q448" s="7">
        <v>970</v>
      </c>
      <c r="R448" s="7" t="s">
        <v>80</v>
      </c>
      <c r="S448" s="7" t="s">
        <v>33</v>
      </c>
      <c r="T448" s="7" t="s">
        <v>34</v>
      </c>
      <c r="U448" s="7">
        <v>3</v>
      </c>
      <c r="V448" s="7" t="str">
        <f>TEXT('E-Commerce Sales Data'!$B448,"mmmm")</f>
        <v>June</v>
      </c>
      <c r="W448" s="8">
        <f t="shared" si="24"/>
        <v>3749540</v>
      </c>
      <c r="X448">
        <f t="shared" si="25"/>
        <v>754</v>
      </c>
      <c r="Y448">
        <f t="shared" si="26"/>
        <v>28765.503978779841</v>
      </c>
      <c r="Z448">
        <f t="shared" si="27"/>
        <v>55</v>
      </c>
    </row>
    <row r="449" spans="1:26" x14ac:dyDescent="0.25">
      <c r="A449" s="9" t="s">
        <v>552</v>
      </c>
      <c r="B449" s="10">
        <v>48761</v>
      </c>
      <c r="C449" s="11" t="s">
        <v>82</v>
      </c>
      <c r="D449" s="11" t="s">
        <v>83</v>
      </c>
      <c r="E449" s="11">
        <v>37</v>
      </c>
      <c r="F449" s="11" t="s">
        <v>38</v>
      </c>
      <c r="G449" s="11" t="s">
        <v>84</v>
      </c>
      <c r="H449" s="11" t="s">
        <v>85</v>
      </c>
      <c r="I449" s="11" t="s">
        <v>52</v>
      </c>
      <c r="J449" s="11" t="s">
        <v>42</v>
      </c>
      <c r="K449" s="11" t="s">
        <v>60</v>
      </c>
      <c r="L449" s="11" t="s">
        <v>61</v>
      </c>
      <c r="M449" s="11" t="s">
        <v>62</v>
      </c>
      <c r="N449" s="11">
        <v>6600</v>
      </c>
      <c r="O449" s="11">
        <v>10</v>
      </c>
      <c r="P449" s="17">
        <v>0.02</v>
      </c>
      <c r="Q449" s="11">
        <v>1630</v>
      </c>
      <c r="R449" s="11" t="s">
        <v>32</v>
      </c>
      <c r="S449" s="11" t="s">
        <v>33</v>
      </c>
      <c r="T449" s="11" t="s">
        <v>34</v>
      </c>
      <c r="U449" s="11">
        <v>5</v>
      </c>
      <c r="V449" s="11" t="str">
        <f>TEXT('E-Commerce Sales Data'!$B449,"mmmm")</f>
        <v>July</v>
      </c>
      <c r="W449" s="8">
        <f t="shared" si="24"/>
        <v>3748570</v>
      </c>
      <c r="X449">
        <f t="shared" si="25"/>
        <v>753</v>
      </c>
      <c r="Y449">
        <f t="shared" si="26"/>
        <v>28799.389110225762</v>
      </c>
      <c r="Z449">
        <f t="shared" si="27"/>
        <v>55</v>
      </c>
    </row>
    <row r="450" spans="1:26" x14ac:dyDescent="0.25">
      <c r="A450" s="5" t="s">
        <v>553</v>
      </c>
      <c r="B450" s="6">
        <v>48768</v>
      </c>
      <c r="C450" s="7" t="s">
        <v>88</v>
      </c>
      <c r="D450" s="7" t="s">
        <v>37</v>
      </c>
      <c r="E450" s="7">
        <v>45</v>
      </c>
      <c r="F450" s="7" t="s">
        <v>24</v>
      </c>
      <c r="G450" s="7" t="s">
        <v>89</v>
      </c>
      <c r="H450" s="7" t="s">
        <v>90</v>
      </c>
      <c r="I450" s="7" t="s">
        <v>91</v>
      </c>
      <c r="J450" s="7" t="s">
        <v>42</v>
      </c>
      <c r="K450" s="7" t="s">
        <v>43</v>
      </c>
      <c r="L450" s="7" t="s">
        <v>92</v>
      </c>
      <c r="M450" s="7" t="s">
        <v>93</v>
      </c>
      <c r="N450" s="7">
        <v>19000</v>
      </c>
      <c r="O450" s="7">
        <v>1</v>
      </c>
      <c r="P450" s="16">
        <v>0.1</v>
      </c>
      <c r="Q450" s="7">
        <v>3340</v>
      </c>
      <c r="R450" s="7" t="s">
        <v>46</v>
      </c>
      <c r="S450" s="7" t="s">
        <v>47</v>
      </c>
      <c r="T450" s="7" t="s">
        <v>34</v>
      </c>
      <c r="U450" s="7">
        <v>4</v>
      </c>
      <c r="V450" s="7" t="str">
        <f>TEXT('E-Commerce Sales Data'!$B450,"mmmm")</f>
        <v>July</v>
      </c>
      <c r="W450" s="8">
        <f t="shared" si="24"/>
        <v>3746940</v>
      </c>
      <c r="X450">
        <f t="shared" si="25"/>
        <v>752</v>
      </c>
      <c r="Y450">
        <f t="shared" si="26"/>
        <v>28828.909574468085</v>
      </c>
      <c r="Z450">
        <f t="shared" si="27"/>
        <v>55</v>
      </c>
    </row>
    <row r="451" spans="1:26" x14ac:dyDescent="0.25">
      <c r="A451" s="9" t="s">
        <v>554</v>
      </c>
      <c r="B451" s="10">
        <v>48775</v>
      </c>
      <c r="C451" s="11" t="s">
        <v>95</v>
      </c>
      <c r="D451" s="11" t="s">
        <v>65</v>
      </c>
      <c r="E451" s="11">
        <v>25</v>
      </c>
      <c r="F451" s="11" t="s">
        <v>38</v>
      </c>
      <c r="G451" s="11" t="s">
        <v>25</v>
      </c>
      <c r="H451" s="11" t="s">
        <v>26</v>
      </c>
      <c r="I451" s="11" t="s">
        <v>27</v>
      </c>
      <c r="J451" s="11" t="s">
        <v>28</v>
      </c>
      <c r="K451" s="11" t="s">
        <v>29</v>
      </c>
      <c r="L451" s="11" t="s">
        <v>96</v>
      </c>
      <c r="M451" s="11" t="s">
        <v>97</v>
      </c>
      <c r="N451" s="11">
        <v>21200</v>
      </c>
      <c r="O451" s="11">
        <v>2</v>
      </c>
      <c r="P451" s="17">
        <v>0.05</v>
      </c>
      <c r="Q451" s="11">
        <v>4100</v>
      </c>
      <c r="R451" s="11" t="s">
        <v>32</v>
      </c>
      <c r="S451" s="11" t="s">
        <v>33</v>
      </c>
      <c r="T451" s="11" t="s">
        <v>34</v>
      </c>
      <c r="U451" s="11">
        <v>4</v>
      </c>
      <c r="V451" s="11" t="str">
        <f>TEXT('E-Commerce Sales Data'!$B451,"mmmm")</f>
        <v>July</v>
      </c>
      <c r="W451" s="8">
        <f t="shared" ref="W451:W514" si="28">SUM(Q451:Q1650)</f>
        <v>3743600</v>
      </c>
      <c r="X451">
        <f t="shared" ref="X451:X514" si="29">COUNT(E451:E1650)</f>
        <v>751</v>
      </c>
      <c r="Y451">
        <f t="shared" ref="Y451:Y514" si="30">AVERAGE(N451:N1650)</f>
        <v>28841.997336884153</v>
      </c>
      <c r="Z451">
        <f t="shared" ref="Z451:Z514" si="31">MAX(E451:E1650)</f>
        <v>55</v>
      </c>
    </row>
    <row r="452" spans="1:26" x14ac:dyDescent="0.25">
      <c r="A452" s="5" t="s">
        <v>555</v>
      </c>
      <c r="B452" s="6">
        <v>48782</v>
      </c>
      <c r="C452" s="7" t="s">
        <v>99</v>
      </c>
      <c r="D452" s="7" t="s">
        <v>100</v>
      </c>
      <c r="E452" s="7">
        <v>33</v>
      </c>
      <c r="F452" s="7" t="s">
        <v>24</v>
      </c>
      <c r="G452" s="7" t="s">
        <v>101</v>
      </c>
      <c r="H452" s="7" t="s">
        <v>102</v>
      </c>
      <c r="I452" s="7" t="s">
        <v>41</v>
      </c>
      <c r="J452" s="7" t="s">
        <v>28</v>
      </c>
      <c r="K452" s="7" t="s">
        <v>60</v>
      </c>
      <c r="L452" s="7" t="s">
        <v>53</v>
      </c>
      <c r="M452" s="7" t="s">
        <v>103</v>
      </c>
      <c r="N452" s="7">
        <v>1170</v>
      </c>
      <c r="O452" s="7">
        <v>25</v>
      </c>
      <c r="P452" s="16">
        <v>0</v>
      </c>
      <c r="Q452" s="7">
        <v>360</v>
      </c>
      <c r="R452" s="7" t="s">
        <v>55</v>
      </c>
      <c r="S452" s="7" t="s">
        <v>33</v>
      </c>
      <c r="T452" s="7" t="s">
        <v>34</v>
      </c>
      <c r="U452" s="7">
        <v>5</v>
      </c>
      <c r="V452" s="7" t="str">
        <f>TEXT('E-Commerce Sales Data'!$B452,"mmmm")</f>
        <v>July</v>
      </c>
      <c r="W452" s="8">
        <f t="shared" si="28"/>
        <v>3739500</v>
      </c>
      <c r="X452">
        <f t="shared" si="29"/>
        <v>750</v>
      </c>
      <c r="Y452">
        <f t="shared" si="30"/>
        <v>28852.186666666668</v>
      </c>
      <c r="Z452">
        <f t="shared" si="31"/>
        <v>55</v>
      </c>
    </row>
    <row r="453" spans="1:26" x14ac:dyDescent="0.25">
      <c r="A453" s="9" t="s">
        <v>556</v>
      </c>
      <c r="B453" s="10">
        <v>48789</v>
      </c>
      <c r="C453" s="11" t="s">
        <v>105</v>
      </c>
      <c r="D453" s="11" t="s">
        <v>58</v>
      </c>
      <c r="E453" s="11">
        <v>42</v>
      </c>
      <c r="F453" s="11" t="s">
        <v>38</v>
      </c>
      <c r="G453" s="11" t="s">
        <v>51</v>
      </c>
      <c r="H453" s="11" t="s">
        <v>51</v>
      </c>
      <c r="I453" s="11" t="s">
        <v>52</v>
      </c>
      <c r="J453" s="11" t="s">
        <v>42</v>
      </c>
      <c r="K453" s="11" t="s">
        <v>43</v>
      </c>
      <c r="L453" s="11" t="s">
        <v>68</v>
      </c>
      <c r="M453" s="11" t="s">
        <v>106</v>
      </c>
      <c r="N453" s="11">
        <v>31400</v>
      </c>
      <c r="O453" s="11">
        <v>1</v>
      </c>
      <c r="P453" s="17">
        <v>0.08</v>
      </c>
      <c r="Q453" s="11">
        <v>6350</v>
      </c>
      <c r="R453" s="11" t="s">
        <v>46</v>
      </c>
      <c r="S453" s="11" t="s">
        <v>47</v>
      </c>
      <c r="T453" s="11" t="s">
        <v>34</v>
      </c>
      <c r="U453" s="11">
        <v>4</v>
      </c>
      <c r="V453" s="11" t="str">
        <f>TEXT('E-Commerce Sales Data'!$B453,"mmmm")</f>
        <v>July</v>
      </c>
      <c r="W453" s="8">
        <f t="shared" si="28"/>
        <v>3739140</v>
      </c>
      <c r="X453">
        <f t="shared" si="29"/>
        <v>749</v>
      </c>
      <c r="Y453">
        <f t="shared" si="30"/>
        <v>28889.145527369827</v>
      </c>
      <c r="Z453">
        <f t="shared" si="31"/>
        <v>55</v>
      </c>
    </row>
    <row r="454" spans="1:26" x14ac:dyDescent="0.25">
      <c r="A454" s="5" t="s">
        <v>557</v>
      </c>
      <c r="B454" s="6">
        <v>48796</v>
      </c>
      <c r="C454" s="7" t="s">
        <v>108</v>
      </c>
      <c r="D454" s="7" t="s">
        <v>23</v>
      </c>
      <c r="E454" s="7">
        <v>30</v>
      </c>
      <c r="F454" s="7" t="s">
        <v>24</v>
      </c>
      <c r="G454" s="7" t="s">
        <v>59</v>
      </c>
      <c r="H454" s="7" t="s">
        <v>26</v>
      </c>
      <c r="I454" s="7" t="s">
        <v>27</v>
      </c>
      <c r="J454" s="7" t="s">
        <v>28</v>
      </c>
      <c r="K454" s="7" t="s">
        <v>29</v>
      </c>
      <c r="L454" s="7" t="s">
        <v>30</v>
      </c>
      <c r="M454" s="7" t="s">
        <v>31</v>
      </c>
      <c r="N454" s="7">
        <v>87500</v>
      </c>
      <c r="O454" s="7">
        <v>1</v>
      </c>
      <c r="P454" s="16">
        <v>0.1</v>
      </c>
      <c r="Q454" s="7">
        <v>10000</v>
      </c>
      <c r="R454" s="7" t="s">
        <v>32</v>
      </c>
      <c r="S454" s="7" t="s">
        <v>47</v>
      </c>
      <c r="T454" s="7" t="s">
        <v>34</v>
      </c>
      <c r="U454" s="7">
        <v>5</v>
      </c>
      <c r="V454" s="7" t="str">
        <f>TEXT('E-Commerce Sales Data'!$B454,"mmmm")</f>
        <v>August</v>
      </c>
      <c r="W454" s="8">
        <f t="shared" si="28"/>
        <v>3732790</v>
      </c>
      <c r="X454">
        <f t="shared" si="29"/>
        <v>748</v>
      </c>
      <c r="Y454">
        <f t="shared" si="30"/>
        <v>28885.788770053477</v>
      </c>
      <c r="Z454">
        <f t="shared" si="31"/>
        <v>55</v>
      </c>
    </row>
    <row r="455" spans="1:26" x14ac:dyDescent="0.25">
      <c r="A455" s="9" t="s">
        <v>558</v>
      </c>
      <c r="B455" s="10">
        <v>48803</v>
      </c>
      <c r="C455" s="11" t="s">
        <v>110</v>
      </c>
      <c r="D455" s="11" t="s">
        <v>37</v>
      </c>
      <c r="E455" s="11">
        <v>36</v>
      </c>
      <c r="F455" s="11" t="s">
        <v>38</v>
      </c>
      <c r="G455" s="11" t="s">
        <v>66</v>
      </c>
      <c r="H455" s="11" t="s">
        <v>67</v>
      </c>
      <c r="I455" s="11" t="s">
        <v>27</v>
      </c>
      <c r="J455" s="11" t="s">
        <v>28</v>
      </c>
      <c r="K455" s="11" t="s">
        <v>60</v>
      </c>
      <c r="L455" s="11" t="s">
        <v>92</v>
      </c>
      <c r="M455" s="11" t="s">
        <v>111</v>
      </c>
      <c r="N455" s="11">
        <v>1520</v>
      </c>
      <c r="O455" s="11">
        <v>15</v>
      </c>
      <c r="P455" s="17">
        <v>0.05</v>
      </c>
      <c r="Q455" s="11">
        <v>465</v>
      </c>
      <c r="R455" s="11" t="s">
        <v>80</v>
      </c>
      <c r="S455" s="11" t="s">
        <v>33</v>
      </c>
      <c r="T455" s="11" t="s">
        <v>34</v>
      </c>
      <c r="U455" s="11">
        <v>4</v>
      </c>
      <c r="V455" s="11" t="str">
        <f>TEXT('E-Commerce Sales Data'!$B455,"mmmm")</f>
        <v>August</v>
      </c>
      <c r="W455" s="8">
        <f t="shared" si="28"/>
        <v>3722790</v>
      </c>
      <c r="X455">
        <f t="shared" si="29"/>
        <v>747</v>
      </c>
      <c r="Y455">
        <f t="shared" si="30"/>
        <v>28807.322623828648</v>
      </c>
      <c r="Z455">
        <f t="shared" si="31"/>
        <v>55</v>
      </c>
    </row>
    <row r="456" spans="1:26" x14ac:dyDescent="0.25">
      <c r="A456" s="5" t="s">
        <v>559</v>
      </c>
      <c r="B456" s="6">
        <v>48810</v>
      </c>
      <c r="C456" s="7" t="s">
        <v>113</v>
      </c>
      <c r="D456" s="7" t="s">
        <v>114</v>
      </c>
      <c r="E456" s="7">
        <v>40</v>
      </c>
      <c r="F456" s="7" t="s">
        <v>24</v>
      </c>
      <c r="G456" s="7" t="s">
        <v>73</v>
      </c>
      <c r="H456" s="7" t="s">
        <v>74</v>
      </c>
      <c r="I456" s="7" t="s">
        <v>41</v>
      </c>
      <c r="J456" s="7" t="s">
        <v>42</v>
      </c>
      <c r="K456" s="7" t="s">
        <v>43</v>
      </c>
      <c r="L456" s="7" t="s">
        <v>44</v>
      </c>
      <c r="M456" s="7" t="s">
        <v>45</v>
      </c>
      <c r="N456" s="7">
        <v>14400</v>
      </c>
      <c r="O456" s="7">
        <v>4</v>
      </c>
      <c r="P456" s="16">
        <v>7.0000000000000007E-2</v>
      </c>
      <c r="Q456" s="7">
        <v>3200</v>
      </c>
      <c r="R456" s="7" t="s">
        <v>46</v>
      </c>
      <c r="S456" s="7" t="s">
        <v>33</v>
      </c>
      <c r="T456" s="7" t="s">
        <v>34</v>
      </c>
      <c r="U456" s="7">
        <v>4</v>
      </c>
      <c r="V456" s="7" t="str">
        <f>TEXT('E-Commerce Sales Data'!$B456,"mmmm")</f>
        <v>August</v>
      </c>
      <c r="W456" s="8">
        <f t="shared" si="28"/>
        <v>3722325</v>
      </c>
      <c r="X456">
        <f t="shared" si="29"/>
        <v>746</v>
      </c>
      <c r="Y456">
        <f t="shared" si="30"/>
        <v>28843.900804289544</v>
      </c>
      <c r="Z456">
        <f t="shared" si="31"/>
        <v>55</v>
      </c>
    </row>
    <row r="457" spans="1:26" x14ac:dyDescent="0.25">
      <c r="A457" s="9" t="s">
        <v>560</v>
      </c>
      <c r="B457" s="10">
        <v>48817</v>
      </c>
      <c r="C457" s="11" t="s">
        <v>116</v>
      </c>
      <c r="D457" s="11" t="s">
        <v>83</v>
      </c>
      <c r="E457" s="11">
        <v>27</v>
      </c>
      <c r="F457" s="11" t="s">
        <v>38</v>
      </c>
      <c r="G457" s="11" t="s">
        <v>39</v>
      </c>
      <c r="H457" s="11" t="s">
        <v>40</v>
      </c>
      <c r="I457" s="11" t="s">
        <v>41</v>
      </c>
      <c r="J457" s="11" t="s">
        <v>28</v>
      </c>
      <c r="K457" s="11" t="s">
        <v>29</v>
      </c>
      <c r="L457" s="11" t="s">
        <v>53</v>
      </c>
      <c r="M457" s="11" t="s">
        <v>54</v>
      </c>
      <c r="N457" s="11">
        <v>30600</v>
      </c>
      <c r="O457" s="11">
        <v>2</v>
      </c>
      <c r="P457" s="17">
        <v>0.05</v>
      </c>
      <c r="Q457" s="11">
        <v>5750</v>
      </c>
      <c r="R457" s="11" t="s">
        <v>32</v>
      </c>
      <c r="S457" s="11" t="s">
        <v>47</v>
      </c>
      <c r="T457" s="11" t="s">
        <v>34</v>
      </c>
      <c r="U457" s="11">
        <v>5</v>
      </c>
      <c r="V457" s="11" t="str">
        <f>TEXT('E-Commerce Sales Data'!$B457,"mmmm")</f>
        <v>August</v>
      </c>
      <c r="W457" s="8">
        <f t="shared" si="28"/>
        <v>3719125</v>
      </c>
      <c r="X457">
        <f t="shared" si="29"/>
        <v>745</v>
      </c>
      <c r="Y457">
        <f t="shared" si="30"/>
        <v>28863.288590604028</v>
      </c>
      <c r="Z457">
        <f t="shared" si="31"/>
        <v>55</v>
      </c>
    </row>
    <row r="458" spans="1:26" x14ac:dyDescent="0.25">
      <c r="A458" s="5" t="s">
        <v>561</v>
      </c>
      <c r="B458" s="6">
        <v>48824</v>
      </c>
      <c r="C458" s="7" t="s">
        <v>118</v>
      </c>
      <c r="D458" s="7" t="s">
        <v>72</v>
      </c>
      <c r="E458" s="7">
        <v>35</v>
      </c>
      <c r="F458" s="7" t="s">
        <v>24</v>
      </c>
      <c r="G458" s="7" t="s">
        <v>84</v>
      </c>
      <c r="H458" s="7" t="s">
        <v>85</v>
      </c>
      <c r="I458" s="7" t="s">
        <v>52</v>
      </c>
      <c r="J458" s="7" t="s">
        <v>42</v>
      </c>
      <c r="K458" s="7" t="s">
        <v>60</v>
      </c>
      <c r="L458" s="7" t="s">
        <v>61</v>
      </c>
      <c r="M458" s="7" t="s">
        <v>62</v>
      </c>
      <c r="N458" s="7">
        <v>6700</v>
      </c>
      <c r="O458" s="7">
        <v>10</v>
      </c>
      <c r="P458" s="16">
        <v>0.03</v>
      </c>
      <c r="Q458" s="7">
        <v>1660</v>
      </c>
      <c r="R458" s="7" t="s">
        <v>55</v>
      </c>
      <c r="S458" s="7" t="s">
        <v>33</v>
      </c>
      <c r="T458" s="7" t="s">
        <v>34</v>
      </c>
      <c r="U458" s="7">
        <v>4</v>
      </c>
      <c r="V458" s="7" t="str">
        <f>TEXT('E-Commerce Sales Data'!$B458,"mmmm")</f>
        <v>September</v>
      </c>
      <c r="W458" s="8">
        <f t="shared" si="28"/>
        <v>3713375</v>
      </c>
      <c r="X458">
        <f t="shared" si="29"/>
        <v>744</v>
      </c>
      <c r="Y458">
        <f t="shared" si="30"/>
        <v>28860.954301075268</v>
      </c>
      <c r="Z458">
        <f t="shared" si="31"/>
        <v>55</v>
      </c>
    </row>
    <row r="459" spans="1:26" x14ac:dyDescent="0.25">
      <c r="A459" s="9" t="s">
        <v>562</v>
      </c>
      <c r="B459" s="10">
        <v>48831</v>
      </c>
      <c r="C459" s="11" t="s">
        <v>120</v>
      </c>
      <c r="D459" s="11" t="s">
        <v>23</v>
      </c>
      <c r="E459" s="11">
        <v>24</v>
      </c>
      <c r="F459" s="11" t="s">
        <v>38</v>
      </c>
      <c r="G459" s="11" t="s">
        <v>25</v>
      </c>
      <c r="H459" s="11" t="s">
        <v>26</v>
      </c>
      <c r="I459" s="11" t="s">
        <v>27</v>
      </c>
      <c r="J459" s="11" t="s">
        <v>28</v>
      </c>
      <c r="K459" s="11" t="s">
        <v>43</v>
      </c>
      <c r="L459" s="11" t="s">
        <v>68</v>
      </c>
      <c r="M459" s="11" t="s">
        <v>69</v>
      </c>
      <c r="N459" s="11">
        <v>27900</v>
      </c>
      <c r="O459" s="11">
        <v>2</v>
      </c>
      <c r="P459" s="17">
        <v>0.1</v>
      </c>
      <c r="Q459" s="11">
        <v>4440</v>
      </c>
      <c r="R459" s="11" t="s">
        <v>32</v>
      </c>
      <c r="S459" s="11" t="s">
        <v>47</v>
      </c>
      <c r="T459" s="11" t="s">
        <v>34</v>
      </c>
      <c r="U459" s="11">
        <v>5</v>
      </c>
      <c r="V459" s="11" t="str">
        <f>TEXT('E-Commerce Sales Data'!$B459,"mmmm")</f>
        <v>September</v>
      </c>
      <c r="W459" s="8">
        <f t="shared" si="28"/>
        <v>3711715</v>
      </c>
      <c r="X459">
        <f t="shared" si="29"/>
        <v>743</v>
      </c>
      <c r="Y459">
        <f t="shared" si="30"/>
        <v>28890.780619111709</v>
      </c>
      <c r="Z459">
        <f t="shared" si="31"/>
        <v>55</v>
      </c>
    </row>
    <row r="460" spans="1:26" x14ac:dyDescent="0.25">
      <c r="A460" s="5" t="s">
        <v>563</v>
      </c>
      <c r="B460" s="6">
        <v>48838</v>
      </c>
      <c r="C460" s="7" t="s">
        <v>122</v>
      </c>
      <c r="D460" s="7" t="s">
        <v>50</v>
      </c>
      <c r="E460" s="7">
        <v>43</v>
      </c>
      <c r="F460" s="7" t="s">
        <v>24</v>
      </c>
      <c r="G460" s="7" t="s">
        <v>101</v>
      </c>
      <c r="H460" s="7" t="s">
        <v>102</v>
      </c>
      <c r="I460" s="7" t="s">
        <v>41</v>
      </c>
      <c r="J460" s="7" t="s">
        <v>42</v>
      </c>
      <c r="K460" s="7" t="s">
        <v>29</v>
      </c>
      <c r="L460" s="7" t="s">
        <v>53</v>
      </c>
      <c r="M460" s="7" t="s">
        <v>75</v>
      </c>
      <c r="N460" s="7">
        <v>4650</v>
      </c>
      <c r="O460" s="7">
        <v>4</v>
      </c>
      <c r="P460" s="16">
        <v>0.05</v>
      </c>
      <c r="Q460" s="7">
        <v>1170</v>
      </c>
      <c r="R460" s="7" t="s">
        <v>46</v>
      </c>
      <c r="S460" s="7" t="s">
        <v>33</v>
      </c>
      <c r="T460" s="7" t="s">
        <v>34</v>
      </c>
      <c r="U460" s="7">
        <v>3</v>
      </c>
      <c r="V460" s="7" t="str">
        <f>TEXT('E-Commerce Sales Data'!$B460,"mmmm")</f>
        <v>September</v>
      </c>
      <c r="W460" s="8">
        <f t="shared" si="28"/>
        <v>3707275</v>
      </c>
      <c r="X460">
        <f t="shared" si="29"/>
        <v>742</v>
      </c>
      <c r="Y460">
        <f t="shared" si="30"/>
        <v>28892.115902964961</v>
      </c>
      <c r="Z460">
        <f t="shared" si="31"/>
        <v>55</v>
      </c>
    </row>
    <row r="461" spans="1:26" x14ac:dyDescent="0.25">
      <c r="A461" s="9" t="s">
        <v>564</v>
      </c>
      <c r="B461" s="10">
        <v>48845</v>
      </c>
      <c r="C461" s="11" t="s">
        <v>124</v>
      </c>
      <c r="D461" s="11" t="s">
        <v>100</v>
      </c>
      <c r="E461" s="11">
        <v>32</v>
      </c>
      <c r="F461" s="11" t="s">
        <v>38</v>
      </c>
      <c r="G461" s="11" t="s">
        <v>78</v>
      </c>
      <c r="H461" s="11" t="s">
        <v>26</v>
      </c>
      <c r="I461" s="11" t="s">
        <v>27</v>
      </c>
      <c r="J461" s="11" t="s">
        <v>28</v>
      </c>
      <c r="K461" s="11" t="s">
        <v>29</v>
      </c>
      <c r="L461" s="11" t="s">
        <v>53</v>
      </c>
      <c r="M461" s="11" t="s">
        <v>79</v>
      </c>
      <c r="N461" s="11">
        <v>3350</v>
      </c>
      <c r="O461" s="11">
        <v>7</v>
      </c>
      <c r="P461" s="17">
        <v>0</v>
      </c>
      <c r="Q461" s="11">
        <v>1000</v>
      </c>
      <c r="R461" s="11" t="s">
        <v>32</v>
      </c>
      <c r="S461" s="11" t="s">
        <v>33</v>
      </c>
      <c r="T461" s="11" t="s">
        <v>34</v>
      </c>
      <c r="U461" s="11">
        <v>4</v>
      </c>
      <c r="V461" s="11" t="str">
        <f>TEXT('E-Commerce Sales Data'!$B461,"mmmm")</f>
        <v>September</v>
      </c>
      <c r="W461" s="8">
        <f t="shared" si="28"/>
        <v>3706105</v>
      </c>
      <c r="X461">
        <f t="shared" si="29"/>
        <v>741</v>
      </c>
      <c r="Y461">
        <f t="shared" si="30"/>
        <v>28924.831309041834</v>
      </c>
      <c r="Z461">
        <f t="shared" si="31"/>
        <v>55</v>
      </c>
    </row>
    <row r="462" spans="1:26" x14ac:dyDescent="0.25">
      <c r="A462" s="5" t="s">
        <v>565</v>
      </c>
      <c r="B462" s="6">
        <v>48852</v>
      </c>
      <c r="C462" s="7" t="s">
        <v>22</v>
      </c>
      <c r="D462" s="7" t="s">
        <v>23</v>
      </c>
      <c r="E462" s="7">
        <v>28</v>
      </c>
      <c r="F462" s="7" t="s">
        <v>24</v>
      </c>
      <c r="G462" s="7" t="s">
        <v>25</v>
      </c>
      <c r="H462" s="7" t="s">
        <v>26</v>
      </c>
      <c r="I462" s="7" t="s">
        <v>27</v>
      </c>
      <c r="J462" s="7" t="s">
        <v>28</v>
      </c>
      <c r="K462" s="7" t="s">
        <v>29</v>
      </c>
      <c r="L462" s="7" t="s">
        <v>30</v>
      </c>
      <c r="M462" s="7" t="s">
        <v>31</v>
      </c>
      <c r="N462" s="7">
        <v>83500</v>
      </c>
      <c r="O462" s="7">
        <v>1</v>
      </c>
      <c r="P462" s="16">
        <v>0.05</v>
      </c>
      <c r="Q462" s="7">
        <v>11100</v>
      </c>
      <c r="R462" s="7" t="s">
        <v>32</v>
      </c>
      <c r="S462" s="7" t="s">
        <v>47</v>
      </c>
      <c r="T462" s="7" t="s">
        <v>34</v>
      </c>
      <c r="U462" s="7">
        <v>5</v>
      </c>
      <c r="V462" s="7" t="str">
        <f>TEXT('E-Commerce Sales Data'!$B462,"mmmm")</f>
        <v>September</v>
      </c>
      <c r="W462" s="8">
        <f t="shared" si="28"/>
        <v>3705105</v>
      </c>
      <c r="X462">
        <f t="shared" si="29"/>
        <v>740</v>
      </c>
      <c r="Y462">
        <f t="shared" si="30"/>
        <v>28959.391891891893</v>
      </c>
      <c r="Z462">
        <f t="shared" si="31"/>
        <v>55</v>
      </c>
    </row>
    <row r="463" spans="1:26" x14ac:dyDescent="0.25">
      <c r="A463" s="9" t="s">
        <v>566</v>
      </c>
      <c r="B463" s="10">
        <v>48859</v>
      </c>
      <c r="C463" s="11" t="s">
        <v>36</v>
      </c>
      <c r="D463" s="11" t="s">
        <v>37</v>
      </c>
      <c r="E463" s="11">
        <v>34</v>
      </c>
      <c r="F463" s="11" t="s">
        <v>38</v>
      </c>
      <c r="G463" s="11" t="s">
        <v>39</v>
      </c>
      <c r="H463" s="11" t="s">
        <v>40</v>
      </c>
      <c r="I463" s="11" t="s">
        <v>41</v>
      </c>
      <c r="J463" s="11" t="s">
        <v>42</v>
      </c>
      <c r="K463" s="11" t="s">
        <v>43</v>
      </c>
      <c r="L463" s="11" t="s">
        <v>44</v>
      </c>
      <c r="M463" s="11" t="s">
        <v>45</v>
      </c>
      <c r="N463" s="11">
        <v>12200</v>
      </c>
      <c r="O463" s="11">
        <v>3</v>
      </c>
      <c r="P463" s="17">
        <v>0.1</v>
      </c>
      <c r="Q463" s="11">
        <v>2800</v>
      </c>
      <c r="R463" s="11" t="s">
        <v>46</v>
      </c>
      <c r="S463" s="11" t="s">
        <v>33</v>
      </c>
      <c r="T463" s="11" t="s">
        <v>34</v>
      </c>
      <c r="U463" s="11">
        <v>4</v>
      </c>
      <c r="V463" s="11" t="str">
        <f>TEXT('E-Commerce Sales Data'!$B463,"mmmm")</f>
        <v>October</v>
      </c>
      <c r="W463" s="8">
        <f t="shared" si="28"/>
        <v>3694005</v>
      </c>
      <c r="X463">
        <f t="shared" si="29"/>
        <v>739</v>
      </c>
      <c r="Y463">
        <f t="shared" si="30"/>
        <v>28885.588633288226</v>
      </c>
      <c r="Z463">
        <f t="shared" si="31"/>
        <v>55</v>
      </c>
    </row>
    <row r="464" spans="1:26" x14ac:dyDescent="0.25">
      <c r="A464" s="5" t="s">
        <v>567</v>
      </c>
      <c r="B464" s="6">
        <v>48866</v>
      </c>
      <c r="C464" s="7" t="s">
        <v>49</v>
      </c>
      <c r="D464" s="7" t="s">
        <v>50</v>
      </c>
      <c r="E464" s="7">
        <v>41</v>
      </c>
      <c r="F464" s="7" t="s">
        <v>24</v>
      </c>
      <c r="G464" s="7" t="s">
        <v>51</v>
      </c>
      <c r="H464" s="7" t="s">
        <v>51</v>
      </c>
      <c r="I464" s="7" t="s">
        <v>52</v>
      </c>
      <c r="J464" s="7" t="s">
        <v>28</v>
      </c>
      <c r="K464" s="7" t="s">
        <v>29</v>
      </c>
      <c r="L464" s="7" t="s">
        <v>53</v>
      </c>
      <c r="M464" s="7" t="s">
        <v>54</v>
      </c>
      <c r="N464" s="7">
        <v>28500</v>
      </c>
      <c r="O464" s="7">
        <v>2</v>
      </c>
      <c r="P464" s="16">
        <v>0.05</v>
      </c>
      <c r="Q464" s="7">
        <v>5300</v>
      </c>
      <c r="R464" s="7" t="s">
        <v>55</v>
      </c>
      <c r="S464" s="7" t="s">
        <v>33</v>
      </c>
      <c r="T464" s="7" t="s">
        <v>34</v>
      </c>
      <c r="U464" s="7">
        <v>4</v>
      </c>
      <c r="V464" s="7" t="str">
        <f>TEXT('E-Commerce Sales Data'!$B464,"mmmm")</f>
        <v>October</v>
      </c>
      <c r="W464" s="8">
        <f t="shared" si="28"/>
        <v>3691205</v>
      </c>
      <c r="X464">
        <f t="shared" si="29"/>
        <v>738</v>
      </c>
      <c r="Y464">
        <f t="shared" si="30"/>
        <v>28908.197831978319</v>
      </c>
      <c r="Z464">
        <f t="shared" si="31"/>
        <v>55</v>
      </c>
    </row>
    <row r="465" spans="1:26" x14ac:dyDescent="0.25">
      <c r="A465" s="9" t="s">
        <v>568</v>
      </c>
      <c r="B465" s="10">
        <v>48873</v>
      </c>
      <c r="C465" s="11" t="s">
        <v>57</v>
      </c>
      <c r="D465" s="11" t="s">
        <v>58</v>
      </c>
      <c r="E465" s="11">
        <v>26</v>
      </c>
      <c r="F465" s="11" t="s">
        <v>38</v>
      </c>
      <c r="G465" s="11" t="s">
        <v>59</v>
      </c>
      <c r="H465" s="11" t="s">
        <v>26</v>
      </c>
      <c r="I465" s="11" t="s">
        <v>27</v>
      </c>
      <c r="J465" s="11" t="s">
        <v>28</v>
      </c>
      <c r="K465" s="11" t="s">
        <v>60</v>
      </c>
      <c r="L465" s="11" t="s">
        <v>61</v>
      </c>
      <c r="M465" s="11" t="s">
        <v>86</v>
      </c>
      <c r="N465" s="11">
        <v>830</v>
      </c>
      <c r="O465" s="11">
        <v>20</v>
      </c>
      <c r="P465" s="17">
        <v>0.02</v>
      </c>
      <c r="Q465" s="11">
        <v>240</v>
      </c>
      <c r="R465" s="11" t="s">
        <v>32</v>
      </c>
      <c r="S465" s="11" t="s">
        <v>33</v>
      </c>
      <c r="T465" s="11" t="s">
        <v>34</v>
      </c>
      <c r="U465" s="11">
        <v>5</v>
      </c>
      <c r="V465" s="11" t="str">
        <f>TEXT('E-Commerce Sales Data'!$B465,"mmmm")</f>
        <v>October</v>
      </c>
      <c r="W465" s="8">
        <f t="shared" si="28"/>
        <v>3685905</v>
      </c>
      <c r="X465">
        <f t="shared" si="29"/>
        <v>737</v>
      </c>
      <c r="Y465">
        <f t="shared" si="30"/>
        <v>28908.75169606513</v>
      </c>
      <c r="Z465">
        <f t="shared" si="31"/>
        <v>55</v>
      </c>
    </row>
    <row r="466" spans="1:26" x14ac:dyDescent="0.25">
      <c r="A466" s="5" t="s">
        <v>569</v>
      </c>
      <c r="B466" s="6">
        <v>48880</v>
      </c>
      <c r="C466" s="7" t="s">
        <v>64</v>
      </c>
      <c r="D466" s="7" t="s">
        <v>65</v>
      </c>
      <c r="E466" s="7">
        <v>39</v>
      </c>
      <c r="F466" s="7" t="s">
        <v>24</v>
      </c>
      <c r="G466" s="7" t="s">
        <v>66</v>
      </c>
      <c r="H466" s="7" t="s">
        <v>67</v>
      </c>
      <c r="I466" s="7" t="s">
        <v>27</v>
      </c>
      <c r="J466" s="7" t="s">
        <v>42</v>
      </c>
      <c r="K466" s="7" t="s">
        <v>43</v>
      </c>
      <c r="L466" s="7" t="s">
        <v>68</v>
      </c>
      <c r="M466" s="7" t="s">
        <v>69</v>
      </c>
      <c r="N466" s="7">
        <v>28600</v>
      </c>
      <c r="O466" s="7">
        <v>2</v>
      </c>
      <c r="P466" s="16">
        <v>0.08</v>
      </c>
      <c r="Q466" s="7">
        <v>4900</v>
      </c>
      <c r="R466" s="7" t="s">
        <v>46</v>
      </c>
      <c r="S466" s="7" t="s">
        <v>47</v>
      </c>
      <c r="T466" s="7" t="s">
        <v>34</v>
      </c>
      <c r="U466" s="7">
        <v>4</v>
      </c>
      <c r="V466" s="7" t="str">
        <f>TEXT('E-Commerce Sales Data'!$B466,"mmmm")</f>
        <v>October</v>
      </c>
      <c r="W466" s="8">
        <f t="shared" si="28"/>
        <v>3685665</v>
      </c>
      <c r="X466">
        <f t="shared" si="29"/>
        <v>736</v>
      </c>
      <c r="Y466">
        <f t="shared" si="30"/>
        <v>28946.902173913044</v>
      </c>
      <c r="Z466">
        <f t="shared" si="31"/>
        <v>55</v>
      </c>
    </row>
    <row r="467" spans="1:26" x14ac:dyDescent="0.25">
      <c r="A467" s="9" t="s">
        <v>570</v>
      </c>
      <c r="B467" s="10">
        <v>48887</v>
      </c>
      <c r="C467" s="11" t="s">
        <v>71</v>
      </c>
      <c r="D467" s="11" t="s">
        <v>72</v>
      </c>
      <c r="E467" s="11">
        <v>31</v>
      </c>
      <c r="F467" s="11" t="s">
        <v>38</v>
      </c>
      <c r="G467" s="11" t="s">
        <v>73</v>
      </c>
      <c r="H467" s="11" t="s">
        <v>74</v>
      </c>
      <c r="I467" s="11" t="s">
        <v>41</v>
      </c>
      <c r="J467" s="11" t="s">
        <v>28</v>
      </c>
      <c r="K467" s="11" t="s">
        <v>29</v>
      </c>
      <c r="L467" s="11" t="s">
        <v>53</v>
      </c>
      <c r="M467" s="11" t="s">
        <v>75</v>
      </c>
      <c r="N467" s="11">
        <v>4350</v>
      </c>
      <c r="O467" s="11">
        <v>3</v>
      </c>
      <c r="P467" s="17">
        <v>0.05</v>
      </c>
      <c r="Q467" s="11">
        <v>1110</v>
      </c>
      <c r="R467" s="11" t="s">
        <v>32</v>
      </c>
      <c r="S467" s="11" t="s">
        <v>33</v>
      </c>
      <c r="T467" s="11" t="s">
        <v>34</v>
      </c>
      <c r="U467" s="11">
        <v>4</v>
      </c>
      <c r="V467" s="11" t="str">
        <f>TEXT('E-Commerce Sales Data'!$B467,"mmmm")</f>
        <v>November</v>
      </c>
      <c r="W467" s="8">
        <f t="shared" si="28"/>
        <v>3680765</v>
      </c>
      <c r="X467">
        <f t="shared" si="29"/>
        <v>735</v>
      </c>
      <c r="Y467">
        <f t="shared" si="30"/>
        <v>28947.374149659863</v>
      </c>
      <c r="Z467">
        <f t="shared" si="31"/>
        <v>55</v>
      </c>
    </row>
    <row r="468" spans="1:26" x14ac:dyDescent="0.25">
      <c r="A468" s="5" t="s">
        <v>571</v>
      </c>
      <c r="B468" s="6">
        <v>48894</v>
      </c>
      <c r="C468" s="7" t="s">
        <v>77</v>
      </c>
      <c r="D468" s="7" t="s">
        <v>23</v>
      </c>
      <c r="E468" s="7">
        <v>29</v>
      </c>
      <c r="F468" s="7" t="s">
        <v>24</v>
      </c>
      <c r="G468" s="7" t="s">
        <v>78</v>
      </c>
      <c r="H468" s="7" t="s">
        <v>26</v>
      </c>
      <c r="I468" s="7" t="s">
        <v>27</v>
      </c>
      <c r="J468" s="7" t="s">
        <v>28</v>
      </c>
      <c r="K468" s="7" t="s">
        <v>29</v>
      </c>
      <c r="L468" s="7" t="s">
        <v>53</v>
      </c>
      <c r="M468" s="7" t="s">
        <v>79</v>
      </c>
      <c r="N468" s="7">
        <v>3450</v>
      </c>
      <c r="O468" s="7">
        <v>6</v>
      </c>
      <c r="P468" s="16">
        <v>0</v>
      </c>
      <c r="Q468" s="7">
        <v>1030</v>
      </c>
      <c r="R468" s="7" t="s">
        <v>80</v>
      </c>
      <c r="S468" s="7" t="s">
        <v>33</v>
      </c>
      <c r="T468" s="7" t="s">
        <v>34</v>
      </c>
      <c r="U468" s="7">
        <v>3</v>
      </c>
      <c r="V468" s="7" t="str">
        <f>TEXT('E-Commerce Sales Data'!$B468,"mmmm")</f>
        <v>November</v>
      </c>
      <c r="W468" s="8">
        <f t="shared" si="28"/>
        <v>3679655</v>
      </c>
      <c r="X468">
        <f t="shared" si="29"/>
        <v>734</v>
      </c>
      <c r="Y468">
        <f t="shared" si="30"/>
        <v>28980.885558583108</v>
      </c>
      <c r="Z468">
        <f t="shared" si="31"/>
        <v>55</v>
      </c>
    </row>
    <row r="469" spans="1:26" x14ac:dyDescent="0.25">
      <c r="A469" s="9" t="s">
        <v>572</v>
      </c>
      <c r="B469" s="10">
        <v>48901</v>
      </c>
      <c r="C469" s="11" t="s">
        <v>82</v>
      </c>
      <c r="D469" s="11" t="s">
        <v>83</v>
      </c>
      <c r="E469" s="11">
        <v>37</v>
      </c>
      <c r="F469" s="11" t="s">
        <v>38</v>
      </c>
      <c r="G469" s="11" t="s">
        <v>84</v>
      </c>
      <c r="H469" s="11" t="s">
        <v>85</v>
      </c>
      <c r="I469" s="11" t="s">
        <v>52</v>
      </c>
      <c r="J469" s="11" t="s">
        <v>42</v>
      </c>
      <c r="K469" s="11" t="s">
        <v>60</v>
      </c>
      <c r="L469" s="11" t="s">
        <v>61</v>
      </c>
      <c r="M469" s="11" t="s">
        <v>62</v>
      </c>
      <c r="N469" s="11">
        <v>6800</v>
      </c>
      <c r="O469" s="11">
        <v>10</v>
      </c>
      <c r="P469" s="17">
        <v>0.02</v>
      </c>
      <c r="Q469" s="11">
        <v>1680</v>
      </c>
      <c r="R469" s="11" t="s">
        <v>32</v>
      </c>
      <c r="S469" s="11" t="s">
        <v>33</v>
      </c>
      <c r="T469" s="11" t="s">
        <v>34</v>
      </c>
      <c r="U469" s="11">
        <v>5</v>
      </c>
      <c r="V469" s="11" t="str">
        <f>TEXT('E-Commerce Sales Data'!$B469,"mmmm")</f>
        <v>November</v>
      </c>
      <c r="W469" s="8">
        <f t="shared" si="28"/>
        <v>3678625</v>
      </c>
      <c r="X469">
        <f t="shared" si="29"/>
        <v>733</v>
      </c>
      <c r="Y469">
        <f t="shared" si="30"/>
        <v>29015.716234652115</v>
      </c>
      <c r="Z469">
        <f t="shared" si="31"/>
        <v>55</v>
      </c>
    </row>
    <row r="470" spans="1:26" x14ac:dyDescent="0.25">
      <c r="A470" s="5" t="s">
        <v>573</v>
      </c>
      <c r="B470" s="6">
        <v>48908</v>
      </c>
      <c r="C470" s="7" t="s">
        <v>88</v>
      </c>
      <c r="D470" s="7" t="s">
        <v>37</v>
      </c>
      <c r="E470" s="7">
        <v>45</v>
      </c>
      <c r="F470" s="7" t="s">
        <v>24</v>
      </c>
      <c r="G470" s="7" t="s">
        <v>89</v>
      </c>
      <c r="H470" s="7" t="s">
        <v>90</v>
      </c>
      <c r="I470" s="7" t="s">
        <v>91</v>
      </c>
      <c r="J470" s="7" t="s">
        <v>42</v>
      </c>
      <c r="K470" s="7" t="s">
        <v>43</v>
      </c>
      <c r="L470" s="7" t="s">
        <v>92</v>
      </c>
      <c r="M470" s="7" t="s">
        <v>93</v>
      </c>
      <c r="N470" s="7">
        <v>19400</v>
      </c>
      <c r="O470" s="7">
        <v>1</v>
      </c>
      <c r="P470" s="16">
        <v>0.1</v>
      </c>
      <c r="Q470" s="7">
        <v>3420</v>
      </c>
      <c r="R470" s="7" t="s">
        <v>46</v>
      </c>
      <c r="S470" s="7" t="s">
        <v>47</v>
      </c>
      <c r="T470" s="7" t="s">
        <v>34</v>
      </c>
      <c r="U470" s="7">
        <v>4</v>
      </c>
      <c r="V470" s="7" t="str">
        <f>TEXT('E-Commerce Sales Data'!$B470,"mmmm")</f>
        <v>November</v>
      </c>
      <c r="W470" s="8">
        <f t="shared" si="28"/>
        <v>3676945</v>
      </c>
      <c r="X470">
        <f t="shared" si="29"/>
        <v>732</v>
      </c>
      <c r="Y470">
        <f t="shared" si="30"/>
        <v>29046.065573770491</v>
      </c>
      <c r="Z470">
        <f t="shared" si="31"/>
        <v>55</v>
      </c>
    </row>
    <row r="471" spans="1:26" x14ac:dyDescent="0.25">
      <c r="A471" s="9" t="s">
        <v>574</v>
      </c>
      <c r="B471" s="10">
        <v>48915</v>
      </c>
      <c r="C471" s="11" t="s">
        <v>95</v>
      </c>
      <c r="D471" s="11" t="s">
        <v>65</v>
      </c>
      <c r="E471" s="11">
        <v>25</v>
      </c>
      <c r="F471" s="11" t="s">
        <v>38</v>
      </c>
      <c r="G471" s="11" t="s">
        <v>25</v>
      </c>
      <c r="H471" s="11" t="s">
        <v>26</v>
      </c>
      <c r="I471" s="11" t="s">
        <v>27</v>
      </c>
      <c r="J471" s="11" t="s">
        <v>28</v>
      </c>
      <c r="K471" s="11" t="s">
        <v>29</v>
      </c>
      <c r="L471" s="11" t="s">
        <v>96</v>
      </c>
      <c r="M471" s="11" t="s">
        <v>97</v>
      </c>
      <c r="N471" s="11">
        <v>21600</v>
      </c>
      <c r="O471" s="11">
        <v>2</v>
      </c>
      <c r="P471" s="17">
        <v>0.05</v>
      </c>
      <c r="Q471" s="11">
        <v>4180</v>
      </c>
      <c r="R471" s="11" t="s">
        <v>32</v>
      </c>
      <c r="S471" s="11" t="s">
        <v>33</v>
      </c>
      <c r="T471" s="11" t="s">
        <v>34</v>
      </c>
      <c r="U471" s="11">
        <v>4</v>
      </c>
      <c r="V471" s="11" t="str">
        <f>TEXT('E-Commerce Sales Data'!$B471,"mmmm")</f>
        <v>December</v>
      </c>
      <c r="W471" s="8">
        <f t="shared" si="28"/>
        <v>3673525</v>
      </c>
      <c r="X471">
        <f t="shared" si="29"/>
        <v>731</v>
      </c>
      <c r="Y471">
        <f t="shared" si="30"/>
        <v>29059.261285909713</v>
      </c>
      <c r="Z471">
        <f t="shared" si="31"/>
        <v>55</v>
      </c>
    </row>
    <row r="472" spans="1:26" x14ac:dyDescent="0.25">
      <c r="A472" s="5" t="s">
        <v>575</v>
      </c>
      <c r="B472" s="6">
        <v>48922</v>
      </c>
      <c r="C472" s="7" t="s">
        <v>99</v>
      </c>
      <c r="D472" s="7" t="s">
        <v>100</v>
      </c>
      <c r="E472" s="7">
        <v>33</v>
      </c>
      <c r="F472" s="7" t="s">
        <v>24</v>
      </c>
      <c r="G472" s="7" t="s">
        <v>101</v>
      </c>
      <c r="H472" s="7" t="s">
        <v>102</v>
      </c>
      <c r="I472" s="7" t="s">
        <v>41</v>
      </c>
      <c r="J472" s="7" t="s">
        <v>28</v>
      </c>
      <c r="K472" s="7" t="s">
        <v>60</v>
      </c>
      <c r="L472" s="7" t="s">
        <v>53</v>
      </c>
      <c r="M472" s="7" t="s">
        <v>103</v>
      </c>
      <c r="N472" s="7">
        <v>1200</v>
      </c>
      <c r="O472" s="7">
        <v>25</v>
      </c>
      <c r="P472" s="16">
        <v>0</v>
      </c>
      <c r="Q472" s="7">
        <v>370</v>
      </c>
      <c r="R472" s="7" t="s">
        <v>55</v>
      </c>
      <c r="S472" s="7" t="s">
        <v>33</v>
      </c>
      <c r="T472" s="7" t="s">
        <v>34</v>
      </c>
      <c r="U472" s="7">
        <v>5</v>
      </c>
      <c r="V472" s="7" t="str">
        <f>TEXT('E-Commerce Sales Data'!$B472,"mmmm")</f>
        <v>December</v>
      </c>
      <c r="W472" s="8">
        <f t="shared" si="28"/>
        <v>3669345</v>
      </c>
      <c r="X472">
        <f t="shared" si="29"/>
        <v>730</v>
      </c>
      <c r="Y472">
        <f t="shared" si="30"/>
        <v>29069.479452054795</v>
      </c>
      <c r="Z472">
        <f t="shared" si="31"/>
        <v>55</v>
      </c>
    </row>
    <row r="473" spans="1:26" x14ac:dyDescent="0.25">
      <c r="A473" s="9" t="s">
        <v>576</v>
      </c>
      <c r="B473" s="10">
        <v>48929</v>
      </c>
      <c r="C473" s="11" t="s">
        <v>105</v>
      </c>
      <c r="D473" s="11" t="s">
        <v>58</v>
      </c>
      <c r="E473" s="11">
        <v>42</v>
      </c>
      <c r="F473" s="11" t="s">
        <v>38</v>
      </c>
      <c r="G473" s="11" t="s">
        <v>51</v>
      </c>
      <c r="H473" s="11" t="s">
        <v>51</v>
      </c>
      <c r="I473" s="11" t="s">
        <v>52</v>
      </c>
      <c r="J473" s="11" t="s">
        <v>42</v>
      </c>
      <c r="K473" s="11" t="s">
        <v>43</v>
      </c>
      <c r="L473" s="11" t="s">
        <v>68</v>
      </c>
      <c r="M473" s="11" t="s">
        <v>106</v>
      </c>
      <c r="N473" s="11">
        <v>32000</v>
      </c>
      <c r="O473" s="11">
        <v>1</v>
      </c>
      <c r="P473" s="17">
        <v>0.08</v>
      </c>
      <c r="Q473" s="11">
        <v>6500</v>
      </c>
      <c r="R473" s="11" t="s">
        <v>46</v>
      </c>
      <c r="S473" s="11" t="s">
        <v>47</v>
      </c>
      <c r="T473" s="11" t="s">
        <v>34</v>
      </c>
      <c r="U473" s="11">
        <v>4</v>
      </c>
      <c r="V473" s="11" t="str">
        <f>TEXT('E-Commerce Sales Data'!$B473,"mmmm")</f>
        <v>December</v>
      </c>
      <c r="W473" s="8">
        <f t="shared" si="28"/>
        <v>3668975</v>
      </c>
      <c r="X473">
        <f t="shared" si="29"/>
        <v>729</v>
      </c>
      <c r="Y473">
        <f t="shared" si="30"/>
        <v>29107.709190672154</v>
      </c>
      <c r="Z473">
        <f t="shared" si="31"/>
        <v>55</v>
      </c>
    </row>
    <row r="474" spans="1:26" x14ac:dyDescent="0.25">
      <c r="A474" s="5" t="s">
        <v>577</v>
      </c>
      <c r="B474" s="6">
        <v>48936</v>
      </c>
      <c r="C474" s="7" t="s">
        <v>108</v>
      </c>
      <c r="D474" s="7" t="s">
        <v>23</v>
      </c>
      <c r="E474" s="7">
        <v>30</v>
      </c>
      <c r="F474" s="7" t="s">
        <v>24</v>
      </c>
      <c r="G474" s="7" t="s">
        <v>59</v>
      </c>
      <c r="H474" s="7" t="s">
        <v>26</v>
      </c>
      <c r="I474" s="7" t="s">
        <v>27</v>
      </c>
      <c r="J474" s="7" t="s">
        <v>28</v>
      </c>
      <c r="K474" s="7" t="s">
        <v>29</v>
      </c>
      <c r="L474" s="7" t="s">
        <v>30</v>
      </c>
      <c r="M474" s="7" t="s">
        <v>31</v>
      </c>
      <c r="N474" s="7">
        <v>89000</v>
      </c>
      <c r="O474" s="7">
        <v>1</v>
      </c>
      <c r="P474" s="16">
        <v>0.1</v>
      </c>
      <c r="Q474" s="7">
        <v>10200</v>
      </c>
      <c r="R474" s="7" t="s">
        <v>32</v>
      </c>
      <c r="S474" s="7" t="s">
        <v>47</v>
      </c>
      <c r="T474" s="7" t="s">
        <v>34</v>
      </c>
      <c r="U474" s="7">
        <v>5</v>
      </c>
      <c r="V474" s="7" t="str">
        <f>TEXT('E-Commerce Sales Data'!$B474,"mmmm")</f>
        <v>December</v>
      </c>
      <c r="W474" s="8">
        <f t="shared" si="28"/>
        <v>3662475</v>
      </c>
      <c r="X474">
        <f t="shared" si="29"/>
        <v>728</v>
      </c>
      <c r="Y474">
        <f t="shared" si="30"/>
        <v>29103.736263736264</v>
      </c>
      <c r="Z474">
        <f t="shared" si="31"/>
        <v>55</v>
      </c>
    </row>
    <row r="475" spans="1:26" x14ac:dyDescent="0.25">
      <c r="A475" s="9" t="s">
        <v>578</v>
      </c>
      <c r="B475" s="10">
        <v>48943</v>
      </c>
      <c r="C475" s="11" t="s">
        <v>110</v>
      </c>
      <c r="D475" s="11" t="s">
        <v>37</v>
      </c>
      <c r="E475" s="11">
        <v>36</v>
      </c>
      <c r="F475" s="11" t="s">
        <v>38</v>
      </c>
      <c r="G475" s="11" t="s">
        <v>66</v>
      </c>
      <c r="H475" s="11" t="s">
        <v>67</v>
      </c>
      <c r="I475" s="11" t="s">
        <v>27</v>
      </c>
      <c r="J475" s="11" t="s">
        <v>28</v>
      </c>
      <c r="K475" s="11" t="s">
        <v>60</v>
      </c>
      <c r="L475" s="11" t="s">
        <v>92</v>
      </c>
      <c r="M475" s="11" t="s">
        <v>111</v>
      </c>
      <c r="N475" s="11">
        <v>1560</v>
      </c>
      <c r="O475" s="11">
        <v>15</v>
      </c>
      <c r="P475" s="17">
        <v>0.05</v>
      </c>
      <c r="Q475" s="11">
        <v>480</v>
      </c>
      <c r="R475" s="11" t="s">
        <v>80</v>
      </c>
      <c r="S475" s="11" t="s">
        <v>33</v>
      </c>
      <c r="T475" s="11" t="s">
        <v>34</v>
      </c>
      <c r="U475" s="11">
        <v>4</v>
      </c>
      <c r="V475" s="11" t="str">
        <f>TEXT('E-Commerce Sales Data'!$B475,"mmmm")</f>
        <v>December</v>
      </c>
      <c r="W475" s="8">
        <f t="shared" si="28"/>
        <v>3652275</v>
      </c>
      <c r="X475">
        <f t="shared" si="29"/>
        <v>727</v>
      </c>
      <c r="Y475">
        <f t="shared" si="30"/>
        <v>29021.348005502063</v>
      </c>
      <c r="Z475">
        <f t="shared" si="31"/>
        <v>55</v>
      </c>
    </row>
    <row r="476" spans="1:26" x14ac:dyDescent="0.25">
      <c r="A476" s="5" t="s">
        <v>579</v>
      </c>
      <c r="B476" s="6">
        <v>48950</v>
      </c>
      <c r="C476" s="7" t="s">
        <v>113</v>
      </c>
      <c r="D476" s="7" t="s">
        <v>114</v>
      </c>
      <c r="E476" s="7">
        <v>40</v>
      </c>
      <c r="F476" s="7" t="s">
        <v>24</v>
      </c>
      <c r="G476" s="7" t="s">
        <v>73</v>
      </c>
      <c r="H476" s="7" t="s">
        <v>74</v>
      </c>
      <c r="I476" s="7" t="s">
        <v>41</v>
      </c>
      <c r="J476" s="7" t="s">
        <v>42</v>
      </c>
      <c r="K476" s="7" t="s">
        <v>43</v>
      </c>
      <c r="L476" s="7" t="s">
        <v>44</v>
      </c>
      <c r="M476" s="7" t="s">
        <v>45</v>
      </c>
      <c r="N476" s="7">
        <v>14800</v>
      </c>
      <c r="O476" s="7">
        <v>4</v>
      </c>
      <c r="P476" s="16">
        <v>7.0000000000000007E-2</v>
      </c>
      <c r="Q476" s="7">
        <v>3300</v>
      </c>
      <c r="R476" s="7" t="s">
        <v>46</v>
      </c>
      <c r="S476" s="7" t="s">
        <v>33</v>
      </c>
      <c r="T476" s="7" t="s">
        <v>34</v>
      </c>
      <c r="U476" s="7">
        <v>4</v>
      </c>
      <c r="V476" s="7" t="str">
        <f>TEXT('E-Commerce Sales Data'!$B476,"mmmm")</f>
        <v>January</v>
      </c>
      <c r="W476" s="8">
        <f t="shared" si="28"/>
        <v>3651795</v>
      </c>
      <c r="X476">
        <f t="shared" si="29"/>
        <v>726</v>
      </c>
      <c r="Y476">
        <f t="shared" si="30"/>
        <v>29059.173553719007</v>
      </c>
      <c r="Z476">
        <f t="shared" si="31"/>
        <v>55</v>
      </c>
    </row>
    <row r="477" spans="1:26" x14ac:dyDescent="0.25">
      <c r="A477" s="9" t="s">
        <v>580</v>
      </c>
      <c r="B477" s="10">
        <v>48957</v>
      </c>
      <c r="C477" s="11" t="s">
        <v>116</v>
      </c>
      <c r="D477" s="11" t="s">
        <v>83</v>
      </c>
      <c r="E477" s="11">
        <v>27</v>
      </c>
      <c r="F477" s="11" t="s">
        <v>38</v>
      </c>
      <c r="G477" s="11" t="s">
        <v>39</v>
      </c>
      <c r="H477" s="11" t="s">
        <v>40</v>
      </c>
      <c r="I477" s="11" t="s">
        <v>41</v>
      </c>
      <c r="J477" s="11" t="s">
        <v>28</v>
      </c>
      <c r="K477" s="11" t="s">
        <v>29</v>
      </c>
      <c r="L477" s="11" t="s">
        <v>53</v>
      </c>
      <c r="M477" s="11" t="s">
        <v>54</v>
      </c>
      <c r="N477" s="11">
        <v>31300</v>
      </c>
      <c r="O477" s="11">
        <v>2</v>
      </c>
      <c r="P477" s="17">
        <v>0.05</v>
      </c>
      <c r="Q477" s="11">
        <v>5900</v>
      </c>
      <c r="R477" s="11" t="s">
        <v>32</v>
      </c>
      <c r="S477" s="11" t="s">
        <v>47</v>
      </c>
      <c r="T477" s="11" t="s">
        <v>34</v>
      </c>
      <c r="U477" s="11">
        <v>5</v>
      </c>
      <c r="V477" s="11" t="str">
        <f>TEXT('E-Commerce Sales Data'!$B477,"mmmm")</f>
        <v>January</v>
      </c>
      <c r="W477" s="8">
        <f t="shared" si="28"/>
        <v>3648495</v>
      </c>
      <c r="X477">
        <f t="shared" si="29"/>
        <v>725</v>
      </c>
      <c r="Y477">
        <f t="shared" si="30"/>
        <v>29078.841379310346</v>
      </c>
      <c r="Z477">
        <f t="shared" si="31"/>
        <v>55</v>
      </c>
    </row>
    <row r="478" spans="1:26" x14ac:dyDescent="0.25">
      <c r="A478" s="5" t="s">
        <v>581</v>
      </c>
      <c r="B478" s="6">
        <v>48964</v>
      </c>
      <c r="C478" s="7" t="s">
        <v>118</v>
      </c>
      <c r="D478" s="7" t="s">
        <v>72</v>
      </c>
      <c r="E478" s="7">
        <v>35</v>
      </c>
      <c r="F478" s="7" t="s">
        <v>24</v>
      </c>
      <c r="G478" s="7" t="s">
        <v>84</v>
      </c>
      <c r="H478" s="7" t="s">
        <v>85</v>
      </c>
      <c r="I478" s="7" t="s">
        <v>52</v>
      </c>
      <c r="J478" s="7" t="s">
        <v>42</v>
      </c>
      <c r="K478" s="7" t="s">
        <v>60</v>
      </c>
      <c r="L478" s="7" t="s">
        <v>61</v>
      </c>
      <c r="M478" s="7" t="s">
        <v>62</v>
      </c>
      <c r="N478" s="7">
        <v>6900</v>
      </c>
      <c r="O478" s="7">
        <v>10</v>
      </c>
      <c r="P478" s="16">
        <v>0.03</v>
      </c>
      <c r="Q478" s="7">
        <v>1710</v>
      </c>
      <c r="R478" s="7" t="s">
        <v>55</v>
      </c>
      <c r="S478" s="7" t="s">
        <v>33</v>
      </c>
      <c r="T478" s="7" t="s">
        <v>34</v>
      </c>
      <c r="U478" s="7">
        <v>4</v>
      </c>
      <c r="V478" s="7" t="str">
        <f>TEXT('E-Commerce Sales Data'!$B478,"mmmm")</f>
        <v>January</v>
      </c>
      <c r="W478" s="8">
        <f t="shared" si="28"/>
        <v>3642595</v>
      </c>
      <c r="X478">
        <f t="shared" si="29"/>
        <v>724</v>
      </c>
      <c r="Y478">
        <f t="shared" si="30"/>
        <v>29075.773480662985</v>
      </c>
      <c r="Z478">
        <f t="shared" si="31"/>
        <v>55</v>
      </c>
    </row>
    <row r="479" spans="1:26" x14ac:dyDescent="0.25">
      <c r="A479" s="9" t="s">
        <v>582</v>
      </c>
      <c r="B479" s="10">
        <v>48971</v>
      </c>
      <c r="C479" s="11" t="s">
        <v>120</v>
      </c>
      <c r="D479" s="11" t="s">
        <v>23</v>
      </c>
      <c r="E479" s="11">
        <v>24</v>
      </c>
      <c r="F479" s="11" t="s">
        <v>38</v>
      </c>
      <c r="G479" s="11" t="s">
        <v>25</v>
      </c>
      <c r="H479" s="11" t="s">
        <v>26</v>
      </c>
      <c r="I479" s="11" t="s">
        <v>27</v>
      </c>
      <c r="J479" s="11" t="s">
        <v>28</v>
      </c>
      <c r="K479" s="11" t="s">
        <v>43</v>
      </c>
      <c r="L479" s="11" t="s">
        <v>68</v>
      </c>
      <c r="M479" s="11" t="s">
        <v>69</v>
      </c>
      <c r="N479" s="11">
        <v>28600</v>
      </c>
      <c r="O479" s="11">
        <v>2</v>
      </c>
      <c r="P479" s="17">
        <v>0.1</v>
      </c>
      <c r="Q479" s="11">
        <v>4560</v>
      </c>
      <c r="R479" s="11" t="s">
        <v>32</v>
      </c>
      <c r="S479" s="11" t="s">
        <v>47</v>
      </c>
      <c r="T479" s="11" t="s">
        <v>34</v>
      </c>
      <c r="U479" s="11">
        <v>5</v>
      </c>
      <c r="V479" s="11" t="str">
        <f>TEXT('E-Commerce Sales Data'!$B479,"mmmm")</f>
        <v>January</v>
      </c>
      <c r="W479" s="8">
        <f t="shared" si="28"/>
        <v>3640885</v>
      </c>
      <c r="X479">
        <f t="shared" si="29"/>
        <v>723</v>
      </c>
      <c r="Y479">
        <f t="shared" si="30"/>
        <v>29106.445366528354</v>
      </c>
      <c r="Z479">
        <f t="shared" si="31"/>
        <v>55</v>
      </c>
    </row>
    <row r="480" spans="1:26" x14ac:dyDescent="0.25">
      <c r="A480" s="5" t="s">
        <v>583</v>
      </c>
      <c r="B480" s="6">
        <v>48978</v>
      </c>
      <c r="C480" s="7" t="s">
        <v>122</v>
      </c>
      <c r="D480" s="7" t="s">
        <v>50</v>
      </c>
      <c r="E480" s="7">
        <v>43</v>
      </c>
      <c r="F480" s="7" t="s">
        <v>24</v>
      </c>
      <c r="G480" s="7" t="s">
        <v>101</v>
      </c>
      <c r="H480" s="7" t="s">
        <v>102</v>
      </c>
      <c r="I480" s="7" t="s">
        <v>41</v>
      </c>
      <c r="J480" s="7" t="s">
        <v>42</v>
      </c>
      <c r="K480" s="7" t="s">
        <v>29</v>
      </c>
      <c r="L480" s="7" t="s">
        <v>53</v>
      </c>
      <c r="M480" s="7" t="s">
        <v>75</v>
      </c>
      <c r="N480" s="7">
        <v>4750</v>
      </c>
      <c r="O480" s="7">
        <v>4</v>
      </c>
      <c r="P480" s="16">
        <v>0.05</v>
      </c>
      <c r="Q480" s="7">
        <v>1200</v>
      </c>
      <c r="R480" s="7" t="s">
        <v>46</v>
      </c>
      <c r="S480" s="7" t="s">
        <v>33</v>
      </c>
      <c r="T480" s="7" t="s">
        <v>34</v>
      </c>
      <c r="U480" s="7">
        <v>3</v>
      </c>
      <c r="V480" s="7" t="str">
        <f>TEXT('E-Commerce Sales Data'!$B480,"mmmm")</f>
        <v>February</v>
      </c>
      <c r="W480" s="8">
        <f t="shared" si="28"/>
        <v>3636325</v>
      </c>
      <c r="X480">
        <f t="shared" si="29"/>
        <v>722</v>
      </c>
      <c r="Y480">
        <f t="shared" si="30"/>
        <v>29107.146814404434</v>
      </c>
      <c r="Z480">
        <f t="shared" si="31"/>
        <v>55</v>
      </c>
    </row>
    <row r="481" spans="1:26" x14ac:dyDescent="0.25">
      <c r="A481" s="9" t="s">
        <v>584</v>
      </c>
      <c r="B481" s="10">
        <v>48985</v>
      </c>
      <c r="C481" s="11" t="s">
        <v>124</v>
      </c>
      <c r="D481" s="11" t="s">
        <v>100</v>
      </c>
      <c r="E481" s="11">
        <v>32</v>
      </c>
      <c r="F481" s="11" t="s">
        <v>38</v>
      </c>
      <c r="G481" s="11" t="s">
        <v>78</v>
      </c>
      <c r="H481" s="11" t="s">
        <v>26</v>
      </c>
      <c r="I481" s="11" t="s">
        <v>27</v>
      </c>
      <c r="J481" s="11" t="s">
        <v>28</v>
      </c>
      <c r="K481" s="11" t="s">
        <v>29</v>
      </c>
      <c r="L481" s="11" t="s">
        <v>53</v>
      </c>
      <c r="M481" s="11" t="s">
        <v>79</v>
      </c>
      <c r="N481" s="11">
        <v>3500</v>
      </c>
      <c r="O481" s="11">
        <v>7</v>
      </c>
      <c r="P481" s="17">
        <v>0</v>
      </c>
      <c r="Q481" s="11">
        <v>1050</v>
      </c>
      <c r="R481" s="11" t="s">
        <v>32</v>
      </c>
      <c r="S481" s="11" t="s">
        <v>33</v>
      </c>
      <c r="T481" s="11" t="s">
        <v>34</v>
      </c>
      <c r="U481" s="11">
        <v>4</v>
      </c>
      <c r="V481" s="11" t="str">
        <f>TEXT('E-Commerce Sales Data'!$B481,"mmmm")</f>
        <v>February</v>
      </c>
      <c r="W481" s="8">
        <f t="shared" si="28"/>
        <v>3635125</v>
      </c>
      <c r="X481">
        <f t="shared" si="29"/>
        <v>721</v>
      </c>
      <c r="Y481">
        <f t="shared" si="30"/>
        <v>29140.929264909846</v>
      </c>
      <c r="Z481">
        <f t="shared" si="31"/>
        <v>55</v>
      </c>
    </row>
    <row r="482" spans="1:26" x14ac:dyDescent="0.25">
      <c r="A482" s="5" t="s">
        <v>585</v>
      </c>
      <c r="B482" s="6">
        <v>48992</v>
      </c>
      <c r="C482" s="7" t="s">
        <v>22</v>
      </c>
      <c r="D482" s="7" t="s">
        <v>23</v>
      </c>
      <c r="E482" s="7">
        <v>28</v>
      </c>
      <c r="F482" s="7" t="s">
        <v>24</v>
      </c>
      <c r="G482" s="7" t="s">
        <v>25</v>
      </c>
      <c r="H482" s="7" t="s">
        <v>26</v>
      </c>
      <c r="I482" s="7" t="s">
        <v>27</v>
      </c>
      <c r="J482" s="7" t="s">
        <v>28</v>
      </c>
      <c r="K482" s="7" t="s">
        <v>29</v>
      </c>
      <c r="L482" s="7" t="s">
        <v>30</v>
      </c>
      <c r="M482" s="7" t="s">
        <v>31</v>
      </c>
      <c r="N482" s="7">
        <v>85000</v>
      </c>
      <c r="O482" s="7">
        <v>1</v>
      </c>
      <c r="P482" s="16">
        <v>0.05</v>
      </c>
      <c r="Q482" s="7">
        <v>11300</v>
      </c>
      <c r="R482" s="7" t="s">
        <v>32</v>
      </c>
      <c r="S482" s="7" t="s">
        <v>47</v>
      </c>
      <c r="T482" s="7" t="s">
        <v>34</v>
      </c>
      <c r="U482" s="7">
        <v>5</v>
      </c>
      <c r="V482" s="7" t="str">
        <f>TEXT('E-Commerce Sales Data'!$B482,"mmmm")</f>
        <v>February</v>
      </c>
      <c r="W482" s="8">
        <f t="shared" si="28"/>
        <v>3634075</v>
      </c>
      <c r="X482">
        <f t="shared" si="29"/>
        <v>720</v>
      </c>
      <c r="Y482">
        <f t="shared" si="30"/>
        <v>29176.541666666668</v>
      </c>
      <c r="Z482">
        <f t="shared" si="31"/>
        <v>55</v>
      </c>
    </row>
    <row r="483" spans="1:26" x14ac:dyDescent="0.25">
      <c r="A483" s="9" t="s">
        <v>586</v>
      </c>
      <c r="B483" s="10">
        <v>48999</v>
      </c>
      <c r="C483" s="11" t="s">
        <v>36</v>
      </c>
      <c r="D483" s="11" t="s">
        <v>37</v>
      </c>
      <c r="E483" s="11">
        <v>34</v>
      </c>
      <c r="F483" s="11" t="s">
        <v>38</v>
      </c>
      <c r="G483" s="11" t="s">
        <v>39</v>
      </c>
      <c r="H483" s="11" t="s">
        <v>40</v>
      </c>
      <c r="I483" s="11" t="s">
        <v>41</v>
      </c>
      <c r="J483" s="11" t="s">
        <v>42</v>
      </c>
      <c r="K483" s="11" t="s">
        <v>43</v>
      </c>
      <c r="L483" s="11" t="s">
        <v>44</v>
      </c>
      <c r="M483" s="11" t="s">
        <v>45</v>
      </c>
      <c r="N483" s="11">
        <v>12500</v>
      </c>
      <c r="O483" s="11">
        <v>3</v>
      </c>
      <c r="P483" s="17">
        <v>0.1</v>
      </c>
      <c r="Q483" s="11">
        <v>2880</v>
      </c>
      <c r="R483" s="11" t="s">
        <v>46</v>
      </c>
      <c r="S483" s="11" t="s">
        <v>33</v>
      </c>
      <c r="T483" s="11" t="s">
        <v>34</v>
      </c>
      <c r="U483" s="11">
        <v>4</v>
      </c>
      <c r="V483" s="11" t="str">
        <f>TEXT('E-Commerce Sales Data'!$B483,"mmmm")</f>
        <v>February</v>
      </c>
      <c r="W483" s="8">
        <f t="shared" si="28"/>
        <v>3622775</v>
      </c>
      <c r="X483">
        <f t="shared" si="29"/>
        <v>719</v>
      </c>
      <c r="Y483">
        <f t="shared" si="30"/>
        <v>29098.901251738527</v>
      </c>
      <c r="Z483">
        <f t="shared" si="31"/>
        <v>55</v>
      </c>
    </row>
    <row r="484" spans="1:26" x14ac:dyDescent="0.25">
      <c r="A484" s="5" t="s">
        <v>587</v>
      </c>
      <c r="B484" s="6">
        <v>49006</v>
      </c>
      <c r="C484" s="7" t="s">
        <v>49</v>
      </c>
      <c r="D484" s="7" t="s">
        <v>50</v>
      </c>
      <c r="E484" s="7">
        <v>41</v>
      </c>
      <c r="F484" s="7" t="s">
        <v>24</v>
      </c>
      <c r="G484" s="7" t="s">
        <v>51</v>
      </c>
      <c r="H484" s="7" t="s">
        <v>51</v>
      </c>
      <c r="I484" s="7" t="s">
        <v>52</v>
      </c>
      <c r="J484" s="7" t="s">
        <v>28</v>
      </c>
      <c r="K484" s="7" t="s">
        <v>29</v>
      </c>
      <c r="L484" s="7" t="s">
        <v>53</v>
      </c>
      <c r="M484" s="7" t="s">
        <v>54</v>
      </c>
      <c r="N484" s="7">
        <v>29200</v>
      </c>
      <c r="O484" s="7">
        <v>2</v>
      </c>
      <c r="P484" s="16">
        <v>0.05</v>
      </c>
      <c r="Q484" s="7">
        <v>5450</v>
      </c>
      <c r="R484" s="7" t="s">
        <v>55</v>
      </c>
      <c r="S484" s="7" t="s">
        <v>33</v>
      </c>
      <c r="T484" s="7" t="s">
        <v>34</v>
      </c>
      <c r="U484" s="7">
        <v>4</v>
      </c>
      <c r="V484" s="7" t="str">
        <f>TEXT('E-Commerce Sales Data'!$B484,"mmmm")</f>
        <v>March</v>
      </c>
      <c r="W484" s="8">
        <f t="shared" si="28"/>
        <v>3619895</v>
      </c>
      <c r="X484">
        <f t="shared" si="29"/>
        <v>718</v>
      </c>
      <c r="Y484">
        <f t="shared" si="30"/>
        <v>29122.019498607242</v>
      </c>
      <c r="Z484">
        <f t="shared" si="31"/>
        <v>55</v>
      </c>
    </row>
    <row r="485" spans="1:26" x14ac:dyDescent="0.25">
      <c r="A485" s="9" t="s">
        <v>588</v>
      </c>
      <c r="B485" s="10">
        <v>49013</v>
      </c>
      <c r="C485" s="11" t="s">
        <v>57</v>
      </c>
      <c r="D485" s="11" t="s">
        <v>58</v>
      </c>
      <c r="E485" s="11">
        <v>26</v>
      </c>
      <c r="F485" s="11" t="s">
        <v>38</v>
      </c>
      <c r="G485" s="11" t="s">
        <v>59</v>
      </c>
      <c r="H485" s="11" t="s">
        <v>26</v>
      </c>
      <c r="I485" s="11" t="s">
        <v>27</v>
      </c>
      <c r="J485" s="11" t="s">
        <v>28</v>
      </c>
      <c r="K485" s="11" t="s">
        <v>60</v>
      </c>
      <c r="L485" s="11" t="s">
        <v>61</v>
      </c>
      <c r="M485" s="11" t="s">
        <v>86</v>
      </c>
      <c r="N485" s="11">
        <v>850</v>
      </c>
      <c r="O485" s="11">
        <v>20</v>
      </c>
      <c r="P485" s="17">
        <v>0.02</v>
      </c>
      <c r="Q485" s="11">
        <v>250</v>
      </c>
      <c r="R485" s="11" t="s">
        <v>32</v>
      </c>
      <c r="S485" s="11" t="s">
        <v>33</v>
      </c>
      <c r="T485" s="11" t="s">
        <v>34</v>
      </c>
      <c r="U485" s="11">
        <v>5</v>
      </c>
      <c r="V485" s="11" t="str">
        <f>TEXT('E-Commerce Sales Data'!$B485,"mmmm")</f>
        <v>March</v>
      </c>
      <c r="W485" s="8">
        <f t="shared" si="28"/>
        <v>3614445</v>
      </c>
      <c r="X485">
        <f t="shared" si="29"/>
        <v>717</v>
      </c>
      <c r="Y485">
        <f t="shared" si="30"/>
        <v>29121.910739191073</v>
      </c>
      <c r="Z485">
        <f t="shared" si="31"/>
        <v>55</v>
      </c>
    </row>
    <row r="486" spans="1:26" x14ac:dyDescent="0.25">
      <c r="A486" s="5" t="s">
        <v>589</v>
      </c>
      <c r="B486" s="6">
        <v>49020</v>
      </c>
      <c r="C486" s="7" t="s">
        <v>64</v>
      </c>
      <c r="D486" s="7" t="s">
        <v>65</v>
      </c>
      <c r="E486" s="7">
        <v>39</v>
      </c>
      <c r="F486" s="7" t="s">
        <v>24</v>
      </c>
      <c r="G486" s="7" t="s">
        <v>66</v>
      </c>
      <c r="H486" s="7" t="s">
        <v>67</v>
      </c>
      <c r="I486" s="7" t="s">
        <v>27</v>
      </c>
      <c r="J486" s="7" t="s">
        <v>42</v>
      </c>
      <c r="K486" s="7" t="s">
        <v>43</v>
      </c>
      <c r="L486" s="7" t="s">
        <v>68</v>
      </c>
      <c r="M486" s="7" t="s">
        <v>69</v>
      </c>
      <c r="N486" s="7">
        <v>29400</v>
      </c>
      <c r="O486" s="7">
        <v>2</v>
      </c>
      <c r="P486" s="16">
        <v>0.08</v>
      </c>
      <c r="Q486" s="7">
        <v>5040</v>
      </c>
      <c r="R486" s="7" t="s">
        <v>46</v>
      </c>
      <c r="S486" s="7" t="s">
        <v>47</v>
      </c>
      <c r="T486" s="7" t="s">
        <v>34</v>
      </c>
      <c r="U486" s="7">
        <v>4</v>
      </c>
      <c r="V486" s="7" t="str">
        <f>TEXT('E-Commerce Sales Data'!$B486,"mmmm")</f>
        <v>March</v>
      </c>
      <c r="W486" s="8">
        <f t="shared" si="28"/>
        <v>3614195</v>
      </c>
      <c r="X486">
        <f t="shared" si="29"/>
        <v>716</v>
      </c>
      <c r="Y486">
        <f t="shared" si="30"/>
        <v>29161.396648044694</v>
      </c>
      <c r="Z486">
        <f t="shared" si="31"/>
        <v>55</v>
      </c>
    </row>
    <row r="487" spans="1:26" x14ac:dyDescent="0.25">
      <c r="A487" s="9" t="s">
        <v>590</v>
      </c>
      <c r="B487" s="10">
        <v>49027</v>
      </c>
      <c r="C487" s="11" t="s">
        <v>71</v>
      </c>
      <c r="D487" s="11" t="s">
        <v>72</v>
      </c>
      <c r="E487" s="11">
        <v>31</v>
      </c>
      <c r="F487" s="11" t="s">
        <v>38</v>
      </c>
      <c r="G487" s="11" t="s">
        <v>73</v>
      </c>
      <c r="H487" s="11" t="s">
        <v>74</v>
      </c>
      <c r="I487" s="11" t="s">
        <v>41</v>
      </c>
      <c r="J487" s="11" t="s">
        <v>28</v>
      </c>
      <c r="K487" s="11" t="s">
        <v>29</v>
      </c>
      <c r="L487" s="11" t="s">
        <v>53</v>
      </c>
      <c r="M487" s="11" t="s">
        <v>75</v>
      </c>
      <c r="N487" s="11">
        <v>4450</v>
      </c>
      <c r="O487" s="11">
        <v>3</v>
      </c>
      <c r="P487" s="17">
        <v>0.05</v>
      </c>
      <c r="Q487" s="11">
        <v>1140</v>
      </c>
      <c r="R487" s="11" t="s">
        <v>32</v>
      </c>
      <c r="S487" s="11" t="s">
        <v>33</v>
      </c>
      <c r="T487" s="11" t="s">
        <v>34</v>
      </c>
      <c r="U487" s="11">
        <v>4</v>
      </c>
      <c r="V487" s="11" t="str">
        <f>TEXT('E-Commerce Sales Data'!$B487,"mmmm")</f>
        <v>March</v>
      </c>
      <c r="W487" s="8">
        <f t="shared" si="28"/>
        <v>3609155</v>
      </c>
      <c r="X487">
        <f t="shared" si="29"/>
        <v>715</v>
      </c>
      <c r="Y487">
        <f t="shared" si="30"/>
        <v>29161.062937062936</v>
      </c>
      <c r="Z487">
        <f t="shared" si="31"/>
        <v>55</v>
      </c>
    </row>
    <row r="488" spans="1:26" x14ac:dyDescent="0.25">
      <c r="A488" s="5" t="s">
        <v>591</v>
      </c>
      <c r="B488" s="6">
        <v>49034</v>
      </c>
      <c r="C488" s="7" t="s">
        <v>77</v>
      </c>
      <c r="D488" s="7" t="s">
        <v>23</v>
      </c>
      <c r="E488" s="7">
        <v>29</v>
      </c>
      <c r="F488" s="7" t="s">
        <v>24</v>
      </c>
      <c r="G488" s="7" t="s">
        <v>78</v>
      </c>
      <c r="H488" s="7" t="s">
        <v>26</v>
      </c>
      <c r="I488" s="7" t="s">
        <v>27</v>
      </c>
      <c r="J488" s="7" t="s">
        <v>28</v>
      </c>
      <c r="K488" s="7" t="s">
        <v>29</v>
      </c>
      <c r="L488" s="7" t="s">
        <v>53</v>
      </c>
      <c r="M488" s="7" t="s">
        <v>79</v>
      </c>
      <c r="N488" s="7">
        <v>3550</v>
      </c>
      <c r="O488" s="7">
        <v>6</v>
      </c>
      <c r="P488" s="16">
        <v>0</v>
      </c>
      <c r="Q488" s="7">
        <v>1060</v>
      </c>
      <c r="R488" s="7" t="s">
        <v>80</v>
      </c>
      <c r="S488" s="7" t="s">
        <v>33</v>
      </c>
      <c r="T488" s="7" t="s">
        <v>34</v>
      </c>
      <c r="U488" s="7">
        <v>3</v>
      </c>
      <c r="V488" s="7" t="str">
        <f>TEXT('E-Commerce Sales Data'!$B488,"mmmm")</f>
        <v>March</v>
      </c>
      <c r="W488" s="8">
        <f t="shared" si="28"/>
        <v>3608015</v>
      </c>
      <c r="X488">
        <f t="shared" si="29"/>
        <v>714</v>
      </c>
      <c r="Y488">
        <f t="shared" si="30"/>
        <v>29195.672268907561</v>
      </c>
      <c r="Z488">
        <f t="shared" si="31"/>
        <v>55</v>
      </c>
    </row>
    <row r="489" spans="1:26" x14ac:dyDescent="0.25">
      <c r="A489" s="9" t="s">
        <v>592</v>
      </c>
      <c r="B489" s="10">
        <v>49041</v>
      </c>
      <c r="C489" s="11" t="s">
        <v>82</v>
      </c>
      <c r="D489" s="11" t="s">
        <v>83</v>
      </c>
      <c r="E489" s="11">
        <v>37</v>
      </c>
      <c r="F489" s="11" t="s">
        <v>38</v>
      </c>
      <c r="G489" s="11" t="s">
        <v>84</v>
      </c>
      <c r="H489" s="11" t="s">
        <v>85</v>
      </c>
      <c r="I489" s="11" t="s">
        <v>52</v>
      </c>
      <c r="J489" s="11" t="s">
        <v>42</v>
      </c>
      <c r="K489" s="11" t="s">
        <v>60</v>
      </c>
      <c r="L489" s="11" t="s">
        <v>61</v>
      </c>
      <c r="M489" s="11" t="s">
        <v>62</v>
      </c>
      <c r="N489" s="11">
        <v>7000</v>
      </c>
      <c r="O489" s="11">
        <v>10</v>
      </c>
      <c r="P489" s="17">
        <v>0.02</v>
      </c>
      <c r="Q489" s="11">
        <v>1730</v>
      </c>
      <c r="R489" s="11" t="s">
        <v>32</v>
      </c>
      <c r="S489" s="11" t="s">
        <v>33</v>
      </c>
      <c r="T489" s="11" t="s">
        <v>34</v>
      </c>
      <c r="U489" s="11">
        <v>5</v>
      </c>
      <c r="V489" s="11" t="str">
        <f>TEXT('E-Commerce Sales Data'!$B489,"mmmm")</f>
        <v>April</v>
      </c>
      <c r="W489" s="8">
        <f t="shared" si="28"/>
        <v>3606955</v>
      </c>
      <c r="X489">
        <f t="shared" si="29"/>
        <v>713</v>
      </c>
      <c r="Y489">
        <f t="shared" si="30"/>
        <v>29231.640953716691</v>
      </c>
      <c r="Z489">
        <f t="shared" si="31"/>
        <v>55</v>
      </c>
    </row>
    <row r="490" spans="1:26" x14ac:dyDescent="0.25">
      <c r="A490" s="5" t="s">
        <v>593</v>
      </c>
      <c r="B490" s="6">
        <v>49048</v>
      </c>
      <c r="C490" s="7" t="s">
        <v>88</v>
      </c>
      <c r="D490" s="7" t="s">
        <v>37</v>
      </c>
      <c r="E490" s="7">
        <v>45</v>
      </c>
      <c r="F490" s="7" t="s">
        <v>24</v>
      </c>
      <c r="G490" s="7" t="s">
        <v>89</v>
      </c>
      <c r="H490" s="7" t="s">
        <v>90</v>
      </c>
      <c r="I490" s="7" t="s">
        <v>91</v>
      </c>
      <c r="J490" s="7" t="s">
        <v>42</v>
      </c>
      <c r="K490" s="7" t="s">
        <v>43</v>
      </c>
      <c r="L490" s="7" t="s">
        <v>92</v>
      </c>
      <c r="M490" s="7" t="s">
        <v>93</v>
      </c>
      <c r="N490" s="7">
        <v>19800</v>
      </c>
      <c r="O490" s="7">
        <v>1</v>
      </c>
      <c r="P490" s="16">
        <v>0.1</v>
      </c>
      <c r="Q490" s="7">
        <v>3500</v>
      </c>
      <c r="R490" s="7" t="s">
        <v>46</v>
      </c>
      <c r="S490" s="7" t="s">
        <v>47</v>
      </c>
      <c r="T490" s="7" t="s">
        <v>34</v>
      </c>
      <c r="U490" s="7">
        <v>4</v>
      </c>
      <c r="V490" s="7" t="str">
        <f>TEXT('E-Commerce Sales Data'!$B490,"mmmm")</f>
        <v>April</v>
      </c>
      <c r="W490" s="8">
        <f t="shared" si="28"/>
        <v>3605225</v>
      </c>
      <c r="X490">
        <f t="shared" si="29"/>
        <v>712</v>
      </c>
      <c r="Y490">
        <f t="shared" si="30"/>
        <v>29262.865168539327</v>
      </c>
      <c r="Z490">
        <f t="shared" si="31"/>
        <v>55</v>
      </c>
    </row>
    <row r="491" spans="1:26" x14ac:dyDescent="0.25">
      <c r="A491" s="9" t="s">
        <v>594</v>
      </c>
      <c r="B491" s="10">
        <v>49055</v>
      </c>
      <c r="C491" s="11" t="s">
        <v>95</v>
      </c>
      <c r="D491" s="11" t="s">
        <v>65</v>
      </c>
      <c r="E491" s="11">
        <v>25</v>
      </c>
      <c r="F491" s="11" t="s">
        <v>38</v>
      </c>
      <c r="G491" s="11" t="s">
        <v>25</v>
      </c>
      <c r="H491" s="11" t="s">
        <v>26</v>
      </c>
      <c r="I491" s="11" t="s">
        <v>27</v>
      </c>
      <c r="J491" s="11" t="s">
        <v>28</v>
      </c>
      <c r="K491" s="11" t="s">
        <v>29</v>
      </c>
      <c r="L491" s="11" t="s">
        <v>96</v>
      </c>
      <c r="M491" s="11" t="s">
        <v>97</v>
      </c>
      <c r="N491" s="11">
        <v>22000</v>
      </c>
      <c r="O491" s="11">
        <v>2</v>
      </c>
      <c r="P491" s="17">
        <v>0.05</v>
      </c>
      <c r="Q491" s="11">
        <v>4260</v>
      </c>
      <c r="R491" s="11" t="s">
        <v>32</v>
      </c>
      <c r="S491" s="11" t="s">
        <v>33</v>
      </c>
      <c r="T491" s="11" t="s">
        <v>34</v>
      </c>
      <c r="U491" s="11">
        <v>4</v>
      </c>
      <c r="V491" s="11" t="str">
        <f>TEXT('E-Commerce Sales Data'!$B491,"mmmm")</f>
        <v>April</v>
      </c>
      <c r="W491" s="8">
        <f t="shared" si="28"/>
        <v>3601725</v>
      </c>
      <c r="X491">
        <f t="shared" si="29"/>
        <v>711</v>
      </c>
      <c r="Y491">
        <f t="shared" si="30"/>
        <v>29276.174402250352</v>
      </c>
      <c r="Z491">
        <f t="shared" si="31"/>
        <v>55</v>
      </c>
    </row>
    <row r="492" spans="1:26" x14ac:dyDescent="0.25">
      <c r="A492" s="5" t="s">
        <v>595</v>
      </c>
      <c r="B492" s="6">
        <v>49062</v>
      </c>
      <c r="C492" s="7" t="s">
        <v>99</v>
      </c>
      <c r="D492" s="7" t="s">
        <v>100</v>
      </c>
      <c r="E492" s="7">
        <v>33</v>
      </c>
      <c r="F492" s="7" t="s">
        <v>24</v>
      </c>
      <c r="G492" s="7" t="s">
        <v>101</v>
      </c>
      <c r="H492" s="7" t="s">
        <v>102</v>
      </c>
      <c r="I492" s="7" t="s">
        <v>41</v>
      </c>
      <c r="J492" s="7" t="s">
        <v>28</v>
      </c>
      <c r="K492" s="7" t="s">
        <v>60</v>
      </c>
      <c r="L492" s="7" t="s">
        <v>53</v>
      </c>
      <c r="M492" s="7" t="s">
        <v>103</v>
      </c>
      <c r="N492" s="7">
        <v>1230</v>
      </c>
      <c r="O492" s="7">
        <v>25</v>
      </c>
      <c r="P492" s="16">
        <v>0</v>
      </c>
      <c r="Q492" s="7">
        <v>380</v>
      </c>
      <c r="R492" s="7" t="s">
        <v>55</v>
      </c>
      <c r="S492" s="7" t="s">
        <v>33</v>
      </c>
      <c r="T492" s="7" t="s">
        <v>34</v>
      </c>
      <c r="U492" s="7">
        <v>5</v>
      </c>
      <c r="V492" s="7" t="str">
        <f>TEXT('E-Commerce Sales Data'!$B492,"mmmm")</f>
        <v>April</v>
      </c>
      <c r="W492" s="8">
        <f t="shared" si="28"/>
        <v>3597465</v>
      </c>
      <c r="X492">
        <f t="shared" si="29"/>
        <v>710</v>
      </c>
      <c r="Y492">
        <f t="shared" si="30"/>
        <v>29286.422535211266</v>
      </c>
      <c r="Z492">
        <f t="shared" si="31"/>
        <v>55</v>
      </c>
    </row>
    <row r="493" spans="1:26" x14ac:dyDescent="0.25">
      <c r="A493" s="9" t="s">
        <v>596</v>
      </c>
      <c r="B493" s="10">
        <v>49069</v>
      </c>
      <c r="C493" s="11" t="s">
        <v>105</v>
      </c>
      <c r="D493" s="11" t="s">
        <v>58</v>
      </c>
      <c r="E493" s="11">
        <v>42</v>
      </c>
      <c r="F493" s="11" t="s">
        <v>38</v>
      </c>
      <c r="G493" s="11" t="s">
        <v>51</v>
      </c>
      <c r="H493" s="11" t="s">
        <v>51</v>
      </c>
      <c r="I493" s="11" t="s">
        <v>52</v>
      </c>
      <c r="J493" s="11" t="s">
        <v>42</v>
      </c>
      <c r="K493" s="11" t="s">
        <v>43</v>
      </c>
      <c r="L493" s="11" t="s">
        <v>68</v>
      </c>
      <c r="M493" s="11" t="s">
        <v>106</v>
      </c>
      <c r="N493" s="11">
        <v>32600</v>
      </c>
      <c r="O493" s="11">
        <v>1</v>
      </c>
      <c r="P493" s="17">
        <v>0.08</v>
      </c>
      <c r="Q493" s="11">
        <v>6650</v>
      </c>
      <c r="R493" s="11" t="s">
        <v>46</v>
      </c>
      <c r="S493" s="11" t="s">
        <v>47</v>
      </c>
      <c r="T493" s="11" t="s">
        <v>34</v>
      </c>
      <c r="U493" s="11">
        <v>4</v>
      </c>
      <c r="V493" s="11" t="str">
        <f>TEXT('E-Commerce Sales Data'!$B493,"mmmm")</f>
        <v>May</v>
      </c>
      <c r="W493" s="8">
        <f t="shared" si="28"/>
        <v>3597085</v>
      </c>
      <c r="X493">
        <f t="shared" si="29"/>
        <v>709</v>
      </c>
      <c r="Y493">
        <f t="shared" si="30"/>
        <v>29325.994358251057</v>
      </c>
      <c r="Z493">
        <f t="shared" si="31"/>
        <v>55</v>
      </c>
    </row>
    <row r="494" spans="1:26" x14ac:dyDescent="0.25">
      <c r="A494" s="5" t="s">
        <v>597</v>
      </c>
      <c r="B494" s="6">
        <v>49076</v>
      </c>
      <c r="C494" s="7" t="s">
        <v>108</v>
      </c>
      <c r="D494" s="7" t="s">
        <v>23</v>
      </c>
      <c r="E494" s="7">
        <v>30</v>
      </c>
      <c r="F494" s="7" t="s">
        <v>24</v>
      </c>
      <c r="G494" s="7" t="s">
        <v>59</v>
      </c>
      <c r="H494" s="7" t="s">
        <v>26</v>
      </c>
      <c r="I494" s="7" t="s">
        <v>27</v>
      </c>
      <c r="J494" s="7" t="s">
        <v>28</v>
      </c>
      <c r="K494" s="7" t="s">
        <v>29</v>
      </c>
      <c r="L494" s="7" t="s">
        <v>30</v>
      </c>
      <c r="M494" s="7" t="s">
        <v>31</v>
      </c>
      <c r="N494" s="7">
        <v>90500</v>
      </c>
      <c r="O494" s="7">
        <v>1</v>
      </c>
      <c r="P494" s="16">
        <v>0.1</v>
      </c>
      <c r="Q494" s="7">
        <v>10400</v>
      </c>
      <c r="R494" s="7" t="s">
        <v>32</v>
      </c>
      <c r="S494" s="7" t="s">
        <v>47</v>
      </c>
      <c r="T494" s="7" t="s">
        <v>34</v>
      </c>
      <c r="U494" s="7">
        <v>5</v>
      </c>
      <c r="V494" s="7" t="str">
        <f>TEXT('E-Commerce Sales Data'!$B494,"mmmm")</f>
        <v>May</v>
      </c>
      <c r="W494" s="8">
        <f t="shared" si="28"/>
        <v>3590435</v>
      </c>
      <c r="X494">
        <f t="shared" si="29"/>
        <v>708</v>
      </c>
      <c r="Y494">
        <f t="shared" si="30"/>
        <v>29321.370056497177</v>
      </c>
      <c r="Z494">
        <f t="shared" si="31"/>
        <v>55</v>
      </c>
    </row>
    <row r="495" spans="1:26" x14ac:dyDescent="0.25">
      <c r="A495" s="9" t="s">
        <v>598</v>
      </c>
      <c r="B495" s="10">
        <v>49083</v>
      </c>
      <c r="C495" s="11" t="s">
        <v>110</v>
      </c>
      <c r="D495" s="11" t="s">
        <v>37</v>
      </c>
      <c r="E495" s="11">
        <v>36</v>
      </c>
      <c r="F495" s="11" t="s">
        <v>38</v>
      </c>
      <c r="G495" s="11" t="s">
        <v>66</v>
      </c>
      <c r="H495" s="11" t="s">
        <v>67</v>
      </c>
      <c r="I495" s="11" t="s">
        <v>27</v>
      </c>
      <c r="J495" s="11" t="s">
        <v>28</v>
      </c>
      <c r="K495" s="11" t="s">
        <v>60</v>
      </c>
      <c r="L495" s="11" t="s">
        <v>92</v>
      </c>
      <c r="M495" s="11" t="s">
        <v>111</v>
      </c>
      <c r="N495" s="11">
        <v>1600</v>
      </c>
      <c r="O495" s="11">
        <v>15</v>
      </c>
      <c r="P495" s="17">
        <v>0.05</v>
      </c>
      <c r="Q495" s="11">
        <v>495</v>
      </c>
      <c r="R495" s="11" t="s">
        <v>80</v>
      </c>
      <c r="S495" s="11" t="s">
        <v>33</v>
      </c>
      <c r="T495" s="11" t="s">
        <v>34</v>
      </c>
      <c r="U495" s="11">
        <v>4</v>
      </c>
      <c r="V495" s="11" t="str">
        <f>TEXT('E-Commerce Sales Data'!$B495,"mmmm")</f>
        <v>May</v>
      </c>
      <c r="W495" s="8">
        <f t="shared" si="28"/>
        <v>3580035</v>
      </c>
      <c r="X495">
        <f t="shared" si="29"/>
        <v>707</v>
      </c>
      <c r="Y495">
        <f t="shared" si="30"/>
        <v>29234.837340876944</v>
      </c>
      <c r="Z495">
        <f t="shared" si="31"/>
        <v>55</v>
      </c>
    </row>
    <row r="496" spans="1:26" x14ac:dyDescent="0.25">
      <c r="A496" s="5" t="s">
        <v>599</v>
      </c>
      <c r="B496" s="6">
        <v>49090</v>
      </c>
      <c r="C496" s="7" t="s">
        <v>113</v>
      </c>
      <c r="D496" s="7" t="s">
        <v>114</v>
      </c>
      <c r="E496" s="7">
        <v>40</v>
      </c>
      <c r="F496" s="7" t="s">
        <v>24</v>
      </c>
      <c r="G496" s="7" t="s">
        <v>73</v>
      </c>
      <c r="H496" s="7" t="s">
        <v>74</v>
      </c>
      <c r="I496" s="7" t="s">
        <v>41</v>
      </c>
      <c r="J496" s="7" t="s">
        <v>42</v>
      </c>
      <c r="K496" s="7" t="s">
        <v>43</v>
      </c>
      <c r="L496" s="7" t="s">
        <v>44</v>
      </c>
      <c r="M496" s="7" t="s">
        <v>45</v>
      </c>
      <c r="N496" s="7">
        <v>15200</v>
      </c>
      <c r="O496" s="7">
        <v>4</v>
      </c>
      <c r="P496" s="16">
        <v>7.0000000000000007E-2</v>
      </c>
      <c r="Q496" s="7">
        <v>3400</v>
      </c>
      <c r="R496" s="7" t="s">
        <v>46</v>
      </c>
      <c r="S496" s="7" t="s">
        <v>33</v>
      </c>
      <c r="T496" s="7" t="s">
        <v>34</v>
      </c>
      <c r="U496" s="7">
        <v>4</v>
      </c>
      <c r="V496" s="7" t="str">
        <f>TEXT('E-Commerce Sales Data'!$B496,"mmmm")</f>
        <v>May</v>
      </c>
      <c r="W496" s="8">
        <f t="shared" si="28"/>
        <v>3579540</v>
      </c>
      <c r="X496">
        <f t="shared" si="29"/>
        <v>706</v>
      </c>
      <c r="Y496">
        <f t="shared" si="30"/>
        <v>29273.98016997167</v>
      </c>
      <c r="Z496">
        <f t="shared" si="31"/>
        <v>55</v>
      </c>
    </row>
    <row r="497" spans="1:26" x14ac:dyDescent="0.25">
      <c r="A497" s="9" t="s">
        <v>600</v>
      </c>
      <c r="B497" s="10">
        <v>49097</v>
      </c>
      <c r="C497" s="11" t="s">
        <v>116</v>
      </c>
      <c r="D497" s="11" t="s">
        <v>83</v>
      </c>
      <c r="E497" s="11">
        <v>27</v>
      </c>
      <c r="F497" s="11" t="s">
        <v>38</v>
      </c>
      <c r="G497" s="11" t="s">
        <v>39</v>
      </c>
      <c r="H497" s="11" t="s">
        <v>40</v>
      </c>
      <c r="I497" s="11" t="s">
        <v>41</v>
      </c>
      <c r="J497" s="11" t="s">
        <v>28</v>
      </c>
      <c r="K497" s="11" t="s">
        <v>29</v>
      </c>
      <c r="L497" s="11" t="s">
        <v>53</v>
      </c>
      <c r="M497" s="11" t="s">
        <v>54</v>
      </c>
      <c r="N497" s="11">
        <v>32000</v>
      </c>
      <c r="O497" s="11">
        <v>2</v>
      </c>
      <c r="P497" s="17">
        <v>0.05</v>
      </c>
      <c r="Q497" s="11">
        <v>6050</v>
      </c>
      <c r="R497" s="11" t="s">
        <v>32</v>
      </c>
      <c r="S497" s="11" t="s">
        <v>47</v>
      </c>
      <c r="T497" s="11" t="s">
        <v>34</v>
      </c>
      <c r="U497" s="11">
        <v>5</v>
      </c>
      <c r="V497" s="11" t="str">
        <f>TEXT('E-Commerce Sales Data'!$B497,"mmmm")</f>
        <v>June</v>
      </c>
      <c r="W497" s="8">
        <f t="shared" si="28"/>
        <v>3576140</v>
      </c>
      <c r="X497">
        <f t="shared" si="29"/>
        <v>705</v>
      </c>
      <c r="Y497">
        <f t="shared" si="30"/>
        <v>29293.943262411347</v>
      </c>
      <c r="Z497">
        <f t="shared" si="31"/>
        <v>55</v>
      </c>
    </row>
    <row r="498" spans="1:26" x14ac:dyDescent="0.25">
      <c r="A498" s="5" t="s">
        <v>601</v>
      </c>
      <c r="B498" s="6">
        <v>49104</v>
      </c>
      <c r="C498" s="7" t="s">
        <v>118</v>
      </c>
      <c r="D498" s="7" t="s">
        <v>72</v>
      </c>
      <c r="E498" s="7">
        <v>35</v>
      </c>
      <c r="F498" s="7" t="s">
        <v>24</v>
      </c>
      <c r="G498" s="7" t="s">
        <v>84</v>
      </c>
      <c r="H498" s="7" t="s">
        <v>85</v>
      </c>
      <c r="I498" s="7" t="s">
        <v>52</v>
      </c>
      <c r="J498" s="7" t="s">
        <v>42</v>
      </c>
      <c r="K498" s="7" t="s">
        <v>60</v>
      </c>
      <c r="L498" s="7" t="s">
        <v>61</v>
      </c>
      <c r="M498" s="7" t="s">
        <v>62</v>
      </c>
      <c r="N498" s="7">
        <v>7100</v>
      </c>
      <c r="O498" s="7">
        <v>10</v>
      </c>
      <c r="P498" s="16">
        <v>0.03</v>
      </c>
      <c r="Q498" s="7">
        <v>1760</v>
      </c>
      <c r="R498" s="7" t="s">
        <v>55</v>
      </c>
      <c r="S498" s="7" t="s">
        <v>33</v>
      </c>
      <c r="T498" s="7" t="s">
        <v>34</v>
      </c>
      <c r="U498" s="7">
        <v>4</v>
      </c>
      <c r="V498" s="7" t="str">
        <f>TEXT('E-Commerce Sales Data'!$B498,"mmmm")</f>
        <v>June</v>
      </c>
      <c r="W498" s="8">
        <f t="shared" si="28"/>
        <v>3570090</v>
      </c>
      <c r="X498">
        <f t="shared" si="29"/>
        <v>704</v>
      </c>
      <c r="Y498">
        <f t="shared" si="30"/>
        <v>29290.09943181818</v>
      </c>
      <c r="Z498">
        <f t="shared" si="31"/>
        <v>55</v>
      </c>
    </row>
    <row r="499" spans="1:26" x14ac:dyDescent="0.25">
      <c r="A499" s="9" t="s">
        <v>602</v>
      </c>
      <c r="B499" s="10">
        <v>49111</v>
      </c>
      <c r="C499" s="11" t="s">
        <v>120</v>
      </c>
      <c r="D499" s="11" t="s">
        <v>23</v>
      </c>
      <c r="E499" s="11">
        <v>24</v>
      </c>
      <c r="F499" s="11" t="s">
        <v>38</v>
      </c>
      <c r="G499" s="11" t="s">
        <v>25</v>
      </c>
      <c r="H499" s="11" t="s">
        <v>26</v>
      </c>
      <c r="I499" s="11" t="s">
        <v>27</v>
      </c>
      <c r="J499" s="11" t="s">
        <v>28</v>
      </c>
      <c r="K499" s="11" t="s">
        <v>43</v>
      </c>
      <c r="L499" s="11" t="s">
        <v>68</v>
      </c>
      <c r="M499" s="11" t="s">
        <v>69</v>
      </c>
      <c r="N499" s="11">
        <v>29300</v>
      </c>
      <c r="O499" s="11">
        <v>2</v>
      </c>
      <c r="P499" s="17">
        <v>0.1</v>
      </c>
      <c r="Q499" s="11">
        <v>4680</v>
      </c>
      <c r="R499" s="11" t="s">
        <v>32</v>
      </c>
      <c r="S499" s="11" t="s">
        <v>47</v>
      </c>
      <c r="T499" s="11" t="s">
        <v>34</v>
      </c>
      <c r="U499" s="11">
        <v>5</v>
      </c>
      <c r="V499" s="11" t="str">
        <f>TEXT('E-Commerce Sales Data'!$B499,"mmmm")</f>
        <v>June</v>
      </c>
      <c r="W499" s="8">
        <f t="shared" si="28"/>
        <v>3568330</v>
      </c>
      <c r="X499">
        <f t="shared" si="29"/>
        <v>703</v>
      </c>
      <c r="Y499">
        <f t="shared" si="30"/>
        <v>29321.664295874823</v>
      </c>
      <c r="Z499">
        <f t="shared" si="31"/>
        <v>55</v>
      </c>
    </row>
    <row r="500" spans="1:26" x14ac:dyDescent="0.25">
      <c r="A500" s="5" t="s">
        <v>603</v>
      </c>
      <c r="B500" s="6">
        <v>49118</v>
      </c>
      <c r="C500" s="7" t="s">
        <v>122</v>
      </c>
      <c r="D500" s="7" t="s">
        <v>50</v>
      </c>
      <c r="E500" s="7">
        <v>43</v>
      </c>
      <c r="F500" s="7" t="s">
        <v>24</v>
      </c>
      <c r="G500" s="7" t="s">
        <v>101</v>
      </c>
      <c r="H500" s="7" t="s">
        <v>102</v>
      </c>
      <c r="I500" s="7" t="s">
        <v>41</v>
      </c>
      <c r="J500" s="7" t="s">
        <v>42</v>
      </c>
      <c r="K500" s="7" t="s">
        <v>29</v>
      </c>
      <c r="L500" s="7" t="s">
        <v>53</v>
      </c>
      <c r="M500" s="7" t="s">
        <v>75</v>
      </c>
      <c r="N500" s="7">
        <v>4850</v>
      </c>
      <c r="O500" s="7">
        <v>4</v>
      </c>
      <c r="P500" s="16">
        <v>0.05</v>
      </c>
      <c r="Q500" s="7">
        <v>1230</v>
      </c>
      <c r="R500" s="7" t="s">
        <v>46</v>
      </c>
      <c r="S500" s="7" t="s">
        <v>33</v>
      </c>
      <c r="T500" s="7" t="s">
        <v>34</v>
      </c>
      <c r="U500" s="7">
        <v>3</v>
      </c>
      <c r="V500" s="7" t="str">
        <f>TEXT('E-Commerce Sales Data'!$B500,"mmmm")</f>
        <v>June</v>
      </c>
      <c r="W500" s="8">
        <f t="shared" si="28"/>
        <v>3563650</v>
      </c>
      <c r="X500">
        <f t="shared" si="29"/>
        <v>702</v>
      </c>
      <c r="Y500">
        <f t="shared" si="30"/>
        <v>29321.695156695157</v>
      </c>
      <c r="Z500">
        <f t="shared" si="31"/>
        <v>55</v>
      </c>
    </row>
    <row r="501" spans="1:26" x14ac:dyDescent="0.25">
      <c r="A501" s="9" t="s">
        <v>604</v>
      </c>
      <c r="B501" s="10">
        <v>49125</v>
      </c>
      <c r="C501" s="11" t="s">
        <v>124</v>
      </c>
      <c r="D501" s="11" t="s">
        <v>100</v>
      </c>
      <c r="E501" s="11">
        <v>32</v>
      </c>
      <c r="F501" s="11" t="s">
        <v>38</v>
      </c>
      <c r="G501" s="11" t="s">
        <v>78</v>
      </c>
      <c r="H501" s="11" t="s">
        <v>26</v>
      </c>
      <c r="I501" s="11" t="s">
        <v>27</v>
      </c>
      <c r="J501" s="11" t="s">
        <v>28</v>
      </c>
      <c r="K501" s="11" t="s">
        <v>29</v>
      </c>
      <c r="L501" s="11" t="s">
        <v>53</v>
      </c>
      <c r="M501" s="11" t="s">
        <v>79</v>
      </c>
      <c r="N501" s="11">
        <v>3650</v>
      </c>
      <c r="O501" s="11">
        <v>7</v>
      </c>
      <c r="P501" s="17">
        <v>0</v>
      </c>
      <c r="Q501" s="11">
        <v>1090</v>
      </c>
      <c r="R501" s="11" t="s">
        <v>32</v>
      </c>
      <c r="S501" s="11" t="s">
        <v>33</v>
      </c>
      <c r="T501" s="11" t="s">
        <v>34</v>
      </c>
      <c r="U501" s="11">
        <v>4</v>
      </c>
      <c r="V501" s="11" t="str">
        <f>TEXT('E-Commerce Sales Data'!$B501,"mmmm")</f>
        <v>June</v>
      </c>
      <c r="W501" s="8">
        <f t="shared" si="28"/>
        <v>3562420</v>
      </c>
      <c r="X501">
        <f t="shared" si="29"/>
        <v>701</v>
      </c>
      <c r="Y501">
        <f t="shared" si="30"/>
        <v>29356.604850213978</v>
      </c>
      <c r="Z501">
        <f t="shared" si="31"/>
        <v>55</v>
      </c>
    </row>
    <row r="502" spans="1:26" x14ac:dyDescent="0.25">
      <c r="A502" s="5" t="s">
        <v>605</v>
      </c>
      <c r="B502" s="6">
        <v>49132</v>
      </c>
      <c r="C502" s="7" t="s">
        <v>22</v>
      </c>
      <c r="D502" s="7" t="s">
        <v>23</v>
      </c>
      <c r="E502" s="7">
        <v>28</v>
      </c>
      <c r="F502" s="7" t="s">
        <v>24</v>
      </c>
      <c r="G502" s="7" t="s">
        <v>25</v>
      </c>
      <c r="H502" s="7" t="s">
        <v>26</v>
      </c>
      <c r="I502" s="7" t="s">
        <v>27</v>
      </c>
      <c r="J502" s="7" t="s">
        <v>28</v>
      </c>
      <c r="K502" s="7" t="s">
        <v>29</v>
      </c>
      <c r="L502" s="7" t="s">
        <v>30</v>
      </c>
      <c r="M502" s="7" t="s">
        <v>31</v>
      </c>
      <c r="N502" s="7">
        <v>86500</v>
      </c>
      <c r="O502" s="7">
        <v>1</v>
      </c>
      <c r="P502" s="16">
        <v>0.05</v>
      </c>
      <c r="Q502" s="7">
        <v>11500</v>
      </c>
      <c r="R502" s="7" t="s">
        <v>32</v>
      </c>
      <c r="S502" s="7" t="s">
        <v>47</v>
      </c>
      <c r="T502" s="7" t="s">
        <v>34</v>
      </c>
      <c r="U502" s="7">
        <v>5</v>
      </c>
      <c r="V502" s="7" t="str">
        <f>TEXT('E-Commerce Sales Data'!$B502,"mmmm")</f>
        <v>July</v>
      </c>
      <c r="W502" s="8">
        <f t="shared" si="28"/>
        <v>3561330</v>
      </c>
      <c r="X502">
        <f t="shared" si="29"/>
        <v>700</v>
      </c>
      <c r="Y502">
        <f t="shared" si="30"/>
        <v>29393.32857142857</v>
      </c>
      <c r="Z502">
        <f t="shared" si="31"/>
        <v>55</v>
      </c>
    </row>
    <row r="503" spans="1:26" x14ac:dyDescent="0.25">
      <c r="A503" s="9" t="s">
        <v>606</v>
      </c>
      <c r="B503" s="10">
        <v>49139</v>
      </c>
      <c r="C503" s="11" t="s">
        <v>36</v>
      </c>
      <c r="D503" s="11" t="s">
        <v>37</v>
      </c>
      <c r="E503" s="11">
        <v>34</v>
      </c>
      <c r="F503" s="11" t="s">
        <v>38</v>
      </c>
      <c r="G503" s="11" t="s">
        <v>39</v>
      </c>
      <c r="H503" s="11" t="s">
        <v>40</v>
      </c>
      <c r="I503" s="11" t="s">
        <v>41</v>
      </c>
      <c r="J503" s="11" t="s">
        <v>42</v>
      </c>
      <c r="K503" s="11" t="s">
        <v>43</v>
      </c>
      <c r="L503" s="11" t="s">
        <v>44</v>
      </c>
      <c r="M503" s="11" t="s">
        <v>45</v>
      </c>
      <c r="N503" s="11">
        <v>12800</v>
      </c>
      <c r="O503" s="11">
        <v>3</v>
      </c>
      <c r="P503" s="17">
        <v>0.1</v>
      </c>
      <c r="Q503" s="11">
        <v>2950</v>
      </c>
      <c r="R503" s="11" t="s">
        <v>46</v>
      </c>
      <c r="S503" s="11" t="s">
        <v>33</v>
      </c>
      <c r="T503" s="11" t="s">
        <v>34</v>
      </c>
      <c r="U503" s="11">
        <v>4</v>
      </c>
      <c r="V503" s="11" t="str">
        <f>TEXT('E-Commerce Sales Data'!$B503,"mmmm")</f>
        <v>July</v>
      </c>
      <c r="W503" s="8">
        <f t="shared" si="28"/>
        <v>3549830</v>
      </c>
      <c r="X503">
        <f t="shared" si="29"/>
        <v>699</v>
      </c>
      <c r="Y503">
        <f t="shared" si="30"/>
        <v>29311.630901287554</v>
      </c>
      <c r="Z503">
        <f t="shared" si="31"/>
        <v>55</v>
      </c>
    </row>
    <row r="504" spans="1:26" x14ac:dyDescent="0.25">
      <c r="A504" s="5" t="s">
        <v>607</v>
      </c>
      <c r="B504" s="6">
        <v>49146</v>
      </c>
      <c r="C504" s="7" t="s">
        <v>49</v>
      </c>
      <c r="D504" s="7" t="s">
        <v>50</v>
      </c>
      <c r="E504" s="7">
        <v>41</v>
      </c>
      <c r="F504" s="7" t="s">
        <v>24</v>
      </c>
      <c r="G504" s="7" t="s">
        <v>51</v>
      </c>
      <c r="H504" s="7" t="s">
        <v>51</v>
      </c>
      <c r="I504" s="7" t="s">
        <v>52</v>
      </c>
      <c r="J504" s="7" t="s">
        <v>28</v>
      </c>
      <c r="K504" s="7" t="s">
        <v>29</v>
      </c>
      <c r="L504" s="7" t="s">
        <v>53</v>
      </c>
      <c r="M504" s="7" t="s">
        <v>54</v>
      </c>
      <c r="N504" s="7">
        <v>29900</v>
      </c>
      <c r="O504" s="7">
        <v>2</v>
      </c>
      <c r="P504" s="16">
        <v>0.05</v>
      </c>
      <c r="Q504" s="7">
        <v>5600</v>
      </c>
      <c r="R504" s="7" t="s">
        <v>55</v>
      </c>
      <c r="S504" s="7" t="s">
        <v>33</v>
      </c>
      <c r="T504" s="7" t="s">
        <v>34</v>
      </c>
      <c r="U504" s="7">
        <v>4</v>
      </c>
      <c r="V504" s="7" t="str">
        <f>TEXT('E-Commerce Sales Data'!$B504,"mmmm")</f>
        <v>July</v>
      </c>
      <c r="W504" s="8">
        <f t="shared" si="28"/>
        <v>3546880</v>
      </c>
      <c r="X504">
        <f t="shared" si="29"/>
        <v>698</v>
      </c>
      <c r="Y504">
        <f t="shared" si="30"/>
        <v>29335.28653295129</v>
      </c>
      <c r="Z504">
        <f t="shared" si="31"/>
        <v>55</v>
      </c>
    </row>
    <row r="505" spans="1:26" x14ac:dyDescent="0.25">
      <c r="A505" s="9" t="s">
        <v>608</v>
      </c>
      <c r="B505" s="10">
        <v>49153</v>
      </c>
      <c r="C505" s="11" t="s">
        <v>57</v>
      </c>
      <c r="D505" s="11" t="s">
        <v>58</v>
      </c>
      <c r="E505" s="11">
        <v>26</v>
      </c>
      <c r="F505" s="11" t="s">
        <v>38</v>
      </c>
      <c r="G505" s="11" t="s">
        <v>59</v>
      </c>
      <c r="H505" s="11" t="s">
        <v>26</v>
      </c>
      <c r="I505" s="11" t="s">
        <v>27</v>
      </c>
      <c r="J505" s="11" t="s">
        <v>28</v>
      </c>
      <c r="K505" s="11" t="s">
        <v>60</v>
      </c>
      <c r="L505" s="11" t="s">
        <v>61</v>
      </c>
      <c r="M505" s="11" t="s">
        <v>86</v>
      </c>
      <c r="N505" s="11">
        <v>870</v>
      </c>
      <c r="O505" s="11">
        <v>20</v>
      </c>
      <c r="P505" s="17">
        <v>0.02</v>
      </c>
      <c r="Q505" s="11">
        <v>255</v>
      </c>
      <c r="R505" s="11" t="s">
        <v>32</v>
      </c>
      <c r="S505" s="11" t="s">
        <v>33</v>
      </c>
      <c r="T505" s="11" t="s">
        <v>34</v>
      </c>
      <c r="U505" s="11">
        <v>5</v>
      </c>
      <c r="V505" s="11" t="str">
        <f>TEXT('E-Commerce Sales Data'!$B505,"mmmm")</f>
        <v>July</v>
      </c>
      <c r="W505" s="8">
        <f t="shared" si="28"/>
        <v>3541280</v>
      </c>
      <c r="X505">
        <f t="shared" si="29"/>
        <v>697</v>
      </c>
      <c r="Y505">
        <f t="shared" si="30"/>
        <v>29334.476327116212</v>
      </c>
      <c r="Z505">
        <f t="shared" si="31"/>
        <v>55</v>
      </c>
    </row>
    <row r="506" spans="1:26" x14ac:dyDescent="0.25">
      <c r="A506" s="5" t="s">
        <v>609</v>
      </c>
      <c r="B506" s="6">
        <v>49160</v>
      </c>
      <c r="C506" s="7" t="s">
        <v>64</v>
      </c>
      <c r="D506" s="7" t="s">
        <v>65</v>
      </c>
      <c r="E506" s="7">
        <v>39</v>
      </c>
      <c r="F506" s="7" t="s">
        <v>24</v>
      </c>
      <c r="G506" s="7" t="s">
        <v>66</v>
      </c>
      <c r="H506" s="7" t="s">
        <v>67</v>
      </c>
      <c r="I506" s="7" t="s">
        <v>27</v>
      </c>
      <c r="J506" s="7" t="s">
        <v>42</v>
      </c>
      <c r="K506" s="7" t="s">
        <v>43</v>
      </c>
      <c r="L506" s="7" t="s">
        <v>68</v>
      </c>
      <c r="M506" s="7" t="s">
        <v>69</v>
      </c>
      <c r="N506" s="7">
        <v>30200</v>
      </c>
      <c r="O506" s="7">
        <v>2</v>
      </c>
      <c r="P506" s="16">
        <v>0.08</v>
      </c>
      <c r="Q506" s="7">
        <v>5180</v>
      </c>
      <c r="R506" s="7" t="s">
        <v>46</v>
      </c>
      <c r="S506" s="7" t="s">
        <v>47</v>
      </c>
      <c r="T506" s="7" t="s">
        <v>34</v>
      </c>
      <c r="U506" s="7">
        <v>4</v>
      </c>
      <c r="V506" s="7" t="str">
        <f>TEXT('E-Commerce Sales Data'!$B506,"mmmm")</f>
        <v>August</v>
      </c>
      <c r="W506" s="8">
        <f t="shared" si="28"/>
        <v>3541025</v>
      </c>
      <c r="X506">
        <f t="shared" si="29"/>
        <v>696</v>
      </c>
      <c r="Y506">
        <f t="shared" si="30"/>
        <v>29375.373563218393</v>
      </c>
      <c r="Z506">
        <f t="shared" si="31"/>
        <v>55</v>
      </c>
    </row>
    <row r="507" spans="1:26" x14ac:dyDescent="0.25">
      <c r="A507" s="9" t="s">
        <v>610</v>
      </c>
      <c r="B507" s="10">
        <v>49167</v>
      </c>
      <c r="C507" s="11" t="s">
        <v>71</v>
      </c>
      <c r="D507" s="11" t="s">
        <v>72</v>
      </c>
      <c r="E507" s="11">
        <v>31</v>
      </c>
      <c r="F507" s="11" t="s">
        <v>38</v>
      </c>
      <c r="G507" s="11" t="s">
        <v>73</v>
      </c>
      <c r="H507" s="11" t="s">
        <v>74</v>
      </c>
      <c r="I507" s="11" t="s">
        <v>41</v>
      </c>
      <c r="J507" s="11" t="s">
        <v>28</v>
      </c>
      <c r="K507" s="11" t="s">
        <v>29</v>
      </c>
      <c r="L507" s="11" t="s">
        <v>53</v>
      </c>
      <c r="M507" s="11" t="s">
        <v>75</v>
      </c>
      <c r="N507" s="11">
        <v>4550</v>
      </c>
      <c r="O507" s="11">
        <v>3</v>
      </c>
      <c r="P507" s="17">
        <v>0.05</v>
      </c>
      <c r="Q507" s="11">
        <v>1170</v>
      </c>
      <c r="R507" s="11" t="s">
        <v>32</v>
      </c>
      <c r="S507" s="11" t="s">
        <v>33</v>
      </c>
      <c r="T507" s="11" t="s">
        <v>34</v>
      </c>
      <c r="U507" s="11">
        <v>4</v>
      </c>
      <c r="V507" s="11" t="str">
        <f>TEXT('E-Commerce Sales Data'!$B507,"mmmm")</f>
        <v>August</v>
      </c>
      <c r="W507" s="8">
        <f t="shared" si="28"/>
        <v>3535845</v>
      </c>
      <c r="X507">
        <f t="shared" si="29"/>
        <v>695</v>
      </c>
      <c r="Y507">
        <f t="shared" si="30"/>
        <v>29374.187050359713</v>
      </c>
      <c r="Z507">
        <f t="shared" si="31"/>
        <v>55</v>
      </c>
    </row>
    <row r="508" spans="1:26" x14ac:dyDescent="0.25">
      <c r="A508" s="5" t="s">
        <v>611</v>
      </c>
      <c r="B508" s="6">
        <v>49174</v>
      </c>
      <c r="C508" s="7" t="s">
        <v>77</v>
      </c>
      <c r="D508" s="7" t="s">
        <v>23</v>
      </c>
      <c r="E508" s="7">
        <v>29</v>
      </c>
      <c r="F508" s="7" t="s">
        <v>24</v>
      </c>
      <c r="G508" s="7" t="s">
        <v>78</v>
      </c>
      <c r="H508" s="7" t="s">
        <v>26</v>
      </c>
      <c r="I508" s="7" t="s">
        <v>27</v>
      </c>
      <c r="J508" s="7" t="s">
        <v>28</v>
      </c>
      <c r="K508" s="7" t="s">
        <v>29</v>
      </c>
      <c r="L508" s="7" t="s">
        <v>53</v>
      </c>
      <c r="M508" s="7" t="s">
        <v>79</v>
      </c>
      <c r="N508" s="7">
        <v>3750</v>
      </c>
      <c r="O508" s="7">
        <v>6</v>
      </c>
      <c r="P508" s="16">
        <v>0</v>
      </c>
      <c r="Q508" s="7">
        <v>1120</v>
      </c>
      <c r="R508" s="7" t="s">
        <v>80</v>
      </c>
      <c r="S508" s="7" t="s">
        <v>33</v>
      </c>
      <c r="T508" s="7" t="s">
        <v>34</v>
      </c>
      <c r="U508" s="7">
        <v>3</v>
      </c>
      <c r="V508" s="7" t="str">
        <f>TEXT('E-Commerce Sales Data'!$B508,"mmmm")</f>
        <v>August</v>
      </c>
      <c r="W508" s="8">
        <f t="shared" si="28"/>
        <v>3534675</v>
      </c>
      <c r="X508">
        <f t="shared" si="29"/>
        <v>694</v>
      </c>
      <c r="Y508">
        <f t="shared" si="30"/>
        <v>29409.956772334295</v>
      </c>
      <c r="Z508">
        <f t="shared" si="31"/>
        <v>55</v>
      </c>
    </row>
    <row r="509" spans="1:26" x14ac:dyDescent="0.25">
      <c r="A509" s="9" t="s">
        <v>612</v>
      </c>
      <c r="B509" s="10">
        <v>49181</v>
      </c>
      <c r="C509" s="11" t="s">
        <v>82</v>
      </c>
      <c r="D509" s="11" t="s">
        <v>83</v>
      </c>
      <c r="E509" s="11">
        <v>37</v>
      </c>
      <c r="F509" s="11" t="s">
        <v>38</v>
      </c>
      <c r="G509" s="11" t="s">
        <v>84</v>
      </c>
      <c r="H509" s="11" t="s">
        <v>85</v>
      </c>
      <c r="I509" s="11" t="s">
        <v>52</v>
      </c>
      <c r="J509" s="11" t="s">
        <v>42</v>
      </c>
      <c r="K509" s="11" t="s">
        <v>60</v>
      </c>
      <c r="L509" s="11" t="s">
        <v>61</v>
      </c>
      <c r="M509" s="11" t="s">
        <v>62</v>
      </c>
      <c r="N509" s="11">
        <v>7200</v>
      </c>
      <c r="O509" s="11">
        <v>10</v>
      </c>
      <c r="P509" s="17">
        <v>0.02</v>
      </c>
      <c r="Q509" s="11">
        <v>1780</v>
      </c>
      <c r="R509" s="11" t="s">
        <v>32</v>
      </c>
      <c r="S509" s="11" t="s">
        <v>33</v>
      </c>
      <c r="T509" s="11" t="s">
        <v>34</v>
      </c>
      <c r="U509" s="11">
        <v>5</v>
      </c>
      <c r="V509" s="11" t="str">
        <f>TEXT('E-Commerce Sales Data'!$B509,"mmmm")</f>
        <v>August</v>
      </c>
      <c r="W509" s="8">
        <f t="shared" si="28"/>
        <v>3533555</v>
      </c>
      <c r="X509">
        <f t="shared" si="29"/>
        <v>693</v>
      </c>
      <c r="Y509">
        <f t="shared" si="30"/>
        <v>29446.984126984127</v>
      </c>
      <c r="Z509">
        <f t="shared" si="31"/>
        <v>55</v>
      </c>
    </row>
    <row r="510" spans="1:26" x14ac:dyDescent="0.25">
      <c r="A510" s="5" t="s">
        <v>613</v>
      </c>
      <c r="B510" s="6">
        <v>49188</v>
      </c>
      <c r="C510" s="7" t="s">
        <v>88</v>
      </c>
      <c r="D510" s="7" t="s">
        <v>37</v>
      </c>
      <c r="E510" s="7">
        <v>45</v>
      </c>
      <c r="F510" s="7" t="s">
        <v>24</v>
      </c>
      <c r="G510" s="7" t="s">
        <v>89</v>
      </c>
      <c r="H510" s="7" t="s">
        <v>90</v>
      </c>
      <c r="I510" s="7" t="s">
        <v>91</v>
      </c>
      <c r="J510" s="7" t="s">
        <v>42</v>
      </c>
      <c r="K510" s="7" t="s">
        <v>43</v>
      </c>
      <c r="L510" s="7" t="s">
        <v>92</v>
      </c>
      <c r="M510" s="7" t="s">
        <v>93</v>
      </c>
      <c r="N510" s="7">
        <v>20200</v>
      </c>
      <c r="O510" s="7">
        <v>1</v>
      </c>
      <c r="P510" s="16">
        <v>0.1</v>
      </c>
      <c r="Q510" s="7">
        <v>3580</v>
      </c>
      <c r="R510" s="7" t="s">
        <v>46</v>
      </c>
      <c r="S510" s="7" t="s">
        <v>47</v>
      </c>
      <c r="T510" s="7" t="s">
        <v>34</v>
      </c>
      <c r="U510" s="7">
        <v>4</v>
      </c>
      <c r="V510" s="7" t="str">
        <f>TEXT('E-Commerce Sales Data'!$B510,"mmmm")</f>
        <v>September</v>
      </c>
      <c r="W510" s="8">
        <f t="shared" si="28"/>
        <v>3531775</v>
      </c>
      <c r="X510">
        <f t="shared" si="29"/>
        <v>692</v>
      </c>
      <c r="Y510">
        <f t="shared" si="30"/>
        <v>29479.132947976879</v>
      </c>
      <c r="Z510">
        <f t="shared" si="31"/>
        <v>55</v>
      </c>
    </row>
    <row r="511" spans="1:26" x14ac:dyDescent="0.25">
      <c r="A511" s="9" t="s">
        <v>614</v>
      </c>
      <c r="B511" s="10">
        <v>49195</v>
      </c>
      <c r="C511" s="11" t="s">
        <v>95</v>
      </c>
      <c r="D511" s="11" t="s">
        <v>65</v>
      </c>
      <c r="E511" s="11">
        <v>25</v>
      </c>
      <c r="F511" s="11" t="s">
        <v>38</v>
      </c>
      <c r="G511" s="11" t="s">
        <v>25</v>
      </c>
      <c r="H511" s="11" t="s">
        <v>26</v>
      </c>
      <c r="I511" s="11" t="s">
        <v>27</v>
      </c>
      <c r="J511" s="11" t="s">
        <v>28</v>
      </c>
      <c r="K511" s="11" t="s">
        <v>29</v>
      </c>
      <c r="L511" s="11" t="s">
        <v>96</v>
      </c>
      <c r="M511" s="11" t="s">
        <v>97</v>
      </c>
      <c r="N511" s="11">
        <v>22400</v>
      </c>
      <c r="O511" s="11">
        <v>2</v>
      </c>
      <c r="P511" s="17">
        <v>0.05</v>
      </c>
      <c r="Q511" s="11">
        <v>4340</v>
      </c>
      <c r="R511" s="11" t="s">
        <v>32</v>
      </c>
      <c r="S511" s="11" t="s">
        <v>33</v>
      </c>
      <c r="T511" s="11" t="s">
        <v>34</v>
      </c>
      <c r="U511" s="11">
        <v>4</v>
      </c>
      <c r="V511" s="11" t="str">
        <f>TEXT('E-Commerce Sales Data'!$B511,"mmmm")</f>
        <v>September</v>
      </c>
      <c r="W511" s="8">
        <f t="shared" si="28"/>
        <v>3528195</v>
      </c>
      <c r="X511">
        <f t="shared" si="29"/>
        <v>691</v>
      </c>
      <c r="Y511">
        <f t="shared" si="30"/>
        <v>29492.561505065121</v>
      </c>
      <c r="Z511">
        <f t="shared" si="31"/>
        <v>55</v>
      </c>
    </row>
    <row r="512" spans="1:26" x14ac:dyDescent="0.25">
      <c r="A512" s="5" t="s">
        <v>615</v>
      </c>
      <c r="B512" s="6">
        <v>49202</v>
      </c>
      <c r="C512" s="7" t="s">
        <v>99</v>
      </c>
      <c r="D512" s="7" t="s">
        <v>100</v>
      </c>
      <c r="E512" s="7">
        <v>33</v>
      </c>
      <c r="F512" s="7" t="s">
        <v>24</v>
      </c>
      <c r="G512" s="7" t="s">
        <v>101</v>
      </c>
      <c r="H512" s="7" t="s">
        <v>102</v>
      </c>
      <c r="I512" s="7" t="s">
        <v>41</v>
      </c>
      <c r="J512" s="7" t="s">
        <v>28</v>
      </c>
      <c r="K512" s="7" t="s">
        <v>60</v>
      </c>
      <c r="L512" s="7" t="s">
        <v>53</v>
      </c>
      <c r="M512" s="7" t="s">
        <v>103</v>
      </c>
      <c r="N512" s="7">
        <v>1260</v>
      </c>
      <c r="O512" s="7">
        <v>25</v>
      </c>
      <c r="P512" s="16">
        <v>0</v>
      </c>
      <c r="Q512" s="7">
        <v>390</v>
      </c>
      <c r="R512" s="7" t="s">
        <v>55</v>
      </c>
      <c r="S512" s="7" t="s">
        <v>33</v>
      </c>
      <c r="T512" s="7" t="s">
        <v>34</v>
      </c>
      <c r="U512" s="7">
        <v>5</v>
      </c>
      <c r="V512" s="7" t="str">
        <f>TEXT('E-Commerce Sales Data'!$B512,"mmmm")</f>
        <v>September</v>
      </c>
      <c r="W512" s="8">
        <f t="shared" si="28"/>
        <v>3523855</v>
      </c>
      <c r="X512">
        <f t="shared" si="29"/>
        <v>690</v>
      </c>
      <c r="Y512">
        <f t="shared" si="30"/>
        <v>29502.840579710144</v>
      </c>
      <c r="Z512">
        <f t="shared" si="31"/>
        <v>55</v>
      </c>
    </row>
    <row r="513" spans="1:26" x14ac:dyDescent="0.25">
      <c r="A513" s="9" t="s">
        <v>616</v>
      </c>
      <c r="B513" s="10">
        <v>49209</v>
      </c>
      <c r="C513" s="11" t="s">
        <v>105</v>
      </c>
      <c r="D513" s="11" t="s">
        <v>58</v>
      </c>
      <c r="E513" s="11">
        <v>42</v>
      </c>
      <c r="F513" s="11" t="s">
        <v>38</v>
      </c>
      <c r="G513" s="11" t="s">
        <v>51</v>
      </c>
      <c r="H513" s="11" t="s">
        <v>51</v>
      </c>
      <c r="I513" s="11" t="s">
        <v>52</v>
      </c>
      <c r="J513" s="11" t="s">
        <v>42</v>
      </c>
      <c r="K513" s="11" t="s">
        <v>43</v>
      </c>
      <c r="L513" s="11" t="s">
        <v>68</v>
      </c>
      <c r="M513" s="11" t="s">
        <v>106</v>
      </c>
      <c r="N513" s="11">
        <v>33200</v>
      </c>
      <c r="O513" s="11">
        <v>1</v>
      </c>
      <c r="P513" s="17">
        <v>0.08</v>
      </c>
      <c r="Q513" s="11">
        <v>6800</v>
      </c>
      <c r="R513" s="11" t="s">
        <v>46</v>
      </c>
      <c r="S513" s="11" t="s">
        <v>47</v>
      </c>
      <c r="T513" s="11" t="s">
        <v>34</v>
      </c>
      <c r="U513" s="11">
        <v>4</v>
      </c>
      <c r="V513" s="11" t="str">
        <f>TEXT('E-Commerce Sales Data'!$B513,"mmmm")</f>
        <v>September</v>
      </c>
      <c r="W513" s="8">
        <f t="shared" si="28"/>
        <v>3523465</v>
      </c>
      <c r="X513">
        <f t="shared" si="29"/>
        <v>689</v>
      </c>
      <c r="Y513">
        <f t="shared" si="30"/>
        <v>29543.831640058055</v>
      </c>
      <c r="Z513">
        <f t="shared" si="31"/>
        <v>55</v>
      </c>
    </row>
    <row r="514" spans="1:26" x14ac:dyDescent="0.25">
      <c r="A514" s="5" t="s">
        <v>617</v>
      </c>
      <c r="B514" s="6">
        <v>49216</v>
      </c>
      <c r="C514" s="7" t="s">
        <v>108</v>
      </c>
      <c r="D514" s="7" t="s">
        <v>23</v>
      </c>
      <c r="E514" s="7">
        <v>30</v>
      </c>
      <c r="F514" s="7" t="s">
        <v>24</v>
      </c>
      <c r="G514" s="7" t="s">
        <v>59</v>
      </c>
      <c r="H514" s="7" t="s">
        <v>26</v>
      </c>
      <c r="I514" s="7" t="s">
        <v>27</v>
      </c>
      <c r="J514" s="7" t="s">
        <v>28</v>
      </c>
      <c r="K514" s="7" t="s">
        <v>29</v>
      </c>
      <c r="L514" s="7" t="s">
        <v>30</v>
      </c>
      <c r="M514" s="7" t="s">
        <v>31</v>
      </c>
      <c r="N514" s="7">
        <v>92000</v>
      </c>
      <c r="O514" s="7">
        <v>1</v>
      </c>
      <c r="P514" s="16">
        <v>0.1</v>
      </c>
      <c r="Q514" s="7">
        <v>10600</v>
      </c>
      <c r="R514" s="7" t="s">
        <v>32</v>
      </c>
      <c r="S514" s="7" t="s">
        <v>47</v>
      </c>
      <c r="T514" s="7" t="s">
        <v>34</v>
      </c>
      <c r="U514" s="7">
        <v>5</v>
      </c>
      <c r="V514" s="7" t="str">
        <f>TEXT('E-Commerce Sales Data'!$B514,"mmmm")</f>
        <v>September</v>
      </c>
      <c r="W514" s="8">
        <f t="shared" si="28"/>
        <v>3516665</v>
      </c>
      <c r="X514">
        <f t="shared" si="29"/>
        <v>688</v>
      </c>
      <c r="Y514">
        <f t="shared" si="30"/>
        <v>29538.517441860466</v>
      </c>
      <c r="Z514">
        <f t="shared" si="31"/>
        <v>55</v>
      </c>
    </row>
    <row r="515" spans="1:26" x14ac:dyDescent="0.25">
      <c r="A515" s="9" t="s">
        <v>618</v>
      </c>
      <c r="B515" s="10">
        <v>49223</v>
      </c>
      <c r="C515" s="11" t="s">
        <v>110</v>
      </c>
      <c r="D515" s="11" t="s">
        <v>37</v>
      </c>
      <c r="E515" s="11">
        <v>36</v>
      </c>
      <c r="F515" s="11" t="s">
        <v>38</v>
      </c>
      <c r="G515" s="11" t="s">
        <v>66</v>
      </c>
      <c r="H515" s="11" t="s">
        <v>67</v>
      </c>
      <c r="I515" s="11" t="s">
        <v>27</v>
      </c>
      <c r="J515" s="11" t="s">
        <v>28</v>
      </c>
      <c r="K515" s="11" t="s">
        <v>60</v>
      </c>
      <c r="L515" s="11" t="s">
        <v>92</v>
      </c>
      <c r="M515" s="11" t="s">
        <v>111</v>
      </c>
      <c r="N515" s="11">
        <v>1640</v>
      </c>
      <c r="O515" s="11">
        <v>15</v>
      </c>
      <c r="P515" s="17">
        <v>0.05</v>
      </c>
      <c r="Q515" s="11">
        <v>510</v>
      </c>
      <c r="R515" s="11" t="s">
        <v>80</v>
      </c>
      <c r="S515" s="11" t="s">
        <v>33</v>
      </c>
      <c r="T515" s="11" t="s">
        <v>34</v>
      </c>
      <c r="U515" s="11">
        <v>4</v>
      </c>
      <c r="V515" s="11" t="str">
        <f>TEXT('E-Commerce Sales Data'!$B515,"mmmm")</f>
        <v>October</v>
      </c>
      <c r="W515" s="8">
        <f t="shared" ref="W515:W578" si="32">SUM(Q515:Q1714)</f>
        <v>3506065</v>
      </c>
      <c r="X515">
        <f t="shared" ref="X515:X578" si="33">COUNT(E515:E1714)</f>
        <v>687</v>
      </c>
      <c r="Y515">
        <f t="shared" ref="Y515:Y578" si="34">AVERAGE(N515:N1714)</f>
        <v>29447.598253275108</v>
      </c>
      <c r="Z515">
        <f t="shared" ref="Z515:Z578" si="35">MAX(E515:E1714)</f>
        <v>55</v>
      </c>
    </row>
    <row r="516" spans="1:26" x14ac:dyDescent="0.25">
      <c r="A516" s="5" t="s">
        <v>619</v>
      </c>
      <c r="B516" s="6">
        <v>49230</v>
      </c>
      <c r="C516" s="7" t="s">
        <v>113</v>
      </c>
      <c r="D516" s="7" t="s">
        <v>114</v>
      </c>
      <c r="E516" s="7">
        <v>40</v>
      </c>
      <c r="F516" s="7" t="s">
        <v>24</v>
      </c>
      <c r="G516" s="7" t="s">
        <v>73</v>
      </c>
      <c r="H516" s="7" t="s">
        <v>74</v>
      </c>
      <c r="I516" s="7" t="s">
        <v>41</v>
      </c>
      <c r="J516" s="7" t="s">
        <v>42</v>
      </c>
      <c r="K516" s="7" t="s">
        <v>43</v>
      </c>
      <c r="L516" s="7" t="s">
        <v>44</v>
      </c>
      <c r="M516" s="7" t="s">
        <v>45</v>
      </c>
      <c r="N516" s="7">
        <v>15600</v>
      </c>
      <c r="O516" s="7">
        <v>4</v>
      </c>
      <c r="P516" s="16">
        <v>7.0000000000000007E-2</v>
      </c>
      <c r="Q516" s="7">
        <v>3500</v>
      </c>
      <c r="R516" s="7" t="s">
        <v>46</v>
      </c>
      <c r="S516" s="7" t="s">
        <v>33</v>
      </c>
      <c r="T516" s="7" t="s">
        <v>34</v>
      </c>
      <c r="U516" s="7">
        <v>4</v>
      </c>
      <c r="V516" s="7" t="str">
        <f>TEXT('E-Commerce Sales Data'!$B516,"mmmm")</f>
        <v>October</v>
      </c>
      <c r="W516" s="8">
        <f t="shared" si="32"/>
        <v>3505555</v>
      </c>
      <c r="X516">
        <f t="shared" si="33"/>
        <v>686</v>
      </c>
      <c r="Y516">
        <f t="shared" si="34"/>
        <v>29488.13411078717</v>
      </c>
      <c r="Z516">
        <f t="shared" si="35"/>
        <v>55</v>
      </c>
    </row>
    <row r="517" spans="1:26" x14ac:dyDescent="0.25">
      <c r="A517" s="9" t="s">
        <v>620</v>
      </c>
      <c r="B517" s="10">
        <v>49237</v>
      </c>
      <c r="C517" s="11" t="s">
        <v>116</v>
      </c>
      <c r="D517" s="11" t="s">
        <v>83</v>
      </c>
      <c r="E517" s="11">
        <v>27</v>
      </c>
      <c r="F517" s="11" t="s">
        <v>38</v>
      </c>
      <c r="G517" s="11" t="s">
        <v>39</v>
      </c>
      <c r="H517" s="11" t="s">
        <v>40</v>
      </c>
      <c r="I517" s="11" t="s">
        <v>41</v>
      </c>
      <c r="J517" s="11" t="s">
        <v>28</v>
      </c>
      <c r="K517" s="11" t="s">
        <v>29</v>
      </c>
      <c r="L517" s="11" t="s">
        <v>53</v>
      </c>
      <c r="M517" s="11" t="s">
        <v>54</v>
      </c>
      <c r="N517" s="11">
        <v>32700</v>
      </c>
      <c r="O517" s="11">
        <v>2</v>
      </c>
      <c r="P517" s="17">
        <v>0.05</v>
      </c>
      <c r="Q517" s="11">
        <v>6200</v>
      </c>
      <c r="R517" s="11" t="s">
        <v>32</v>
      </c>
      <c r="S517" s="11" t="s">
        <v>47</v>
      </c>
      <c r="T517" s="11" t="s">
        <v>34</v>
      </c>
      <c r="U517" s="11">
        <v>5</v>
      </c>
      <c r="V517" s="11" t="str">
        <f>TEXT('E-Commerce Sales Data'!$B517,"mmmm")</f>
        <v>October</v>
      </c>
      <c r="W517" s="8">
        <f t="shared" si="32"/>
        <v>3502055</v>
      </c>
      <c r="X517">
        <f t="shared" si="33"/>
        <v>685</v>
      </c>
      <c r="Y517">
        <f t="shared" si="34"/>
        <v>29508.408759124086</v>
      </c>
      <c r="Z517">
        <f t="shared" si="35"/>
        <v>55</v>
      </c>
    </row>
    <row r="518" spans="1:26" x14ac:dyDescent="0.25">
      <c r="A518" s="5" t="s">
        <v>621</v>
      </c>
      <c r="B518" s="6">
        <v>49244</v>
      </c>
      <c r="C518" s="7" t="s">
        <v>118</v>
      </c>
      <c r="D518" s="7" t="s">
        <v>72</v>
      </c>
      <c r="E518" s="7">
        <v>35</v>
      </c>
      <c r="F518" s="7" t="s">
        <v>24</v>
      </c>
      <c r="G518" s="7" t="s">
        <v>84</v>
      </c>
      <c r="H518" s="7" t="s">
        <v>85</v>
      </c>
      <c r="I518" s="7" t="s">
        <v>52</v>
      </c>
      <c r="J518" s="7" t="s">
        <v>42</v>
      </c>
      <c r="K518" s="7" t="s">
        <v>60</v>
      </c>
      <c r="L518" s="7" t="s">
        <v>61</v>
      </c>
      <c r="M518" s="7" t="s">
        <v>62</v>
      </c>
      <c r="N518" s="7">
        <v>7300</v>
      </c>
      <c r="O518" s="7">
        <v>10</v>
      </c>
      <c r="P518" s="16">
        <v>0.03</v>
      </c>
      <c r="Q518" s="7">
        <v>1810</v>
      </c>
      <c r="R518" s="7" t="s">
        <v>55</v>
      </c>
      <c r="S518" s="7" t="s">
        <v>33</v>
      </c>
      <c r="T518" s="7" t="s">
        <v>34</v>
      </c>
      <c r="U518" s="7">
        <v>4</v>
      </c>
      <c r="V518" s="7" t="str">
        <f>TEXT('E-Commerce Sales Data'!$B518,"mmmm")</f>
        <v>October</v>
      </c>
      <c r="W518" s="8">
        <f t="shared" si="32"/>
        <v>3495855</v>
      </c>
      <c r="X518">
        <f t="shared" si="33"/>
        <v>684</v>
      </c>
      <c r="Y518">
        <f t="shared" si="34"/>
        <v>29503.74269005848</v>
      </c>
      <c r="Z518">
        <f t="shared" si="35"/>
        <v>55</v>
      </c>
    </row>
    <row r="519" spans="1:26" x14ac:dyDescent="0.25">
      <c r="A519" s="9" t="s">
        <v>622</v>
      </c>
      <c r="B519" s="10">
        <v>49251</v>
      </c>
      <c r="C519" s="11" t="s">
        <v>120</v>
      </c>
      <c r="D519" s="11" t="s">
        <v>23</v>
      </c>
      <c r="E519" s="11">
        <v>24</v>
      </c>
      <c r="F519" s="11" t="s">
        <v>38</v>
      </c>
      <c r="G519" s="11" t="s">
        <v>25</v>
      </c>
      <c r="H519" s="11" t="s">
        <v>26</v>
      </c>
      <c r="I519" s="11" t="s">
        <v>27</v>
      </c>
      <c r="J519" s="11" t="s">
        <v>28</v>
      </c>
      <c r="K519" s="11" t="s">
        <v>43</v>
      </c>
      <c r="L519" s="11" t="s">
        <v>68</v>
      </c>
      <c r="M519" s="11" t="s">
        <v>69</v>
      </c>
      <c r="N519" s="11">
        <v>30000</v>
      </c>
      <c r="O519" s="11">
        <v>2</v>
      </c>
      <c r="P519" s="17">
        <v>0.1</v>
      </c>
      <c r="Q519" s="11">
        <v>4800</v>
      </c>
      <c r="R519" s="11" t="s">
        <v>32</v>
      </c>
      <c r="S519" s="11" t="s">
        <v>47</v>
      </c>
      <c r="T519" s="11" t="s">
        <v>34</v>
      </c>
      <c r="U519" s="11">
        <v>5</v>
      </c>
      <c r="V519" s="11" t="str">
        <f>TEXT('E-Commerce Sales Data'!$B519,"mmmm")</f>
        <v>November</v>
      </c>
      <c r="W519" s="8">
        <f t="shared" si="32"/>
        <v>3494045</v>
      </c>
      <c r="X519">
        <f t="shared" si="33"/>
        <v>683</v>
      </c>
      <c r="Y519">
        <f t="shared" si="34"/>
        <v>29536.251830161054</v>
      </c>
      <c r="Z519">
        <f t="shared" si="35"/>
        <v>55</v>
      </c>
    </row>
    <row r="520" spans="1:26" x14ac:dyDescent="0.25">
      <c r="A520" s="5" t="s">
        <v>623</v>
      </c>
      <c r="B520" s="6">
        <v>49258</v>
      </c>
      <c r="C520" s="7" t="s">
        <v>122</v>
      </c>
      <c r="D520" s="7" t="s">
        <v>50</v>
      </c>
      <c r="E520" s="7">
        <v>43</v>
      </c>
      <c r="F520" s="7" t="s">
        <v>24</v>
      </c>
      <c r="G520" s="7" t="s">
        <v>101</v>
      </c>
      <c r="H520" s="7" t="s">
        <v>102</v>
      </c>
      <c r="I520" s="7" t="s">
        <v>41</v>
      </c>
      <c r="J520" s="7" t="s">
        <v>42</v>
      </c>
      <c r="K520" s="7" t="s">
        <v>29</v>
      </c>
      <c r="L520" s="7" t="s">
        <v>53</v>
      </c>
      <c r="M520" s="7" t="s">
        <v>75</v>
      </c>
      <c r="N520" s="7">
        <v>4950</v>
      </c>
      <c r="O520" s="7">
        <v>4</v>
      </c>
      <c r="P520" s="16">
        <v>0.05</v>
      </c>
      <c r="Q520" s="7">
        <v>1260</v>
      </c>
      <c r="R520" s="7" t="s">
        <v>46</v>
      </c>
      <c r="S520" s="7" t="s">
        <v>33</v>
      </c>
      <c r="T520" s="7" t="s">
        <v>34</v>
      </c>
      <c r="U520" s="7">
        <v>3</v>
      </c>
      <c r="V520" s="7" t="str">
        <f>TEXT('E-Commerce Sales Data'!$B520,"mmmm")</f>
        <v>November</v>
      </c>
      <c r="W520" s="8">
        <f t="shared" si="32"/>
        <v>3489245</v>
      </c>
      <c r="X520">
        <f t="shared" si="33"/>
        <v>682</v>
      </c>
      <c r="Y520">
        <f t="shared" si="34"/>
        <v>29535.57184750733</v>
      </c>
      <c r="Z520">
        <f t="shared" si="35"/>
        <v>55</v>
      </c>
    </row>
    <row r="521" spans="1:26" x14ac:dyDescent="0.25">
      <c r="A521" s="9" t="s">
        <v>624</v>
      </c>
      <c r="B521" s="10">
        <v>49265</v>
      </c>
      <c r="C521" s="11" t="s">
        <v>124</v>
      </c>
      <c r="D521" s="11" t="s">
        <v>100</v>
      </c>
      <c r="E521" s="11">
        <v>32</v>
      </c>
      <c r="F521" s="11" t="s">
        <v>38</v>
      </c>
      <c r="G521" s="11" t="s">
        <v>78</v>
      </c>
      <c r="H521" s="11" t="s">
        <v>26</v>
      </c>
      <c r="I521" s="11" t="s">
        <v>27</v>
      </c>
      <c r="J521" s="11" t="s">
        <v>28</v>
      </c>
      <c r="K521" s="11" t="s">
        <v>29</v>
      </c>
      <c r="L521" s="11" t="s">
        <v>53</v>
      </c>
      <c r="M521" s="11" t="s">
        <v>79</v>
      </c>
      <c r="N521" s="11">
        <v>3800</v>
      </c>
      <c r="O521" s="11">
        <v>7</v>
      </c>
      <c r="P521" s="17">
        <v>0</v>
      </c>
      <c r="Q521" s="11">
        <v>1140</v>
      </c>
      <c r="R521" s="11" t="s">
        <v>32</v>
      </c>
      <c r="S521" s="11" t="s">
        <v>33</v>
      </c>
      <c r="T521" s="11" t="s">
        <v>34</v>
      </c>
      <c r="U521" s="11">
        <v>4</v>
      </c>
      <c r="V521" s="11" t="str">
        <f>TEXT('E-Commerce Sales Data'!$B521,"mmmm")</f>
        <v>November</v>
      </c>
      <c r="W521" s="8">
        <f t="shared" si="32"/>
        <v>3487985</v>
      </c>
      <c r="X521">
        <f t="shared" si="33"/>
        <v>681</v>
      </c>
      <c r="Y521">
        <f t="shared" si="34"/>
        <v>29571.674008810573</v>
      </c>
      <c r="Z521">
        <f t="shared" si="35"/>
        <v>55</v>
      </c>
    </row>
    <row r="522" spans="1:26" x14ac:dyDescent="0.25">
      <c r="A522" s="5" t="s">
        <v>625</v>
      </c>
      <c r="B522" s="6">
        <v>49272</v>
      </c>
      <c r="C522" s="7" t="s">
        <v>22</v>
      </c>
      <c r="D522" s="7" t="s">
        <v>23</v>
      </c>
      <c r="E522" s="7">
        <v>28</v>
      </c>
      <c r="F522" s="7" t="s">
        <v>24</v>
      </c>
      <c r="G522" s="7" t="s">
        <v>25</v>
      </c>
      <c r="H522" s="7" t="s">
        <v>26</v>
      </c>
      <c r="I522" s="7" t="s">
        <v>27</v>
      </c>
      <c r="J522" s="7" t="s">
        <v>28</v>
      </c>
      <c r="K522" s="7" t="s">
        <v>29</v>
      </c>
      <c r="L522" s="7" t="s">
        <v>30</v>
      </c>
      <c r="M522" s="7" t="s">
        <v>31</v>
      </c>
      <c r="N522" s="7">
        <v>88000</v>
      </c>
      <c r="O522" s="7">
        <v>1</v>
      </c>
      <c r="P522" s="16">
        <v>0.05</v>
      </c>
      <c r="Q522" s="7">
        <v>11700</v>
      </c>
      <c r="R522" s="7" t="s">
        <v>32</v>
      </c>
      <c r="S522" s="7" t="s">
        <v>47</v>
      </c>
      <c r="T522" s="7" t="s">
        <v>34</v>
      </c>
      <c r="U522" s="7">
        <v>5</v>
      </c>
      <c r="V522" s="7" t="str">
        <f>TEXT('E-Commerce Sales Data'!$B522,"mmmm")</f>
        <v>November</v>
      </c>
      <c r="W522" s="8">
        <f t="shared" si="32"/>
        <v>3486845</v>
      </c>
      <c r="X522">
        <f t="shared" si="33"/>
        <v>680</v>
      </c>
      <c r="Y522">
        <f t="shared" si="34"/>
        <v>29609.573529411766</v>
      </c>
      <c r="Z522">
        <f t="shared" si="35"/>
        <v>55</v>
      </c>
    </row>
    <row r="523" spans="1:26" x14ac:dyDescent="0.25">
      <c r="A523" s="9" t="s">
        <v>626</v>
      </c>
      <c r="B523" s="10">
        <v>49279</v>
      </c>
      <c r="C523" s="11" t="s">
        <v>36</v>
      </c>
      <c r="D523" s="11" t="s">
        <v>37</v>
      </c>
      <c r="E523" s="11">
        <v>34</v>
      </c>
      <c r="F523" s="11" t="s">
        <v>38</v>
      </c>
      <c r="G523" s="11" t="s">
        <v>39</v>
      </c>
      <c r="H523" s="11" t="s">
        <v>40</v>
      </c>
      <c r="I523" s="11" t="s">
        <v>41</v>
      </c>
      <c r="J523" s="11" t="s">
        <v>42</v>
      </c>
      <c r="K523" s="11" t="s">
        <v>43</v>
      </c>
      <c r="L523" s="11" t="s">
        <v>44</v>
      </c>
      <c r="M523" s="11" t="s">
        <v>45</v>
      </c>
      <c r="N523" s="11">
        <v>13100</v>
      </c>
      <c r="O523" s="11">
        <v>3</v>
      </c>
      <c r="P523" s="17">
        <v>0.1</v>
      </c>
      <c r="Q523" s="11">
        <v>3020</v>
      </c>
      <c r="R523" s="11" t="s">
        <v>46</v>
      </c>
      <c r="S523" s="11" t="s">
        <v>33</v>
      </c>
      <c r="T523" s="11" t="s">
        <v>34</v>
      </c>
      <c r="U523" s="11">
        <v>4</v>
      </c>
      <c r="V523" s="11" t="str">
        <f>TEXT('E-Commerce Sales Data'!$B523,"mmmm")</f>
        <v>December</v>
      </c>
      <c r="W523" s="8">
        <f t="shared" si="32"/>
        <v>3475145</v>
      </c>
      <c r="X523">
        <f t="shared" si="33"/>
        <v>679</v>
      </c>
      <c r="Y523">
        <f t="shared" si="34"/>
        <v>29523.578792341679</v>
      </c>
      <c r="Z523">
        <f t="shared" si="35"/>
        <v>55</v>
      </c>
    </row>
    <row r="524" spans="1:26" x14ac:dyDescent="0.25">
      <c r="A524" s="5" t="s">
        <v>627</v>
      </c>
      <c r="B524" s="6">
        <v>49286</v>
      </c>
      <c r="C524" s="7" t="s">
        <v>49</v>
      </c>
      <c r="D524" s="7" t="s">
        <v>50</v>
      </c>
      <c r="E524" s="7">
        <v>41</v>
      </c>
      <c r="F524" s="7" t="s">
        <v>24</v>
      </c>
      <c r="G524" s="7" t="s">
        <v>51</v>
      </c>
      <c r="H524" s="7" t="s">
        <v>51</v>
      </c>
      <c r="I524" s="7" t="s">
        <v>52</v>
      </c>
      <c r="J524" s="7" t="s">
        <v>28</v>
      </c>
      <c r="K524" s="7" t="s">
        <v>29</v>
      </c>
      <c r="L524" s="7" t="s">
        <v>53</v>
      </c>
      <c r="M524" s="7" t="s">
        <v>54</v>
      </c>
      <c r="N524" s="7">
        <v>30600</v>
      </c>
      <c r="O524" s="7">
        <v>2</v>
      </c>
      <c r="P524" s="16">
        <v>0.05</v>
      </c>
      <c r="Q524" s="7">
        <v>5750</v>
      </c>
      <c r="R524" s="7" t="s">
        <v>55</v>
      </c>
      <c r="S524" s="7" t="s">
        <v>33</v>
      </c>
      <c r="T524" s="7" t="s">
        <v>34</v>
      </c>
      <c r="U524" s="7">
        <v>4</v>
      </c>
      <c r="V524" s="7" t="str">
        <f>TEXT('E-Commerce Sales Data'!$B524,"mmmm")</f>
        <v>December</v>
      </c>
      <c r="W524" s="8">
        <f t="shared" si="32"/>
        <v>3472125</v>
      </c>
      <c r="X524">
        <f t="shared" si="33"/>
        <v>678</v>
      </c>
      <c r="Y524">
        <f t="shared" si="34"/>
        <v>29547.802359882007</v>
      </c>
      <c r="Z524">
        <f t="shared" si="35"/>
        <v>55</v>
      </c>
    </row>
    <row r="525" spans="1:26" x14ac:dyDescent="0.25">
      <c r="A525" s="9" t="s">
        <v>628</v>
      </c>
      <c r="B525" s="10">
        <v>49293</v>
      </c>
      <c r="C525" s="11" t="s">
        <v>57</v>
      </c>
      <c r="D525" s="11" t="s">
        <v>58</v>
      </c>
      <c r="E525" s="11">
        <v>26</v>
      </c>
      <c r="F525" s="11" t="s">
        <v>38</v>
      </c>
      <c r="G525" s="11" t="s">
        <v>59</v>
      </c>
      <c r="H525" s="11" t="s">
        <v>26</v>
      </c>
      <c r="I525" s="11" t="s">
        <v>27</v>
      </c>
      <c r="J525" s="11" t="s">
        <v>28</v>
      </c>
      <c r="K525" s="11" t="s">
        <v>60</v>
      </c>
      <c r="L525" s="11" t="s">
        <v>61</v>
      </c>
      <c r="M525" s="11" t="s">
        <v>86</v>
      </c>
      <c r="N525" s="11">
        <v>890</v>
      </c>
      <c r="O525" s="11">
        <v>20</v>
      </c>
      <c r="P525" s="17">
        <v>0.02</v>
      </c>
      <c r="Q525" s="11">
        <v>260</v>
      </c>
      <c r="R525" s="11" t="s">
        <v>32</v>
      </c>
      <c r="S525" s="11" t="s">
        <v>33</v>
      </c>
      <c r="T525" s="11" t="s">
        <v>34</v>
      </c>
      <c r="U525" s="11">
        <v>5</v>
      </c>
      <c r="V525" s="11" t="str">
        <f>TEXT('E-Commerce Sales Data'!$B525,"mmmm")</f>
        <v>December</v>
      </c>
      <c r="W525" s="8">
        <f t="shared" si="32"/>
        <v>3466375</v>
      </c>
      <c r="X525">
        <f t="shared" si="33"/>
        <v>677</v>
      </c>
      <c r="Y525">
        <f t="shared" si="34"/>
        <v>29546.248153618908</v>
      </c>
      <c r="Z525">
        <f t="shared" si="35"/>
        <v>55</v>
      </c>
    </row>
    <row r="526" spans="1:26" x14ac:dyDescent="0.25">
      <c r="A526" s="5" t="s">
        <v>629</v>
      </c>
      <c r="B526" s="6">
        <v>49300</v>
      </c>
      <c r="C526" s="7" t="s">
        <v>64</v>
      </c>
      <c r="D526" s="7" t="s">
        <v>65</v>
      </c>
      <c r="E526" s="7">
        <v>39</v>
      </c>
      <c r="F526" s="7" t="s">
        <v>24</v>
      </c>
      <c r="G526" s="7" t="s">
        <v>66</v>
      </c>
      <c r="H526" s="7" t="s">
        <v>67</v>
      </c>
      <c r="I526" s="7" t="s">
        <v>27</v>
      </c>
      <c r="J526" s="7" t="s">
        <v>42</v>
      </c>
      <c r="K526" s="7" t="s">
        <v>43</v>
      </c>
      <c r="L526" s="7" t="s">
        <v>68</v>
      </c>
      <c r="M526" s="7" t="s">
        <v>69</v>
      </c>
      <c r="N526" s="7">
        <v>31000</v>
      </c>
      <c r="O526" s="7">
        <v>2</v>
      </c>
      <c r="P526" s="16">
        <v>0.08</v>
      </c>
      <c r="Q526" s="7">
        <v>5320</v>
      </c>
      <c r="R526" s="7" t="s">
        <v>46</v>
      </c>
      <c r="S526" s="7" t="s">
        <v>47</v>
      </c>
      <c r="T526" s="7" t="s">
        <v>34</v>
      </c>
      <c r="U526" s="7">
        <v>4</v>
      </c>
      <c r="V526" s="7" t="str">
        <f>TEXT('E-Commerce Sales Data'!$B526,"mmmm")</f>
        <v>December</v>
      </c>
      <c r="W526" s="8">
        <f t="shared" si="32"/>
        <v>3466115</v>
      </c>
      <c r="X526">
        <f t="shared" si="33"/>
        <v>676</v>
      </c>
      <c r="Y526">
        <f t="shared" si="34"/>
        <v>29588.639053254439</v>
      </c>
      <c r="Z526">
        <f t="shared" si="35"/>
        <v>55</v>
      </c>
    </row>
    <row r="527" spans="1:26" x14ac:dyDescent="0.25">
      <c r="A527" s="9" t="s">
        <v>630</v>
      </c>
      <c r="B527" s="10">
        <v>49307</v>
      </c>
      <c r="C527" s="11" t="s">
        <v>71</v>
      </c>
      <c r="D527" s="11" t="s">
        <v>72</v>
      </c>
      <c r="E527" s="11">
        <v>31</v>
      </c>
      <c r="F527" s="11" t="s">
        <v>38</v>
      </c>
      <c r="G527" s="11" t="s">
        <v>73</v>
      </c>
      <c r="H527" s="11" t="s">
        <v>74</v>
      </c>
      <c r="I527" s="11" t="s">
        <v>41</v>
      </c>
      <c r="J527" s="11" t="s">
        <v>28</v>
      </c>
      <c r="K527" s="11" t="s">
        <v>29</v>
      </c>
      <c r="L527" s="11" t="s">
        <v>53</v>
      </c>
      <c r="M527" s="11" t="s">
        <v>75</v>
      </c>
      <c r="N527" s="11">
        <v>4650</v>
      </c>
      <c r="O527" s="11">
        <v>3</v>
      </c>
      <c r="P527" s="17">
        <v>0.05</v>
      </c>
      <c r="Q527" s="11">
        <v>1200</v>
      </c>
      <c r="R527" s="11" t="s">
        <v>32</v>
      </c>
      <c r="S527" s="11" t="s">
        <v>33</v>
      </c>
      <c r="T527" s="11" t="s">
        <v>34</v>
      </c>
      <c r="U527" s="11">
        <v>4</v>
      </c>
      <c r="V527" s="11" t="str">
        <f>TEXT('E-Commerce Sales Data'!$B527,"mmmm")</f>
        <v>December</v>
      </c>
      <c r="W527" s="8">
        <f t="shared" si="32"/>
        <v>3460795</v>
      </c>
      <c r="X527">
        <f t="shared" si="33"/>
        <v>675</v>
      </c>
      <c r="Y527">
        <f t="shared" si="34"/>
        <v>29586.548148148147</v>
      </c>
      <c r="Z527">
        <f t="shared" si="35"/>
        <v>55</v>
      </c>
    </row>
    <row r="528" spans="1:26" x14ac:dyDescent="0.25">
      <c r="A528" s="5" t="s">
        <v>631</v>
      </c>
      <c r="B528" s="6">
        <v>49314</v>
      </c>
      <c r="C528" s="7" t="s">
        <v>77</v>
      </c>
      <c r="D528" s="7" t="s">
        <v>23</v>
      </c>
      <c r="E528" s="7">
        <v>29</v>
      </c>
      <c r="F528" s="7" t="s">
        <v>24</v>
      </c>
      <c r="G528" s="7" t="s">
        <v>78</v>
      </c>
      <c r="H528" s="7" t="s">
        <v>26</v>
      </c>
      <c r="I528" s="7" t="s">
        <v>27</v>
      </c>
      <c r="J528" s="7" t="s">
        <v>28</v>
      </c>
      <c r="K528" s="7" t="s">
        <v>29</v>
      </c>
      <c r="L528" s="7" t="s">
        <v>53</v>
      </c>
      <c r="M528" s="7" t="s">
        <v>79</v>
      </c>
      <c r="N528" s="7">
        <v>3900</v>
      </c>
      <c r="O528" s="7">
        <v>6</v>
      </c>
      <c r="P528" s="16">
        <v>0</v>
      </c>
      <c r="Q528" s="7">
        <v>1170</v>
      </c>
      <c r="R528" s="7" t="s">
        <v>80</v>
      </c>
      <c r="S528" s="7" t="s">
        <v>33</v>
      </c>
      <c r="T528" s="7" t="s">
        <v>34</v>
      </c>
      <c r="U528" s="7">
        <v>3</v>
      </c>
      <c r="V528" s="7" t="str">
        <f>TEXT('E-Commerce Sales Data'!$B528,"mmmm")</f>
        <v>January</v>
      </c>
      <c r="W528" s="8">
        <f t="shared" si="32"/>
        <v>3459595</v>
      </c>
      <c r="X528">
        <f t="shared" si="33"/>
        <v>674</v>
      </c>
      <c r="Y528">
        <f t="shared" si="34"/>
        <v>29623.545994065284</v>
      </c>
      <c r="Z528">
        <f t="shared" si="35"/>
        <v>55</v>
      </c>
    </row>
    <row r="529" spans="1:26" x14ac:dyDescent="0.25">
      <c r="A529" s="9" t="s">
        <v>632</v>
      </c>
      <c r="B529" s="10">
        <v>49321</v>
      </c>
      <c r="C529" s="11" t="s">
        <v>82</v>
      </c>
      <c r="D529" s="11" t="s">
        <v>83</v>
      </c>
      <c r="E529" s="11">
        <v>37</v>
      </c>
      <c r="F529" s="11" t="s">
        <v>38</v>
      </c>
      <c r="G529" s="11" t="s">
        <v>84</v>
      </c>
      <c r="H529" s="11" t="s">
        <v>85</v>
      </c>
      <c r="I529" s="11" t="s">
        <v>52</v>
      </c>
      <c r="J529" s="11" t="s">
        <v>42</v>
      </c>
      <c r="K529" s="11" t="s">
        <v>60</v>
      </c>
      <c r="L529" s="11" t="s">
        <v>61</v>
      </c>
      <c r="M529" s="11" t="s">
        <v>62</v>
      </c>
      <c r="N529" s="11">
        <v>7400</v>
      </c>
      <c r="O529" s="11">
        <v>10</v>
      </c>
      <c r="P529" s="17">
        <v>0.02</v>
      </c>
      <c r="Q529" s="11">
        <v>1830</v>
      </c>
      <c r="R529" s="11" t="s">
        <v>32</v>
      </c>
      <c r="S529" s="11" t="s">
        <v>33</v>
      </c>
      <c r="T529" s="11" t="s">
        <v>34</v>
      </c>
      <c r="U529" s="11">
        <v>5</v>
      </c>
      <c r="V529" s="11" t="str">
        <f>TEXT('E-Commerce Sales Data'!$B529,"mmmm")</f>
        <v>January</v>
      </c>
      <c r="W529" s="8">
        <f t="shared" si="32"/>
        <v>3458425</v>
      </c>
      <c r="X529">
        <f t="shared" si="33"/>
        <v>673</v>
      </c>
      <c r="Y529">
        <f t="shared" si="34"/>
        <v>29661.768202080239</v>
      </c>
      <c r="Z529">
        <f t="shared" si="35"/>
        <v>55</v>
      </c>
    </row>
    <row r="530" spans="1:26" x14ac:dyDescent="0.25">
      <c r="A530" s="5" t="s">
        <v>633</v>
      </c>
      <c r="B530" s="6">
        <v>49328</v>
      </c>
      <c r="C530" s="7" t="s">
        <v>88</v>
      </c>
      <c r="D530" s="7" t="s">
        <v>37</v>
      </c>
      <c r="E530" s="7">
        <v>45</v>
      </c>
      <c r="F530" s="7" t="s">
        <v>24</v>
      </c>
      <c r="G530" s="7" t="s">
        <v>89</v>
      </c>
      <c r="H530" s="7" t="s">
        <v>90</v>
      </c>
      <c r="I530" s="7" t="s">
        <v>91</v>
      </c>
      <c r="J530" s="7" t="s">
        <v>42</v>
      </c>
      <c r="K530" s="7" t="s">
        <v>43</v>
      </c>
      <c r="L530" s="7" t="s">
        <v>92</v>
      </c>
      <c r="M530" s="7" t="s">
        <v>93</v>
      </c>
      <c r="N530" s="7">
        <v>20600</v>
      </c>
      <c r="O530" s="7">
        <v>1</v>
      </c>
      <c r="P530" s="16">
        <v>0.1</v>
      </c>
      <c r="Q530" s="7">
        <v>3660</v>
      </c>
      <c r="R530" s="7" t="s">
        <v>46</v>
      </c>
      <c r="S530" s="7" t="s">
        <v>47</v>
      </c>
      <c r="T530" s="7" t="s">
        <v>34</v>
      </c>
      <c r="U530" s="7">
        <v>4</v>
      </c>
      <c r="V530" s="7" t="str">
        <f>TEXT('E-Commerce Sales Data'!$B530,"mmmm")</f>
        <v>January</v>
      </c>
      <c r="W530" s="8">
        <f t="shared" si="32"/>
        <v>3456595</v>
      </c>
      <c r="X530">
        <f t="shared" si="33"/>
        <v>672</v>
      </c>
      <c r="Y530">
        <f t="shared" si="34"/>
        <v>29694.895833333332</v>
      </c>
      <c r="Z530">
        <f t="shared" si="35"/>
        <v>55</v>
      </c>
    </row>
    <row r="531" spans="1:26" x14ac:dyDescent="0.25">
      <c r="A531" s="9" t="s">
        <v>634</v>
      </c>
      <c r="B531" s="10">
        <v>49335</v>
      </c>
      <c r="C531" s="11" t="s">
        <v>95</v>
      </c>
      <c r="D531" s="11" t="s">
        <v>65</v>
      </c>
      <c r="E531" s="11">
        <v>25</v>
      </c>
      <c r="F531" s="11" t="s">
        <v>38</v>
      </c>
      <c r="G531" s="11" t="s">
        <v>25</v>
      </c>
      <c r="H531" s="11" t="s">
        <v>26</v>
      </c>
      <c r="I531" s="11" t="s">
        <v>27</v>
      </c>
      <c r="J531" s="11" t="s">
        <v>28</v>
      </c>
      <c r="K531" s="11" t="s">
        <v>29</v>
      </c>
      <c r="L531" s="11" t="s">
        <v>96</v>
      </c>
      <c r="M531" s="11" t="s">
        <v>97</v>
      </c>
      <c r="N531" s="11">
        <v>22800</v>
      </c>
      <c r="O531" s="11">
        <v>2</v>
      </c>
      <c r="P531" s="17">
        <v>0.05</v>
      </c>
      <c r="Q531" s="11">
        <v>4420</v>
      </c>
      <c r="R531" s="11" t="s">
        <v>32</v>
      </c>
      <c r="S531" s="11" t="s">
        <v>33</v>
      </c>
      <c r="T531" s="11" t="s">
        <v>34</v>
      </c>
      <c r="U531" s="11">
        <v>4</v>
      </c>
      <c r="V531" s="11" t="str">
        <f>TEXT('E-Commerce Sales Data'!$B531,"mmmm")</f>
        <v>January</v>
      </c>
      <c r="W531" s="8">
        <f t="shared" si="32"/>
        <v>3452935</v>
      </c>
      <c r="X531">
        <f t="shared" si="33"/>
        <v>671</v>
      </c>
      <c r="Y531">
        <f t="shared" si="34"/>
        <v>29708.450074515647</v>
      </c>
      <c r="Z531">
        <f t="shared" si="35"/>
        <v>55</v>
      </c>
    </row>
    <row r="532" spans="1:26" x14ac:dyDescent="0.25">
      <c r="A532" s="5" t="s">
        <v>635</v>
      </c>
      <c r="B532" s="6">
        <v>49342</v>
      </c>
      <c r="C532" s="7" t="s">
        <v>99</v>
      </c>
      <c r="D532" s="7" t="s">
        <v>100</v>
      </c>
      <c r="E532" s="7">
        <v>33</v>
      </c>
      <c r="F532" s="7" t="s">
        <v>24</v>
      </c>
      <c r="G532" s="7" t="s">
        <v>101</v>
      </c>
      <c r="H532" s="7" t="s">
        <v>102</v>
      </c>
      <c r="I532" s="7" t="s">
        <v>41</v>
      </c>
      <c r="J532" s="7" t="s">
        <v>28</v>
      </c>
      <c r="K532" s="7" t="s">
        <v>60</v>
      </c>
      <c r="L532" s="7" t="s">
        <v>53</v>
      </c>
      <c r="M532" s="7" t="s">
        <v>103</v>
      </c>
      <c r="N532" s="7">
        <v>1290</v>
      </c>
      <c r="O532" s="7">
        <v>25</v>
      </c>
      <c r="P532" s="16">
        <v>0</v>
      </c>
      <c r="Q532" s="7">
        <v>400</v>
      </c>
      <c r="R532" s="7" t="s">
        <v>55</v>
      </c>
      <c r="S532" s="7" t="s">
        <v>33</v>
      </c>
      <c r="T532" s="7" t="s">
        <v>34</v>
      </c>
      <c r="U532" s="7">
        <v>5</v>
      </c>
      <c r="V532" s="7" t="str">
        <f>TEXT('E-Commerce Sales Data'!$B532,"mmmm")</f>
        <v>February</v>
      </c>
      <c r="W532" s="8">
        <f t="shared" si="32"/>
        <v>3448515</v>
      </c>
      <c r="X532">
        <f t="shared" si="33"/>
        <v>670</v>
      </c>
      <c r="Y532">
        <f t="shared" si="34"/>
        <v>29718.761194029852</v>
      </c>
      <c r="Z532">
        <f t="shared" si="35"/>
        <v>55</v>
      </c>
    </row>
    <row r="533" spans="1:26" x14ac:dyDescent="0.25">
      <c r="A533" s="9" t="s">
        <v>636</v>
      </c>
      <c r="B533" s="10">
        <v>49349</v>
      </c>
      <c r="C533" s="11" t="s">
        <v>105</v>
      </c>
      <c r="D533" s="11" t="s">
        <v>58</v>
      </c>
      <c r="E533" s="11">
        <v>42</v>
      </c>
      <c r="F533" s="11" t="s">
        <v>38</v>
      </c>
      <c r="G533" s="11" t="s">
        <v>51</v>
      </c>
      <c r="H533" s="11" t="s">
        <v>51</v>
      </c>
      <c r="I533" s="11" t="s">
        <v>52</v>
      </c>
      <c r="J533" s="11" t="s">
        <v>42</v>
      </c>
      <c r="K533" s="11" t="s">
        <v>43</v>
      </c>
      <c r="L533" s="11" t="s">
        <v>68</v>
      </c>
      <c r="M533" s="11" t="s">
        <v>106</v>
      </c>
      <c r="N533" s="11">
        <v>33800</v>
      </c>
      <c r="O533" s="11">
        <v>1</v>
      </c>
      <c r="P533" s="17">
        <v>0.08</v>
      </c>
      <c r="Q533" s="11">
        <v>6950</v>
      </c>
      <c r="R533" s="11" t="s">
        <v>46</v>
      </c>
      <c r="S533" s="11" t="s">
        <v>47</v>
      </c>
      <c r="T533" s="11" t="s">
        <v>34</v>
      </c>
      <c r="U533" s="11">
        <v>4</v>
      </c>
      <c r="V533" s="11" t="str">
        <f>TEXT('E-Commerce Sales Data'!$B533,"mmmm")</f>
        <v>February</v>
      </c>
      <c r="W533" s="8">
        <f t="shared" si="32"/>
        <v>3448115</v>
      </c>
      <c r="X533">
        <f t="shared" si="33"/>
        <v>669</v>
      </c>
      <c r="Y533">
        <f t="shared" si="34"/>
        <v>29761.255605381168</v>
      </c>
      <c r="Z533">
        <f t="shared" si="35"/>
        <v>55</v>
      </c>
    </row>
    <row r="534" spans="1:26" x14ac:dyDescent="0.25">
      <c r="A534" s="5" t="s">
        <v>637</v>
      </c>
      <c r="B534" s="6">
        <v>49356</v>
      </c>
      <c r="C534" s="7" t="s">
        <v>108</v>
      </c>
      <c r="D534" s="7" t="s">
        <v>23</v>
      </c>
      <c r="E534" s="7">
        <v>30</v>
      </c>
      <c r="F534" s="7" t="s">
        <v>24</v>
      </c>
      <c r="G534" s="7" t="s">
        <v>59</v>
      </c>
      <c r="H534" s="7" t="s">
        <v>26</v>
      </c>
      <c r="I534" s="7" t="s">
        <v>27</v>
      </c>
      <c r="J534" s="7" t="s">
        <v>28</v>
      </c>
      <c r="K534" s="7" t="s">
        <v>29</v>
      </c>
      <c r="L534" s="7" t="s">
        <v>30</v>
      </c>
      <c r="M534" s="7" t="s">
        <v>31</v>
      </c>
      <c r="N534" s="7">
        <v>93500</v>
      </c>
      <c r="O534" s="7">
        <v>1</v>
      </c>
      <c r="P534" s="16">
        <v>0.1</v>
      </c>
      <c r="Q534" s="7">
        <v>10800</v>
      </c>
      <c r="R534" s="7" t="s">
        <v>32</v>
      </c>
      <c r="S534" s="7" t="s">
        <v>47</v>
      </c>
      <c r="T534" s="7" t="s">
        <v>34</v>
      </c>
      <c r="U534" s="7">
        <v>5</v>
      </c>
      <c r="V534" s="7" t="str">
        <f>TEXT('E-Commerce Sales Data'!$B534,"mmmm")</f>
        <v>February</v>
      </c>
      <c r="W534" s="8">
        <f t="shared" si="32"/>
        <v>3441165</v>
      </c>
      <c r="X534">
        <f t="shared" si="33"/>
        <v>668</v>
      </c>
      <c r="Y534">
        <f t="shared" si="34"/>
        <v>29755.209580838324</v>
      </c>
      <c r="Z534">
        <f t="shared" si="35"/>
        <v>55</v>
      </c>
    </row>
    <row r="535" spans="1:26" x14ac:dyDescent="0.25">
      <c r="A535" s="9" t="s">
        <v>638</v>
      </c>
      <c r="B535" s="10">
        <v>49363</v>
      </c>
      <c r="C535" s="11" t="s">
        <v>110</v>
      </c>
      <c r="D535" s="11" t="s">
        <v>37</v>
      </c>
      <c r="E535" s="11">
        <v>36</v>
      </c>
      <c r="F535" s="11" t="s">
        <v>38</v>
      </c>
      <c r="G535" s="11" t="s">
        <v>66</v>
      </c>
      <c r="H535" s="11" t="s">
        <v>67</v>
      </c>
      <c r="I535" s="11" t="s">
        <v>27</v>
      </c>
      <c r="J535" s="11" t="s">
        <v>28</v>
      </c>
      <c r="K535" s="11" t="s">
        <v>60</v>
      </c>
      <c r="L535" s="11" t="s">
        <v>92</v>
      </c>
      <c r="M535" s="11" t="s">
        <v>111</v>
      </c>
      <c r="N535" s="11">
        <v>1680</v>
      </c>
      <c r="O535" s="11">
        <v>15</v>
      </c>
      <c r="P535" s="17">
        <v>0.05</v>
      </c>
      <c r="Q535" s="11">
        <v>525</v>
      </c>
      <c r="R535" s="11" t="s">
        <v>80</v>
      </c>
      <c r="S535" s="11" t="s">
        <v>33</v>
      </c>
      <c r="T535" s="11" t="s">
        <v>34</v>
      </c>
      <c r="U535" s="11">
        <v>4</v>
      </c>
      <c r="V535" s="11" t="str">
        <f>TEXT('E-Commerce Sales Data'!$B535,"mmmm")</f>
        <v>February</v>
      </c>
      <c r="W535" s="8">
        <f t="shared" si="32"/>
        <v>3430365</v>
      </c>
      <c r="X535">
        <f t="shared" si="33"/>
        <v>667</v>
      </c>
      <c r="Y535">
        <f t="shared" si="34"/>
        <v>29659.640179910046</v>
      </c>
      <c r="Z535">
        <f t="shared" si="35"/>
        <v>55</v>
      </c>
    </row>
    <row r="536" spans="1:26" x14ac:dyDescent="0.25">
      <c r="A536" s="5" t="s">
        <v>639</v>
      </c>
      <c r="B536" s="6">
        <v>49370</v>
      </c>
      <c r="C536" s="7" t="s">
        <v>113</v>
      </c>
      <c r="D536" s="7" t="s">
        <v>114</v>
      </c>
      <c r="E536" s="7">
        <v>40</v>
      </c>
      <c r="F536" s="7" t="s">
        <v>24</v>
      </c>
      <c r="G536" s="7" t="s">
        <v>73</v>
      </c>
      <c r="H536" s="7" t="s">
        <v>74</v>
      </c>
      <c r="I536" s="7" t="s">
        <v>41</v>
      </c>
      <c r="J536" s="7" t="s">
        <v>42</v>
      </c>
      <c r="K536" s="7" t="s">
        <v>43</v>
      </c>
      <c r="L536" s="7" t="s">
        <v>44</v>
      </c>
      <c r="M536" s="7" t="s">
        <v>45</v>
      </c>
      <c r="N536" s="7">
        <v>16000</v>
      </c>
      <c r="O536" s="7">
        <v>4</v>
      </c>
      <c r="P536" s="16">
        <v>7.0000000000000007E-2</v>
      </c>
      <c r="Q536" s="7">
        <v>3600</v>
      </c>
      <c r="R536" s="7" t="s">
        <v>46</v>
      </c>
      <c r="S536" s="7" t="s">
        <v>33</v>
      </c>
      <c r="T536" s="7" t="s">
        <v>34</v>
      </c>
      <c r="U536" s="7">
        <v>4</v>
      </c>
      <c r="V536" s="7" t="str">
        <f>TEXT('E-Commerce Sales Data'!$B536,"mmmm")</f>
        <v>March</v>
      </c>
      <c r="W536" s="8">
        <f t="shared" si="32"/>
        <v>3429840</v>
      </c>
      <c r="X536">
        <f t="shared" si="33"/>
        <v>666</v>
      </c>
      <c r="Y536">
        <f t="shared" si="34"/>
        <v>29701.651651651653</v>
      </c>
      <c r="Z536">
        <f t="shared" si="35"/>
        <v>55</v>
      </c>
    </row>
    <row r="537" spans="1:26" x14ac:dyDescent="0.25">
      <c r="A537" s="9" t="s">
        <v>640</v>
      </c>
      <c r="B537" s="10">
        <v>49377</v>
      </c>
      <c r="C537" s="11" t="s">
        <v>116</v>
      </c>
      <c r="D537" s="11" t="s">
        <v>83</v>
      </c>
      <c r="E537" s="11">
        <v>27</v>
      </c>
      <c r="F537" s="11" t="s">
        <v>38</v>
      </c>
      <c r="G537" s="11" t="s">
        <v>39</v>
      </c>
      <c r="H537" s="11" t="s">
        <v>40</v>
      </c>
      <c r="I537" s="11" t="s">
        <v>41</v>
      </c>
      <c r="J537" s="11" t="s">
        <v>28</v>
      </c>
      <c r="K537" s="11" t="s">
        <v>29</v>
      </c>
      <c r="L537" s="11" t="s">
        <v>53</v>
      </c>
      <c r="M537" s="11" t="s">
        <v>54</v>
      </c>
      <c r="N537" s="11">
        <v>33400</v>
      </c>
      <c r="O537" s="11">
        <v>2</v>
      </c>
      <c r="P537" s="17">
        <v>0.05</v>
      </c>
      <c r="Q537" s="11">
        <v>6350</v>
      </c>
      <c r="R537" s="11" t="s">
        <v>32</v>
      </c>
      <c r="S537" s="11" t="s">
        <v>47</v>
      </c>
      <c r="T537" s="11" t="s">
        <v>34</v>
      </c>
      <c r="U537" s="11">
        <v>5</v>
      </c>
      <c r="V537" s="11" t="str">
        <f>TEXT('E-Commerce Sales Data'!$B537,"mmmm")</f>
        <v>March</v>
      </c>
      <c r="W537" s="8">
        <f t="shared" si="32"/>
        <v>3426240</v>
      </c>
      <c r="X537">
        <f t="shared" si="33"/>
        <v>665</v>
      </c>
      <c r="Y537">
        <f t="shared" si="34"/>
        <v>29722.255639097744</v>
      </c>
      <c r="Z537">
        <f t="shared" si="35"/>
        <v>55</v>
      </c>
    </row>
    <row r="538" spans="1:26" x14ac:dyDescent="0.25">
      <c r="A538" s="5" t="s">
        <v>641</v>
      </c>
      <c r="B538" s="6">
        <v>49384</v>
      </c>
      <c r="C538" s="7" t="s">
        <v>118</v>
      </c>
      <c r="D538" s="7" t="s">
        <v>72</v>
      </c>
      <c r="E538" s="7">
        <v>35</v>
      </c>
      <c r="F538" s="7" t="s">
        <v>24</v>
      </c>
      <c r="G538" s="7" t="s">
        <v>84</v>
      </c>
      <c r="H538" s="7" t="s">
        <v>85</v>
      </c>
      <c r="I538" s="7" t="s">
        <v>52</v>
      </c>
      <c r="J538" s="7" t="s">
        <v>42</v>
      </c>
      <c r="K538" s="7" t="s">
        <v>60</v>
      </c>
      <c r="L538" s="7" t="s">
        <v>61</v>
      </c>
      <c r="M538" s="7" t="s">
        <v>62</v>
      </c>
      <c r="N538" s="7">
        <v>7500</v>
      </c>
      <c r="O538" s="7">
        <v>10</v>
      </c>
      <c r="P538" s="16">
        <v>0.03</v>
      </c>
      <c r="Q538" s="7">
        <v>1860</v>
      </c>
      <c r="R538" s="7" t="s">
        <v>55</v>
      </c>
      <c r="S538" s="7" t="s">
        <v>33</v>
      </c>
      <c r="T538" s="7" t="s">
        <v>34</v>
      </c>
      <c r="U538" s="7">
        <v>4</v>
      </c>
      <c r="V538" s="7" t="str">
        <f>TEXT('E-Commerce Sales Data'!$B538,"mmmm")</f>
        <v>March</v>
      </c>
      <c r="W538" s="8">
        <f t="shared" si="32"/>
        <v>3419890</v>
      </c>
      <c r="X538">
        <f t="shared" si="33"/>
        <v>664</v>
      </c>
      <c r="Y538">
        <f t="shared" si="34"/>
        <v>29716.716867469881</v>
      </c>
      <c r="Z538">
        <f t="shared" si="35"/>
        <v>55</v>
      </c>
    </row>
    <row r="539" spans="1:26" x14ac:dyDescent="0.25">
      <c r="A539" s="9" t="s">
        <v>642</v>
      </c>
      <c r="B539" s="10">
        <v>49391</v>
      </c>
      <c r="C539" s="11" t="s">
        <v>120</v>
      </c>
      <c r="D539" s="11" t="s">
        <v>23</v>
      </c>
      <c r="E539" s="11">
        <v>24</v>
      </c>
      <c r="F539" s="11" t="s">
        <v>38</v>
      </c>
      <c r="G539" s="11" t="s">
        <v>25</v>
      </c>
      <c r="H539" s="11" t="s">
        <v>26</v>
      </c>
      <c r="I539" s="11" t="s">
        <v>27</v>
      </c>
      <c r="J539" s="11" t="s">
        <v>28</v>
      </c>
      <c r="K539" s="11" t="s">
        <v>43</v>
      </c>
      <c r="L539" s="11" t="s">
        <v>68</v>
      </c>
      <c r="M539" s="11" t="s">
        <v>69</v>
      </c>
      <c r="N539" s="11">
        <v>30700</v>
      </c>
      <c r="O539" s="11">
        <v>2</v>
      </c>
      <c r="P539" s="17">
        <v>0.1</v>
      </c>
      <c r="Q539" s="11">
        <v>4920</v>
      </c>
      <c r="R539" s="11" t="s">
        <v>32</v>
      </c>
      <c r="S539" s="11" t="s">
        <v>47</v>
      </c>
      <c r="T539" s="11" t="s">
        <v>34</v>
      </c>
      <c r="U539" s="11">
        <v>5</v>
      </c>
      <c r="V539" s="11" t="str">
        <f>TEXT('E-Commerce Sales Data'!$B539,"mmmm")</f>
        <v>March</v>
      </c>
      <c r="W539" s="8">
        <f t="shared" si="32"/>
        <v>3418030</v>
      </c>
      <c r="X539">
        <f t="shared" si="33"/>
        <v>663</v>
      </c>
      <c r="Y539">
        <f t="shared" si="34"/>
        <v>29750.226244343892</v>
      </c>
      <c r="Z539">
        <f t="shared" si="35"/>
        <v>55</v>
      </c>
    </row>
    <row r="540" spans="1:26" x14ac:dyDescent="0.25">
      <c r="A540" s="5" t="s">
        <v>643</v>
      </c>
      <c r="B540" s="6">
        <v>49398</v>
      </c>
      <c r="C540" s="7" t="s">
        <v>122</v>
      </c>
      <c r="D540" s="7" t="s">
        <v>50</v>
      </c>
      <c r="E540" s="7">
        <v>43</v>
      </c>
      <c r="F540" s="7" t="s">
        <v>24</v>
      </c>
      <c r="G540" s="7" t="s">
        <v>101</v>
      </c>
      <c r="H540" s="7" t="s">
        <v>102</v>
      </c>
      <c r="I540" s="7" t="s">
        <v>41</v>
      </c>
      <c r="J540" s="7" t="s">
        <v>42</v>
      </c>
      <c r="K540" s="7" t="s">
        <v>29</v>
      </c>
      <c r="L540" s="7" t="s">
        <v>53</v>
      </c>
      <c r="M540" s="7" t="s">
        <v>75</v>
      </c>
      <c r="N540" s="7">
        <v>5050</v>
      </c>
      <c r="O540" s="7">
        <v>4</v>
      </c>
      <c r="P540" s="16">
        <v>0.05</v>
      </c>
      <c r="Q540" s="7">
        <v>1290</v>
      </c>
      <c r="R540" s="7" t="s">
        <v>46</v>
      </c>
      <c r="S540" s="7" t="s">
        <v>33</v>
      </c>
      <c r="T540" s="7" t="s">
        <v>34</v>
      </c>
      <c r="U540" s="7">
        <v>3</v>
      </c>
      <c r="V540" s="7" t="str">
        <f>TEXT('E-Commerce Sales Data'!$B540,"mmmm")</f>
        <v>March</v>
      </c>
      <c r="W540" s="8">
        <f t="shared" si="32"/>
        <v>3413110</v>
      </c>
      <c r="X540">
        <f t="shared" si="33"/>
        <v>662</v>
      </c>
      <c r="Y540">
        <f t="shared" si="34"/>
        <v>29748.7915407855</v>
      </c>
      <c r="Z540">
        <f t="shared" si="35"/>
        <v>55</v>
      </c>
    </row>
    <row r="541" spans="1:26" x14ac:dyDescent="0.25">
      <c r="A541" s="9" t="s">
        <v>644</v>
      </c>
      <c r="B541" s="10">
        <v>49405</v>
      </c>
      <c r="C541" s="11" t="s">
        <v>124</v>
      </c>
      <c r="D541" s="11" t="s">
        <v>100</v>
      </c>
      <c r="E541" s="11">
        <v>32</v>
      </c>
      <c r="F541" s="11" t="s">
        <v>38</v>
      </c>
      <c r="G541" s="11" t="s">
        <v>78</v>
      </c>
      <c r="H541" s="11" t="s">
        <v>26</v>
      </c>
      <c r="I541" s="11" t="s">
        <v>27</v>
      </c>
      <c r="J541" s="11" t="s">
        <v>28</v>
      </c>
      <c r="K541" s="11" t="s">
        <v>29</v>
      </c>
      <c r="L541" s="11" t="s">
        <v>53</v>
      </c>
      <c r="M541" s="11" t="s">
        <v>79</v>
      </c>
      <c r="N541" s="11">
        <v>3950</v>
      </c>
      <c r="O541" s="11">
        <v>7</v>
      </c>
      <c r="P541" s="17">
        <v>0</v>
      </c>
      <c r="Q541" s="11">
        <v>1180</v>
      </c>
      <c r="R541" s="11" t="s">
        <v>32</v>
      </c>
      <c r="S541" s="11" t="s">
        <v>33</v>
      </c>
      <c r="T541" s="11" t="s">
        <v>34</v>
      </c>
      <c r="U541" s="11">
        <v>4</v>
      </c>
      <c r="V541" s="11" t="str">
        <f>TEXT('E-Commerce Sales Data'!$B541,"mmmm")</f>
        <v>April</v>
      </c>
      <c r="W541" s="8">
        <f t="shared" si="32"/>
        <v>3411820</v>
      </c>
      <c r="X541">
        <f t="shared" si="33"/>
        <v>661</v>
      </c>
      <c r="Y541">
        <f t="shared" si="34"/>
        <v>29786.157337367626</v>
      </c>
      <c r="Z541">
        <f t="shared" si="35"/>
        <v>55</v>
      </c>
    </row>
    <row r="542" spans="1:26" x14ac:dyDescent="0.25">
      <c r="A542" s="5" t="s">
        <v>645</v>
      </c>
      <c r="B542" s="6">
        <v>49412</v>
      </c>
      <c r="C542" s="7" t="s">
        <v>22</v>
      </c>
      <c r="D542" s="7" t="s">
        <v>23</v>
      </c>
      <c r="E542" s="7">
        <v>28</v>
      </c>
      <c r="F542" s="7" t="s">
        <v>24</v>
      </c>
      <c r="G542" s="7" t="s">
        <v>25</v>
      </c>
      <c r="H542" s="7" t="s">
        <v>26</v>
      </c>
      <c r="I542" s="7" t="s">
        <v>27</v>
      </c>
      <c r="J542" s="7" t="s">
        <v>28</v>
      </c>
      <c r="K542" s="7" t="s">
        <v>29</v>
      </c>
      <c r="L542" s="7" t="s">
        <v>30</v>
      </c>
      <c r="M542" s="7" t="s">
        <v>31</v>
      </c>
      <c r="N542" s="7">
        <v>89500</v>
      </c>
      <c r="O542" s="7">
        <v>1</v>
      </c>
      <c r="P542" s="16">
        <v>0.05</v>
      </c>
      <c r="Q542" s="7">
        <v>11900</v>
      </c>
      <c r="R542" s="7" t="s">
        <v>32</v>
      </c>
      <c r="S542" s="7" t="s">
        <v>47</v>
      </c>
      <c r="T542" s="7" t="s">
        <v>34</v>
      </c>
      <c r="U542" s="7">
        <v>5</v>
      </c>
      <c r="V542" s="7" t="str">
        <f>TEXT('E-Commerce Sales Data'!$B542,"mmmm")</f>
        <v>April</v>
      </c>
      <c r="W542" s="8">
        <f t="shared" si="32"/>
        <v>3410640</v>
      </c>
      <c r="X542">
        <f t="shared" si="33"/>
        <v>660</v>
      </c>
      <c r="Y542">
        <f t="shared" si="34"/>
        <v>29825.303030303032</v>
      </c>
      <c r="Z542">
        <f t="shared" si="35"/>
        <v>55</v>
      </c>
    </row>
    <row r="543" spans="1:26" x14ac:dyDescent="0.25">
      <c r="A543" s="9" t="s">
        <v>646</v>
      </c>
      <c r="B543" s="10">
        <v>49419</v>
      </c>
      <c r="C543" s="11" t="s">
        <v>36</v>
      </c>
      <c r="D543" s="11" t="s">
        <v>37</v>
      </c>
      <c r="E543" s="11">
        <v>34</v>
      </c>
      <c r="F543" s="11" t="s">
        <v>38</v>
      </c>
      <c r="G543" s="11" t="s">
        <v>39</v>
      </c>
      <c r="H543" s="11" t="s">
        <v>40</v>
      </c>
      <c r="I543" s="11" t="s">
        <v>41</v>
      </c>
      <c r="J543" s="11" t="s">
        <v>42</v>
      </c>
      <c r="K543" s="11" t="s">
        <v>43</v>
      </c>
      <c r="L543" s="11" t="s">
        <v>44</v>
      </c>
      <c r="M543" s="11" t="s">
        <v>45</v>
      </c>
      <c r="N543" s="11">
        <v>13400</v>
      </c>
      <c r="O543" s="11">
        <v>3</v>
      </c>
      <c r="P543" s="17">
        <v>0.1</v>
      </c>
      <c r="Q543" s="11">
        <v>3100</v>
      </c>
      <c r="R543" s="11" t="s">
        <v>46</v>
      </c>
      <c r="S543" s="11" t="s">
        <v>33</v>
      </c>
      <c r="T543" s="11" t="s">
        <v>34</v>
      </c>
      <c r="U543" s="11">
        <v>4</v>
      </c>
      <c r="V543" s="11" t="str">
        <f>TEXT('E-Commerce Sales Data'!$B543,"mmmm")</f>
        <v>April</v>
      </c>
      <c r="W543" s="8">
        <f t="shared" si="32"/>
        <v>3398740</v>
      </c>
      <c r="X543">
        <f t="shared" si="33"/>
        <v>659</v>
      </c>
      <c r="Y543">
        <f t="shared" si="34"/>
        <v>29734.749620637329</v>
      </c>
      <c r="Z543">
        <f t="shared" si="35"/>
        <v>55</v>
      </c>
    </row>
    <row r="544" spans="1:26" x14ac:dyDescent="0.25">
      <c r="A544" s="5" t="s">
        <v>647</v>
      </c>
      <c r="B544" s="6">
        <v>49426</v>
      </c>
      <c r="C544" s="7" t="s">
        <v>49</v>
      </c>
      <c r="D544" s="7" t="s">
        <v>50</v>
      </c>
      <c r="E544" s="7">
        <v>41</v>
      </c>
      <c r="F544" s="7" t="s">
        <v>24</v>
      </c>
      <c r="G544" s="7" t="s">
        <v>51</v>
      </c>
      <c r="H544" s="7" t="s">
        <v>51</v>
      </c>
      <c r="I544" s="7" t="s">
        <v>52</v>
      </c>
      <c r="J544" s="7" t="s">
        <v>28</v>
      </c>
      <c r="K544" s="7" t="s">
        <v>29</v>
      </c>
      <c r="L544" s="7" t="s">
        <v>53</v>
      </c>
      <c r="M544" s="7" t="s">
        <v>54</v>
      </c>
      <c r="N544" s="7">
        <v>31300</v>
      </c>
      <c r="O544" s="7">
        <v>2</v>
      </c>
      <c r="P544" s="16">
        <v>0.05</v>
      </c>
      <c r="Q544" s="7">
        <v>5900</v>
      </c>
      <c r="R544" s="7" t="s">
        <v>55</v>
      </c>
      <c r="S544" s="7" t="s">
        <v>33</v>
      </c>
      <c r="T544" s="7" t="s">
        <v>34</v>
      </c>
      <c r="U544" s="7">
        <v>4</v>
      </c>
      <c r="V544" s="7" t="str">
        <f>TEXT('E-Commerce Sales Data'!$B544,"mmmm")</f>
        <v>April</v>
      </c>
      <c r="W544" s="8">
        <f t="shared" si="32"/>
        <v>3395640</v>
      </c>
      <c r="X544">
        <f t="shared" si="33"/>
        <v>658</v>
      </c>
      <c r="Y544">
        <f t="shared" si="34"/>
        <v>29759.574468085106</v>
      </c>
      <c r="Z544">
        <f t="shared" si="35"/>
        <v>55</v>
      </c>
    </row>
    <row r="545" spans="1:26" x14ac:dyDescent="0.25">
      <c r="A545" s="9" t="s">
        <v>648</v>
      </c>
      <c r="B545" s="10">
        <v>49433</v>
      </c>
      <c r="C545" s="11" t="s">
        <v>57</v>
      </c>
      <c r="D545" s="11" t="s">
        <v>58</v>
      </c>
      <c r="E545" s="11">
        <v>26</v>
      </c>
      <c r="F545" s="11" t="s">
        <v>38</v>
      </c>
      <c r="G545" s="11" t="s">
        <v>59</v>
      </c>
      <c r="H545" s="11" t="s">
        <v>26</v>
      </c>
      <c r="I545" s="11" t="s">
        <v>27</v>
      </c>
      <c r="J545" s="11" t="s">
        <v>28</v>
      </c>
      <c r="K545" s="11" t="s">
        <v>60</v>
      </c>
      <c r="L545" s="11" t="s">
        <v>61</v>
      </c>
      <c r="M545" s="11" t="s">
        <v>86</v>
      </c>
      <c r="N545" s="11">
        <v>910</v>
      </c>
      <c r="O545" s="11">
        <v>20</v>
      </c>
      <c r="P545" s="17">
        <v>0.02</v>
      </c>
      <c r="Q545" s="11">
        <v>270</v>
      </c>
      <c r="R545" s="11" t="s">
        <v>32</v>
      </c>
      <c r="S545" s="11" t="s">
        <v>33</v>
      </c>
      <c r="T545" s="11" t="s">
        <v>34</v>
      </c>
      <c r="U545" s="11">
        <v>5</v>
      </c>
      <c r="V545" s="11" t="str">
        <f>TEXT('E-Commerce Sales Data'!$B545,"mmmm")</f>
        <v>May</v>
      </c>
      <c r="W545" s="8">
        <f t="shared" si="32"/>
        <v>3389740</v>
      </c>
      <c r="X545">
        <f t="shared" si="33"/>
        <v>657</v>
      </c>
      <c r="Y545">
        <f t="shared" si="34"/>
        <v>29757.229832572299</v>
      </c>
      <c r="Z545">
        <f t="shared" si="35"/>
        <v>55</v>
      </c>
    </row>
    <row r="546" spans="1:26" x14ac:dyDescent="0.25">
      <c r="A546" s="5" t="s">
        <v>649</v>
      </c>
      <c r="B546" s="6">
        <v>49440</v>
      </c>
      <c r="C546" s="7" t="s">
        <v>64</v>
      </c>
      <c r="D546" s="7" t="s">
        <v>65</v>
      </c>
      <c r="E546" s="7">
        <v>39</v>
      </c>
      <c r="F546" s="7" t="s">
        <v>24</v>
      </c>
      <c r="G546" s="7" t="s">
        <v>66</v>
      </c>
      <c r="H546" s="7" t="s">
        <v>67</v>
      </c>
      <c r="I546" s="7" t="s">
        <v>27</v>
      </c>
      <c r="J546" s="7" t="s">
        <v>42</v>
      </c>
      <c r="K546" s="7" t="s">
        <v>43</v>
      </c>
      <c r="L546" s="7" t="s">
        <v>68</v>
      </c>
      <c r="M546" s="7" t="s">
        <v>69</v>
      </c>
      <c r="N546" s="7">
        <v>31800</v>
      </c>
      <c r="O546" s="7">
        <v>2</v>
      </c>
      <c r="P546" s="16">
        <v>0.08</v>
      </c>
      <c r="Q546" s="7">
        <v>5460</v>
      </c>
      <c r="R546" s="7" t="s">
        <v>46</v>
      </c>
      <c r="S546" s="7" t="s">
        <v>47</v>
      </c>
      <c r="T546" s="7" t="s">
        <v>34</v>
      </c>
      <c r="U546" s="7">
        <v>4</v>
      </c>
      <c r="V546" s="7" t="str">
        <f>TEXT('E-Commerce Sales Data'!$B546,"mmmm")</f>
        <v>May</v>
      </c>
      <c r="W546" s="8">
        <f t="shared" si="32"/>
        <v>3389470</v>
      </c>
      <c r="X546">
        <f t="shared" si="33"/>
        <v>656</v>
      </c>
      <c r="Y546">
        <f t="shared" si="34"/>
        <v>29801.204268292684</v>
      </c>
      <c r="Z546">
        <f t="shared" si="35"/>
        <v>55</v>
      </c>
    </row>
    <row r="547" spans="1:26" x14ac:dyDescent="0.25">
      <c r="A547" s="9" t="s">
        <v>650</v>
      </c>
      <c r="B547" s="10">
        <v>49447</v>
      </c>
      <c r="C547" s="11" t="s">
        <v>71</v>
      </c>
      <c r="D547" s="11" t="s">
        <v>72</v>
      </c>
      <c r="E547" s="11">
        <v>31</v>
      </c>
      <c r="F547" s="11" t="s">
        <v>38</v>
      </c>
      <c r="G547" s="11" t="s">
        <v>73</v>
      </c>
      <c r="H547" s="11" t="s">
        <v>74</v>
      </c>
      <c r="I547" s="11" t="s">
        <v>41</v>
      </c>
      <c r="J547" s="11" t="s">
        <v>28</v>
      </c>
      <c r="K547" s="11" t="s">
        <v>29</v>
      </c>
      <c r="L547" s="11" t="s">
        <v>53</v>
      </c>
      <c r="M547" s="11" t="s">
        <v>75</v>
      </c>
      <c r="N547" s="11">
        <v>4750</v>
      </c>
      <c r="O547" s="11">
        <v>3</v>
      </c>
      <c r="P547" s="17">
        <v>0.05</v>
      </c>
      <c r="Q547" s="11">
        <v>1230</v>
      </c>
      <c r="R547" s="11" t="s">
        <v>32</v>
      </c>
      <c r="S547" s="11" t="s">
        <v>33</v>
      </c>
      <c r="T547" s="11" t="s">
        <v>34</v>
      </c>
      <c r="U547" s="11">
        <v>4</v>
      </c>
      <c r="V547" s="11" t="str">
        <f>TEXT('E-Commerce Sales Data'!$B547,"mmmm")</f>
        <v>May</v>
      </c>
      <c r="W547" s="8">
        <f t="shared" si="32"/>
        <v>3384010</v>
      </c>
      <c r="X547">
        <f t="shared" si="33"/>
        <v>655</v>
      </c>
      <c r="Y547">
        <f t="shared" si="34"/>
        <v>29798.152671755724</v>
      </c>
      <c r="Z547">
        <f t="shared" si="35"/>
        <v>55</v>
      </c>
    </row>
    <row r="548" spans="1:26" x14ac:dyDescent="0.25">
      <c r="A548" s="5" t="s">
        <v>651</v>
      </c>
      <c r="B548" s="6">
        <v>49454</v>
      </c>
      <c r="C548" s="7" t="s">
        <v>77</v>
      </c>
      <c r="D548" s="7" t="s">
        <v>23</v>
      </c>
      <c r="E548" s="7">
        <v>29</v>
      </c>
      <c r="F548" s="7" t="s">
        <v>24</v>
      </c>
      <c r="G548" s="7" t="s">
        <v>78</v>
      </c>
      <c r="H548" s="7" t="s">
        <v>26</v>
      </c>
      <c r="I548" s="7" t="s">
        <v>27</v>
      </c>
      <c r="J548" s="7" t="s">
        <v>28</v>
      </c>
      <c r="K548" s="7" t="s">
        <v>29</v>
      </c>
      <c r="L548" s="7" t="s">
        <v>53</v>
      </c>
      <c r="M548" s="7" t="s">
        <v>79</v>
      </c>
      <c r="N548" s="7">
        <v>4050</v>
      </c>
      <c r="O548" s="7">
        <v>6</v>
      </c>
      <c r="P548" s="16">
        <v>0</v>
      </c>
      <c r="Q548" s="7">
        <v>1210</v>
      </c>
      <c r="R548" s="7" t="s">
        <v>80</v>
      </c>
      <c r="S548" s="7" t="s">
        <v>33</v>
      </c>
      <c r="T548" s="7" t="s">
        <v>34</v>
      </c>
      <c r="U548" s="7">
        <v>3</v>
      </c>
      <c r="V548" s="7" t="str">
        <f>TEXT('E-Commerce Sales Data'!$B548,"mmmm")</f>
        <v>May</v>
      </c>
      <c r="W548" s="8">
        <f t="shared" si="32"/>
        <v>3382780</v>
      </c>
      <c r="X548">
        <f t="shared" si="33"/>
        <v>654</v>
      </c>
      <c r="Y548">
        <f t="shared" si="34"/>
        <v>29836.45259938838</v>
      </c>
      <c r="Z548">
        <f t="shared" si="35"/>
        <v>55</v>
      </c>
    </row>
    <row r="549" spans="1:26" x14ac:dyDescent="0.25">
      <c r="A549" s="9" t="s">
        <v>652</v>
      </c>
      <c r="B549" s="10">
        <v>49461</v>
      </c>
      <c r="C549" s="11" t="s">
        <v>82</v>
      </c>
      <c r="D549" s="11" t="s">
        <v>83</v>
      </c>
      <c r="E549" s="11">
        <v>37</v>
      </c>
      <c r="F549" s="11" t="s">
        <v>38</v>
      </c>
      <c r="G549" s="11" t="s">
        <v>84</v>
      </c>
      <c r="H549" s="11" t="s">
        <v>85</v>
      </c>
      <c r="I549" s="11" t="s">
        <v>52</v>
      </c>
      <c r="J549" s="11" t="s">
        <v>42</v>
      </c>
      <c r="K549" s="11" t="s">
        <v>60</v>
      </c>
      <c r="L549" s="11" t="s">
        <v>61</v>
      </c>
      <c r="M549" s="11" t="s">
        <v>62</v>
      </c>
      <c r="N549" s="11">
        <v>7600</v>
      </c>
      <c r="O549" s="11">
        <v>10</v>
      </c>
      <c r="P549" s="17">
        <v>0.02</v>
      </c>
      <c r="Q549" s="11">
        <v>1880</v>
      </c>
      <c r="R549" s="11" t="s">
        <v>32</v>
      </c>
      <c r="S549" s="11" t="s">
        <v>33</v>
      </c>
      <c r="T549" s="11" t="s">
        <v>34</v>
      </c>
      <c r="U549" s="11">
        <v>5</v>
      </c>
      <c r="V549" s="11" t="str">
        <f>TEXT('E-Commerce Sales Data'!$B549,"mmmm")</f>
        <v>June</v>
      </c>
      <c r="W549" s="8">
        <f t="shared" si="32"/>
        <v>3381570</v>
      </c>
      <c r="X549">
        <f t="shared" si="33"/>
        <v>653</v>
      </c>
      <c r="Y549">
        <f t="shared" si="34"/>
        <v>29875.941807044412</v>
      </c>
      <c r="Z549">
        <f t="shared" si="35"/>
        <v>55</v>
      </c>
    </row>
    <row r="550" spans="1:26" x14ac:dyDescent="0.25">
      <c r="A550" s="5" t="s">
        <v>653</v>
      </c>
      <c r="B550" s="6">
        <v>49468</v>
      </c>
      <c r="C550" s="7" t="s">
        <v>88</v>
      </c>
      <c r="D550" s="7" t="s">
        <v>37</v>
      </c>
      <c r="E550" s="7">
        <v>45</v>
      </c>
      <c r="F550" s="7" t="s">
        <v>24</v>
      </c>
      <c r="G550" s="7" t="s">
        <v>89</v>
      </c>
      <c r="H550" s="7" t="s">
        <v>90</v>
      </c>
      <c r="I550" s="7" t="s">
        <v>91</v>
      </c>
      <c r="J550" s="7" t="s">
        <v>42</v>
      </c>
      <c r="K550" s="7" t="s">
        <v>43</v>
      </c>
      <c r="L550" s="7" t="s">
        <v>92</v>
      </c>
      <c r="M550" s="7" t="s">
        <v>93</v>
      </c>
      <c r="N550" s="7">
        <v>21000</v>
      </c>
      <c r="O550" s="7">
        <v>1</v>
      </c>
      <c r="P550" s="16">
        <v>0.1</v>
      </c>
      <c r="Q550" s="7">
        <v>3740</v>
      </c>
      <c r="R550" s="7" t="s">
        <v>46</v>
      </c>
      <c r="S550" s="7" t="s">
        <v>47</v>
      </c>
      <c r="T550" s="7" t="s">
        <v>34</v>
      </c>
      <c r="U550" s="7">
        <v>4</v>
      </c>
      <c r="V550" s="7" t="str">
        <f>TEXT('E-Commerce Sales Data'!$B550,"mmmm")</f>
        <v>June</v>
      </c>
      <c r="W550" s="8">
        <f t="shared" si="32"/>
        <v>3379690</v>
      </c>
      <c r="X550">
        <f t="shared" si="33"/>
        <v>652</v>
      </c>
      <c r="Y550">
        <f t="shared" si="34"/>
        <v>29910.10736196319</v>
      </c>
      <c r="Z550">
        <f t="shared" si="35"/>
        <v>55</v>
      </c>
    </row>
    <row r="551" spans="1:26" x14ac:dyDescent="0.25">
      <c r="A551" s="9" t="s">
        <v>654</v>
      </c>
      <c r="B551" s="10">
        <v>49475</v>
      </c>
      <c r="C551" s="11" t="s">
        <v>95</v>
      </c>
      <c r="D551" s="11" t="s">
        <v>65</v>
      </c>
      <c r="E551" s="11">
        <v>25</v>
      </c>
      <c r="F551" s="11" t="s">
        <v>38</v>
      </c>
      <c r="G551" s="11" t="s">
        <v>25</v>
      </c>
      <c r="H551" s="11" t="s">
        <v>26</v>
      </c>
      <c r="I551" s="11" t="s">
        <v>27</v>
      </c>
      <c r="J551" s="11" t="s">
        <v>28</v>
      </c>
      <c r="K551" s="11" t="s">
        <v>29</v>
      </c>
      <c r="L551" s="11" t="s">
        <v>96</v>
      </c>
      <c r="M551" s="11" t="s">
        <v>97</v>
      </c>
      <c r="N551" s="11">
        <v>23200</v>
      </c>
      <c r="O551" s="11">
        <v>2</v>
      </c>
      <c r="P551" s="17">
        <v>0.05</v>
      </c>
      <c r="Q551" s="11">
        <v>4500</v>
      </c>
      <c r="R551" s="11" t="s">
        <v>32</v>
      </c>
      <c r="S551" s="11" t="s">
        <v>33</v>
      </c>
      <c r="T551" s="11" t="s">
        <v>34</v>
      </c>
      <c r="U551" s="11">
        <v>4</v>
      </c>
      <c r="V551" s="11" t="str">
        <f>TEXT('E-Commerce Sales Data'!$B551,"mmmm")</f>
        <v>June</v>
      </c>
      <c r="W551" s="8">
        <f t="shared" si="32"/>
        <v>3375950</v>
      </c>
      <c r="X551">
        <f t="shared" si="33"/>
        <v>651</v>
      </c>
      <c r="Y551">
        <f t="shared" si="34"/>
        <v>29923.79416282642</v>
      </c>
      <c r="Z551">
        <f t="shared" si="35"/>
        <v>55</v>
      </c>
    </row>
    <row r="552" spans="1:26" x14ac:dyDescent="0.25">
      <c r="A552" s="5" t="s">
        <v>655</v>
      </c>
      <c r="B552" s="6">
        <v>49482</v>
      </c>
      <c r="C552" s="7" t="s">
        <v>99</v>
      </c>
      <c r="D552" s="7" t="s">
        <v>100</v>
      </c>
      <c r="E552" s="7">
        <v>33</v>
      </c>
      <c r="F552" s="7" t="s">
        <v>24</v>
      </c>
      <c r="G552" s="7" t="s">
        <v>101</v>
      </c>
      <c r="H552" s="7" t="s">
        <v>102</v>
      </c>
      <c r="I552" s="7" t="s">
        <v>41</v>
      </c>
      <c r="J552" s="7" t="s">
        <v>28</v>
      </c>
      <c r="K552" s="7" t="s">
        <v>60</v>
      </c>
      <c r="L552" s="7" t="s">
        <v>53</v>
      </c>
      <c r="M552" s="7" t="s">
        <v>103</v>
      </c>
      <c r="N552" s="7">
        <v>1320</v>
      </c>
      <c r="O552" s="7">
        <v>25</v>
      </c>
      <c r="P552" s="16">
        <v>0</v>
      </c>
      <c r="Q552" s="7">
        <v>410</v>
      </c>
      <c r="R552" s="7" t="s">
        <v>55</v>
      </c>
      <c r="S552" s="7" t="s">
        <v>33</v>
      </c>
      <c r="T552" s="7" t="s">
        <v>34</v>
      </c>
      <c r="U552" s="7">
        <v>5</v>
      </c>
      <c r="V552" s="7" t="str">
        <f>TEXT('E-Commerce Sales Data'!$B552,"mmmm")</f>
        <v>June</v>
      </c>
      <c r="W552" s="8">
        <f t="shared" si="32"/>
        <v>3371450</v>
      </c>
      <c r="X552">
        <f t="shared" si="33"/>
        <v>650</v>
      </c>
      <c r="Y552">
        <f t="shared" si="34"/>
        <v>29934.138461538463</v>
      </c>
      <c r="Z552">
        <f t="shared" si="35"/>
        <v>55</v>
      </c>
    </row>
    <row r="553" spans="1:26" x14ac:dyDescent="0.25">
      <c r="A553" s="9" t="s">
        <v>656</v>
      </c>
      <c r="B553" s="10">
        <v>49489</v>
      </c>
      <c r="C553" s="11" t="s">
        <v>105</v>
      </c>
      <c r="D553" s="11" t="s">
        <v>58</v>
      </c>
      <c r="E553" s="11">
        <v>42</v>
      </c>
      <c r="F553" s="11" t="s">
        <v>38</v>
      </c>
      <c r="G553" s="11" t="s">
        <v>51</v>
      </c>
      <c r="H553" s="11" t="s">
        <v>51</v>
      </c>
      <c r="I553" s="11" t="s">
        <v>52</v>
      </c>
      <c r="J553" s="11" t="s">
        <v>42</v>
      </c>
      <c r="K553" s="11" t="s">
        <v>43</v>
      </c>
      <c r="L553" s="11" t="s">
        <v>68</v>
      </c>
      <c r="M553" s="11" t="s">
        <v>106</v>
      </c>
      <c r="N553" s="11">
        <v>34400</v>
      </c>
      <c r="O553" s="11">
        <v>1</v>
      </c>
      <c r="P553" s="17">
        <v>0.08</v>
      </c>
      <c r="Q553" s="11">
        <v>7100</v>
      </c>
      <c r="R553" s="11" t="s">
        <v>46</v>
      </c>
      <c r="S553" s="11" t="s">
        <v>47</v>
      </c>
      <c r="T553" s="11" t="s">
        <v>34</v>
      </c>
      <c r="U553" s="11">
        <v>4</v>
      </c>
      <c r="V553" s="11" t="str">
        <f>TEXT('E-Commerce Sales Data'!$B553,"mmmm")</f>
        <v>June</v>
      </c>
      <c r="W553" s="8">
        <f t="shared" si="32"/>
        <v>3371040</v>
      </c>
      <c r="X553">
        <f t="shared" si="33"/>
        <v>649</v>
      </c>
      <c r="Y553">
        <f t="shared" si="34"/>
        <v>29978.228043143299</v>
      </c>
      <c r="Z553">
        <f t="shared" si="35"/>
        <v>55</v>
      </c>
    </row>
    <row r="554" spans="1:26" x14ac:dyDescent="0.25">
      <c r="A554" s="5" t="s">
        <v>657</v>
      </c>
      <c r="B554" s="6">
        <v>49496</v>
      </c>
      <c r="C554" s="7" t="s">
        <v>108</v>
      </c>
      <c r="D554" s="7" t="s">
        <v>23</v>
      </c>
      <c r="E554" s="7">
        <v>30</v>
      </c>
      <c r="F554" s="7" t="s">
        <v>24</v>
      </c>
      <c r="G554" s="7" t="s">
        <v>59</v>
      </c>
      <c r="H554" s="7" t="s">
        <v>26</v>
      </c>
      <c r="I554" s="7" t="s">
        <v>27</v>
      </c>
      <c r="J554" s="7" t="s">
        <v>28</v>
      </c>
      <c r="K554" s="7" t="s">
        <v>29</v>
      </c>
      <c r="L554" s="7" t="s">
        <v>30</v>
      </c>
      <c r="M554" s="7" t="s">
        <v>31</v>
      </c>
      <c r="N554" s="7">
        <v>95000</v>
      </c>
      <c r="O554" s="7">
        <v>1</v>
      </c>
      <c r="P554" s="16">
        <v>0.1</v>
      </c>
      <c r="Q554" s="7">
        <v>11000</v>
      </c>
      <c r="R554" s="7" t="s">
        <v>32</v>
      </c>
      <c r="S554" s="7" t="s">
        <v>47</v>
      </c>
      <c r="T554" s="7" t="s">
        <v>34</v>
      </c>
      <c r="U554" s="7">
        <v>5</v>
      </c>
      <c r="V554" s="7" t="str">
        <f>TEXT('E-Commerce Sales Data'!$B554,"mmmm")</f>
        <v>July</v>
      </c>
      <c r="W554" s="8">
        <f t="shared" si="32"/>
        <v>3363940</v>
      </c>
      <c r="X554">
        <f t="shared" si="33"/>
        <v>648</v>
      </c>
      <c r="Y554">
        <f t="shared" si="34"/>
        <v>29971.404320987655</v>
      </c>
      <c r="Z554">
        <f t="shared" si="35"/>
        <v>55</v>
      </c>
    </row>
    <row r="555" spans="1:26" x14ac:dyDescent="0.25">
      <c r="A555" s="9" t="s">
        <v>658</v>
      </c>
      <c r="B555" s="10">
        <v>49503</v>
      </c>
      <c r="C555" s="11" t="s">
        <v>110</v>
      </c>
      <c r="D555" s="11" t="s">
        <v>37</v>
      </c>
      <c r="E555" s="11">
        <v>36</v>
      </c>
      <c r="F555" s="11" t="s">
        <v>38</v>
      </c>
      <c r="G555" s="11" t="s">
        <v>66</v>
      </c>
      <c r="H555" s="11" t="s">
        <v>67</v>
      </c>
      <c r="I555" s="11" t="s">
        <v>27</v>
      </c>
      <c r="J555" s="11" t="s">
        <v>28</v>
      </c>
      <c r="K555" s="11" t="s">
        <v>60</v>
      </c>
      <c r="L555" s="11" t="s">
        <v>92</v>
      </c>
      <c r="M555" s="11" t="s">
        <v>111</v>
      </c>
      <c r="N555" s="11">
        <v>1720</v>
      </c>
      <c r="O555" s="11">
        <v>15</v>
      </c>
      <c r="P555" s="17">
        <v>0.05</v>
      </c>
      <c r="Q555" s="11">
        <v>540</v>
      </c>
      <c r="R555" s="11" t="s">
        <v>80</v>
      </c>
      <c r="S555" s="11" t="s">
        <v>33</v>
      </c>
      <c r="T555" s="11" t="s">
        <v>34</v>
      </c>
      <c r="U555" s="11">
        <v>4</v>
      </c>
      <c r="V555" s="11" t="str">
        <f>TEXT('E-Commerce Sales Data'!$B555,"mmmm")</f>
        <v>July</v>
      </c>
      <c r="W555" s="8">
        <f t="shared" si="32"/>
        <v>3352940</v>
      </c>
      <c r="X555">
        <f t="shared" si="33"/>
        <v>647</v>
      </c>
      <c r="Y555">
        <f t="shared" si="34"/>
        <v>29870.896445131377</v>
      </c>
      <c r="Z555">
        <f t="shared" si="35"/>
        <v>55</v>
      </c>
    </row>
    <row r="556" spans="1:26" x14ac:dyDescent="0.25">
      <c r="A556" s="5" t="s">
        <v>659</v>
      </c>
      <c r="B556" s="6">
        <v>49510</v>
      </c>
      <c r="C556" s="7" t="s">
        <v>113</v>
      </c>
      <c r="D556" s="7" t="s">
        <v>114</v>
      </c>
      <c r="E556" s="7">
        <v>40</v>
      </c>
      <c r="F556" s="7" t="s">
        <v>24</v>
      </c>
      <c r="G556" s="7" t="s">
        <v>73</v>
      </c>
      <c r="H556" s="7" t="s">
        <v>74</v>
      </c>
      <c r="I556" s="7" t="s">
        <v>41</v>
      </c>
      <c r="J556" s="7" t="s">
        <v>42</v>
      </c>
      <c r="K556" s="7" t="s">
        <v>43</v>
      </c>
      <c r="L556" s="7" t="s">
        <v>44</v>
      </c>
      <c r="M556" s="7" t="s">
        <v>45</v>
      </c>
      <c r="N556" s="7">
        <v>16400</v>
      </c>
      <c r="O556" s="7">
        <v>4</v>
      </c>
      <c r="P556" s="16">
        <v>7.0000000000000007E-2</v>
      </c>
      <c r="Q556" s="7">
        <v>3700</v>
      </c>
      <c r="R556" s="7" t="s">
        <v>46</v>
      </c>
      <c r="S556" s="7" t="s">
        <v>33</v>
      </c>
      <c r="T556" s="7" t="s">
        <v>34</v>
      </c>
      <c r="U556" s="7">
        <v>4</v>
      </c>
      <c r="V556" s="7" t="str">
        <f>TEXT('E-Commerce Sales Data'!$B556,"mmmm")</f>
        <v>July</v>
      </c>
      <c r="W556" s="8">
        <f t="shared" si="32"/>
        <v>3352400</v>
      </c>
      <c r="X556">
        <f t="shared" si="33"/>
        <v>646</v>
      </c>
      <c r="Y556">
        <f t="shared" si="34"/>
        <v>29914.473684210527</v>
      </c>
      <c r="Z556">
        <f t="shared" si="35"/>
        <v>55</v>
      </c>
    </row>
    <row r="557" spans="1:26" x14ac:dyDescent="0.25">
      <c r="A557" s="9" t="s">
        <v>660</v>
      </c>
      <c r="B557" s="10">
        <v>49517</v>
      </c>
      <c r="C557" s="11" t="s">
        <v>116</v>
      </c>
      <c r="D557" s="11" t="s">
        <v>83</v>
      </c>
      <c r="E557" s="11">
        <v>27</v>
      </c>
      <c r="F557" s="11" t="s">
        <v>38</v>
      </c>
      <c r="G557" s="11" t="s">
        <v>39</v>
      </c>
      <c r="H557" s="11" t="s">
        <v>40</v>
      </c>
      <c r="I557" s="11" t="s">
        <v>41</v>
      </c>
      <c r="J557" s="11" t="s">
        <v>28</v>
      </c>
      <c r="K557" s="11" t="s">
        <v>29</v>
      </c>
      <c r="L557" s="11" t="s">
        <v>53</v>
      </c>
      <c r="M557" s="11" t="s">
        <v>54</v>
      </c>
      <c r="N557" s="11">
        <v>34100</v>
      </c>
      <c r="O557" s="11">
        <v>2</v>
      </c>
      <c r="P557" s="17">
        <v>0.05</v>
      </c>
      <c r="Q557" s="11">
        <v>6500</v>
      </c>
      <c r="R557" s="11" t="s">
        <v>32</v>
      </c>
      <c r="S557" s="11" t="s">
        <v>47</v>
      </c>
      <c r="T557" s="11" t="s">
        <v>34</v>
      </c>
      <c r="U557" s="11">
        <v>5</v>
      </c>
      <c r="V557" s="11" t="str">
        <f>TEXT('E-Commerce Sales Data'!$B557,"mmmm")</f>
        <v>July</v>
      </c>
      <c r="W557" s="8">
        <f t="shared" si="32"/>
        <v>3348700</v>
      </c>
      <c r="X557">
        <f t="shared" si="33"/>
        <v>645</v>
      </c>
      <c r="Y557">
        <f t="shared" si="34"/>
        <v>29935.426356589149</v>
      </c>
      <c r="Z557">
        <f t="shared" si="35"/>
        <v>55</v>
      </c>
    </row>
    <row r="558" spans="1:26" x14ac:dyDescent="0.25">
      <c r="A558" s="5" t="s">
        <v>661</v>
      </c>
      <c r="B558" s="6">
        <v>49524</v>
      </c>
      <c r="C558" s="7" t="s">
        <v>118</v>
      </c>
      <c r="D558" s="7" t="s">
        <v>72</v>
      </c>
      <c r="E558" s="7">
        <v>35</v>
      </c>
      <c r="F558" s="7" t="s">
        <v>24</v>
      </c>
      <c r="G558" s="7" t="s">
        <v>84</v>
      </c>
      <c r="H558" s="7" t="s">
        <v>85</v>
      </c>
      <c r="I558" s="7" t="s">
        <v>52</v>
      </c>
      <c r="J558" s="7" t="s">
        <v>42</v>
      </c>
      <c r="K558" s="7" t="s">
        <v>60</v>
      </c>
      <c r="L558" s="7" t="s">
        <v>61</v>
      </c>
      <c r="M558" s="7" t="s">
        <v>62</v>
      </c>
      <c r="N558" s="7">
        <v>7700</v>
      </c>
      <c r="O558" s="7">
        <v>10</v>
      </c>
      <c r="P558" s="16">
        <v>0.03</v>
      </c>
      <c r="Q558" s="7">
        <v>1910</v>
      </c>
      <c r="R558" s="7" t="s">
        <v>55</v>
      </c>
      <c r="S558" s="7" t="s">
        <v>33</v>
      </c>
      <c r="T558" s="7" t="s">
        <v>34</v>
      </c>
      <c r="U558" s="7">
        <v>4</v>
      </c>
      <c r="V558" s="7" t="str">
        <f>TEXT('E-Commerce Sales Data'!$B558,"mmmm")</f>
        <v>August</v>
      </c>
      <c r="W558" s="8">
        <f t="shared" si="32"/>
        <v>3342200</v>
      </c>
      <c r="X558">
        <f t="shared" si="33"/>
        <v>644</v>
      </c>
      <c r="Y558">
        <f t="shared" si="34"/>
        <v>29928.959627329194</v>
      </c>
      <c r="Z558">
        <f t="shared" si="35"/>
        <v>55</v>
      </c>
    </row>
    <row r="559" spans="1:26" x14ac:dyDescent="0.25">
      <c r="A559" s="9" t="s">
        <v>662</v>
      </c>
      <c r="B559" s="10">
        <v>49531</v>
      </c>
      <c r="C559" s="11" t="s">
        <v>120</v>
      </c>
      <c r="D559" s="11" t="s">
        <v>23</v>
      </c>
      <c r="E559" s="11">
        <v>24</v>
      </c>
      <c r="F559" s="11" t="s">
        <v>38</v>
      </c>
      <c r="G559" s="11" t="s">
        <v>25</v>
      </c>
      <c r="H559" s="11" t="s">
        <v>26</v>
      </c>
      <c r="I559" s="11" t="s">
        <v>27</v>
      </c>
      <c r="J559" s="11" t="s">
        <v>28</v>
      </c>
      <c r="K559" s="11" t="s">
        <v>43</v>
      </c>
      <c r="L559" s="11" t="s">
        <v>68</v>
      </c>
      <c r="M559" s="11" t="s">
        <v>69</v>
      </c>
      <c r="N559" s="11">
        <v>31400</v>
      </c>
      <c r="O559" s="11">
        <v>2</v>
      </c>
      <c r="P559" s="17">
        <v>0.1</v>
      </c>
      <c r="Q559" s="11">
        <v>5040</v>
      </c>
      <c r="R559" s="11" t="s">
        <v>32</v>
      </c>
      <c r="S559" s="11" t="s">
        <v>47</v>
      </c>
      <c r="T559" s="11" t="s">
        <v>34</v>
      </c>
      <c r="U559" s="11">
        <v>5</v>
      </c>
      <c r="V559" s="11" t="str">
        <f>TEXT('E-Commerce Sales Data'!$B559,"mmmm")</f>
        <v>August</v>
      </c>
      <c r="W559" s="8">
        <f t="shared" si="32"/>
        <v>3340290</v>
      </c>
      <c r="X559">
        <f t="shared" si="33"/>
        <v>643</v>
      </c>
      <c r="Y559">
        <f t="shared" si="34"/>
        <v>29963.530326594089</v>
      </c>
      <c r="Z559">
        <f t="shared" si="35"/>
        <v>55</v>
      </c>
    </row>
    <row r="560" spans="1:26" x14ac:dyDescent="0.25">
      <c r="A560" s="5" t="s">
        <v>663</v>
      </c>
      <c r="B560" s="6">
        <v>49538</v>
      </c>
      <c r="C560" s="7" t="s">
        <v>122</v>
      </c>
      <c r="D560" s="7" t="s">
        <v>50</v>
      </c>
      <c r="E560" s="7">
        <v>43</v>
      </c>
      <c r="F560" s="7" t="s">
        <v>24</v>
      </c>
      <c r="G560" s="7" t="s">
        <v>101</v>
      </c>
      <c r="H560" s="7" t="s">
        <v>102</v>
      </c>
      <c r="I560" s="7" t="s">
        <v>41</v>
      </c>
      <c r="J560" s="7" t="s">
        <v>42</v>
      </c>
      <c r="K560" s="7" t="s">
        <v>29</v>
      </c>
      <c r="L560" s="7" t="s">
        <v>53</v>
      </c>
      <c r="M560" s="7" t="s">
        <v>75</v>
      </c>
      <c r="N560" s="7">
        <v>5150</v>
      </c>
      <c r="O560" s="7">
        <v>4</v>
      </c>
      <c r="P560" s="16">
        <v>0.05</v>
      </c>
      <c r="Q560" s="7">
        <v>1320</v>
      </c>
      <c r="R560" s="7" t="s">
        <v>46</v>
      </c>
      <c r="S560" s="7" t="s">
        <v>33</v>
      </c>
      <c r="T560" s="7" t="s">
        <v>34</v>
      </c>
      <c r="U560" s="7">
        <v>3</v>
      </c>
      <c r="V560" s="7" t="str">
        <f>TEXT('E-Commerce Sales Data'!$B560,"mmmm")</f>
        <v>August</v>
      </c>
      <c r="W560" s="8">
        <f t="shared" si="32"/>
        <v>3335250</v>
      </c>
      <c r="X560">
        <f t="shared" si="33"/>
        <v>642</v>
      </c>
      <c r="Y560">
        <f t="shared" si="34"/>
        <v>29961.292834890966</v>
      </c>
      <c r="Z560">
        <f t="shared" si="35"/>
        <v>55</v>
      </c>
    </row>
    <row r="561" spans="1:26" x14ac:dyDescent="0.25">
      <c r="A561" s="9" t="s">
        <v>664</v>
      </c>
      <c r="B561" s="10">
        <v>49545</v>
      </c>
      <c r="C561" s="11" t="s">
        <v>124</v>
      </c>
      <c r="D561" s="11" t="s">
        <v>100</v>
      </c>
      <c r="E561" s="11">
        <v>32</v>
      </c>
      <c r="F561" s="11" t="s">
        <v>38</v>
      </c>
      <c r="G561" s="11" t="s">
        <v>78</v>
      </c>
      <c r="H561" s="11" t="s">
        <v>26</v>
      </c>
      <c r="I561" s="11" t="s">
        <v>27</v>
      </c>
      <c r="J561" s="11" t="s">
        <v>28</v>
      </c>
      <c r="K561" s="11" t="s">
        <v>29</v>
      </c>
      <c r="L561" s="11" t="s">
        <v>53</v>
      </c>
      <c r="M561" s="11" t="s">
        <v>79</v>
      </c>
      <c r="N561" s="11">
        <v>4100</v>
      </c>
      <c r="O561" s="11">
        <v>7</v>
      </c>
      <c r="P561" s="17">
        <v>0</v>
      </c>
      <c r="Q561" s="11">
        <v>1230</v>
      </c>
      <c r="R561" s="11" t="s">
        <v>32</v>
      </c>
      <c r="S561" s="11" t="s">
        <v>33</v>
      </c>
      <c r="T561" s="11" t="s">
        <v>34</v>
      </c>
      <c r="U561" s="11">
        <v>4</v>
      </c>
      <c r="V561" s="11" t="str">
        <f>TEXT('E-Commerce Sales Data'!$B561,"mmmm")</f>
        <v>August</v>
      </c>
      <c r="W561" s="8">
        <f t="shared" si="32"/>
        <v>3333930</v>
      </c>
      <c r="X561">
        <f t="shared" si="33"/>
        <v>641</v>
      </c>
      <c r="Y561">
        <f t="shared" si="34"/>
        <v>30000</v>
      </c>
      <c r="Z561">
        <f t="shared" si="35"/>
        <v>55</v>
      </c>
    </row>
    <row r="562" spans="1:26" x14ac:dyDescent="0.25">
      <c r="A562" s="5" t="s">
        <v>665</v>
      </c>
      <c r="B562" s="6">
        <v>49552</v>
      </c>
      <c r="C562" s="7" t="s">
        <v>22</v>
      </c>
      <c r="D562" s="7" t="s">
        <v>23</v>
      </c>
      <c r="E562" s="7">
        <v>28</v>
      </c>
      <c r="F562" s="7" t="s">
        <v>24</v>
      </c>
      <c r="G562" s="7" t="s">
        <v>25</v>
      </c>
      <c r="H562" s="7" t="s">
        <v>26</v>
      </c>
      <c r="I562" s="7" t="s">
        <v>27</v>
      </c>
      <c r="J562" s="7" t="s">
        <v>28</v>
      </c>
      <c r="K562" s="7" t="s">
        <v>29</v>
      </c>
      <c r="L562" s="7" t="s">
        <v>30</v>
      </c>
      <c r="M562" s="7" t="s">
        <v>31</v>
      </c>
      <c r="N562" s="7">
        <v>91000</v>
      </c>
      <c r="O562" s="7">
        <v>1</v>
      </c>
      <c r="P562" s="16">
        <v>0.05</v>
      </c>
      <c r="Q562" s="7">
        <v>12100</v>
      </c>
      <c r="R562" s="7" t="s">
        <v>32</v>
      </c>
      <c r="S562" s="7" t="s">
        <v>47</v>
      </c>
      <c r="T562" s="7" t="s">
        <v>34</v>
      </c>
      <c r="U562" s="7">
        <v>5</v>
      </c>
      <c r="V562" s="7" t="str">
        <f>TEXT('E-Commerce Sales Data'!$B562,"mmmm")</f>
        <v>August</v>
      </c>
      <c r="W562" s="8">
        <f t="shared" si="32"/>
        <v>3332700</v>
      </c>
      <c r="X562">
        <f t="shared" si="33"/>
        <v>640</v>
      </c>
      <c r="Y562">
        <f t="shared" si="34"/>
        <v>30040.46875</v>
      </c>
      <c r="Z562">
        <f t="shared" si="35"/>
        <v>55</v>
      </c>
    </row>
    <row r="563" spans="1:26" x14ac:dyDescent="0.25">
      <c r="A563" s="9" t="s">
        <v>666</v>
      </c>
      <c r="B563" s="10">
        <v>49559</v>
      </c>
      <c r="C563" s="11" t="s">
        <v>36</v>
      </c>
      <c r="D563" s="11" t="s">
        <v>37</v>
      </c>
      <c r="E563" s="11">
        <v>34</v>
      </c>
      <c r="F563" s="11" t="s">
        <v>38</v>
      </c>
      <c r="G563" s="11" t="s">
        <v>39</v>
      </c>
      <c r="H563" s="11" t="s">
        <v>40</v>
      </c>
      <c r="I563" s="11" t="s">
        <v>41</v>
      </c>
      <c r="J563" s="11" t="s">
        <v>42</v>
      </c>
      <c r="K563" s="11" t="s">
        <v>43</v>
      </c>
      <c r="L563" s="11" t="s">
        <v>44</v>
      </c>
      <c r="M563" s="11" t="s">
        <v>45</v>
      </c>
      <c r="N563" s="11">
        <v>13700</v>
      </c>
      <c r="O563" s="11">
        <v>3</v>
      </c>
      <c r="P563" s="17">
        <v>0.1</v>
      </c>
      <c r="Q563" s="11">
        <v>3180</v>
      </c>
      <c r="R563" s="11" t="s">
        <v>46</v>
      </c>
      <c r="S563" s="11" t="s">
        <v>33</v>
      </c>
      <c r="T563" s="11" t="s">
        <v>34</v>
      </c>
      <c r="U563" s="11">
        <v>4</v>
      </c>
      <c r="V563" s="11" t="str">
        <f>TEXT('E-Commerce Sales Data'!$B563,"mmmm")</f>
        <v>September</v>
      </c>
      <c r="W563" s="8">
        <f t="shared" si="32"/>
        <v>3320600</v>
      </c>
      <c r="X563">
        <f t="shared" si="33"/>
        <v>639</v>
      </c>
      <c r="Y563">
        <f t="shared" si="34"/>
        <v>29945.070422535213</v>
      </c>
      <c r="Z563">
        <f t="shared" si="35"/>
        <v>55</v>
      </c>
    </row>
    <row r="564" spans="1:26" x14ac:dyDescent="0.25">
      <c r="A564" s="5" t="s">
        <v>667</v>
      </c>
      <c r="B564" s="6">
        <v>49566</v>
      </c>
      <c r="C564" s="7" t="s">
        <v>49</v>
      </c>
      <c r="D564" s="7" t="s">
        <v>50</v>
      </c>
      <c r="E564" s="7">
        <v>41</v>
      </c>
      <c r="F564" s="7" t="s">
        <v>24</v>
      </c>
      <c r="G564" s="7" t="s">
        <v>51</v>
      </c>
      <c r="H564" s="7" t="s">
        <v>51</v>
      </c>
      <c r="I564" s="7" t="s">
        <v>52</v>
      </c>
      <c r="J564" s="7" t="s">
        <v>28</v>
      </c>
      <c r="K564" s="7" t="s">
        <v>29</v>
      </c>
      <c r="L564" s="7" t="s">
        <v>53</v>
      </c>
      <c r="M564" s="7" t="s">
        <v>54</v>
      </c>
      <c r="N564" s="7">
        <v>32000</v>
      </c>
      <c r="O564" s="7">
        <v>2</v>
      </c>
      <c r="P564" s="16">
        <v>0.05</v>
      </c>
      <c r="Q564" s="7">
        <v>6050</v>
      </c>
      <c r="R564" s="7" t="s">
        <v>55</v>
      </c>
      <c r="S564" s="7" t="s">
        <v>33</v>
      </c>
      <c r="T564" s="7" t="s">
        <v>34</v>
      </c>
      <c r="U564" s="7">
        <v>4</v>
      </c>
      <c r="V564" s="7" t="str">
        <f>TEXT('E-Commerce Sales Data'!$B564,"mmmm")</f>
        <v>September</v>
      </c>
      <c r="W564" s="8">
        <f t="shared" si="32"/>
        <v>3317420</v>
      </c>
      <c r="X564">
        <f t="shared" si="33"/>
        <v>638</v>
      </c>
      <c r="Y564">
        <f t="shared" si="34"/>
        <v>29970.532915360502</v>
      </c>
      <c r="Z564">
        <f t="shared" si="35"/>
        <v>55</v>
      </c>
    </row>
    <row r="565" spans="1:26" x14ac:dyDescent="0.25">
      <c r="A565" s="9" t="s">
        <v>668</v>
      </c>
      <c r="B565" s="10">
        <v>49573</v>
      </c>
      <c r="C565" s="11" t="s">
        <v>57</v>
      </c>
      <c r="D565" s="11" t="s">
        <v>58</v>
      </c>
      <c r="E565" s="11">
        <v>26</v>
      </c>
      <c r="F565" s="11" t="s">
        <v>38</v>
      </c>
      <c r="G565" s="11" t="s">
        <v>59</v>
      </c>
      <c r="H565" s="11" t="s">
        <v>26</v>
      </c>
      <c r="I565" s="11" t="s">
        <v>27</v>
      </c>
      <c r="J565" s="11" t="s">
        <v>28</v>
      </c>
      <c r="K565" s="11" t="s">
        <v>60</v>
      </c>
      <c r="L565" s="11" t="s">
        <v>61</v>
      </c>
      <c r="M565" s="11" t="s">
        <v>86</v>
      </c>
      <c r="N565" s="11">
        <v>930</v>
      </c>
      <c r="O565" s="11">
        <v>20</v>
      </c>
      <c r="P565" s="17">
        <v>0.02</v>
      </c>
      <c r="Q565" s="11">
        <v>275</v>
      </c>
      <c r="R565" s="11" t="s">
        <v>32</v>
      </c>
      <c r="S565" s="11" t="s">
        <v>33</v>
      </c>
      <c r="T565" s="11" t="s">
        <v>34</v>
      </c>
      <c r="U565" s="11">
        <v>5</v>
      </c>
      <c r="V565" s="11" t="str">
        <f>TEXT('E-Commerce Sales Data'!$B565,"mmmm")</f>
        <v>September</v>
      </c>
      <c r="W565" s="8">
        <f t="shared" si="32"/>
        <v>3311370</v>
      </c>
      <c r="X565">
        <f t="shared" si="33"/>
        <v>637</v>
      </c>
      <c r="Y565">
        <f t="shared" si="34"/>
        <v>29967.34693877551</v>
      </c>
      <c r="Z565">
        <f t="shared" si="35"/>
        <v>55</v>
      </c>
    </row>
    <row r="566" spans="1:26" x14ac:dyDescent="0.25">
      <c r="A566" s="5" t="s">
        <v>669</v>
      </c>
      <c r="B566" s="6">
        <v>49580</v>
      </c>
      <c r="C566" s="7" t="s">
        <v>64</v>
      </c>
      <c r="D566" s="7" t="s">
        <v>65</v>
      </c>
      <c r="E566" s="7">
        <v>39</v>
      </c>
      <c r="F566" s="7" t="s">
        <v>24</v>
      </c>
      <c r="G566" s="7" t="s">
        <v>66</v>
      </c>
      <c r="H566" s="7" t="s">
        <v>67</v>
      </c>
      <c r="I566" s="7" t="s">
        <v>27</v>
      </c>
      <c r="J566" s="7" t="s">
        <v>42</v>
      </c>
      <c r="K566" s="7" t="s">
        <v>43</v>
      </c>
      <c r="L566" s="7" t="s">
        <v>68</v>
      </c>
      <c r="M566" s="7" t="s">
        <v>69</v>
      </c>
      <c r="N566" s="7">
        <v>32600</v>
      </c>
      <c r="O566" s="7">
        <v>2</v>
      </c>
      <c r="P566" s="16">
        <v>0.08</v>
      </c>
      <c r="Q566" s="7">
        <v>5600</v>
      </c>
      <c r="R566" s="7" t="s">
        <v>46</v>
      </c>
      <c r="S566" s="7" t="s">
        <v>47</v>
      </c>
      <c r="T566" s="7" t="s">
        <v>34</v>
      </c>
      <c r="U566" s="7">
        <v>4</v>
      </c>
      <c r="V566" s="7" t="str">
        <f>TEXT('E-Commerce Sales Data'!$B566,"mmmm")</f>
        <v>September</v>
      </c>
      <c r="W566" s="8">
        <f t="shared" si="32"/>
        <v>3311095</v>
      </c>
      <c r="X566">
        <f t="shared" si="33"/>
        <v>636</v>
      </c>
      <c r="Y566">
        <f t="shared" si="34"/>
        <v>30013.003144654089</v>
      </c>
      <c r="Z566">
        <f t="shared" si="35"/>
        <v>55</v>
      </c>
    </row>
    <row r="567" spans="1:26" x14ac:dyDescent="0.25">
      <c r="A567" s="9" t="s">
        <v>670</v>
      </c>
      <c r="B567" s="10">
        <v>49587</v>
      </c>
      <c r="C567" s="11" t="s">
        <v>71</v>
      </c>
      <c r="D567" s="11" t="s">
        <v>72</v>
      </c>
      <c r="E567" s="11">
        <v>31</v>
      </c>
      <c r="F567" s="11" t="s">
        <v>38</v>
      </c>
      <c r="G567" s="11" t="s">
        <v>73</v>
      </c>
      <c r="H567" s="11" t="s">
        <v>74</v>
      </c>
      <c r="I567" s="11" t="s">
        <v>41</v>
      </c>
      <c r="J567" s="11" t="s">
        <v>28</v>
      </c>
      <c r="K567" s="11" t="s">
        <v>29</v>
      </c>
      <c r="L567" s="11" t="s">
        <v>53</v>
      </c>
      <c r="M567" s="11" t="s">
        <v>75</v>
      </c>
      <c r="N567" s="11">
        <v>4850</v>
      </c>
      <c r="O567" s="11">
        <v>3</v>
      </c>
      <c r="P567" s="17">
        <v>0.05</v>
      </c>
      <c r="Q567" s="11">
        <v>1260</v>
      </c>
      <c r="R567" s="11" t="s">
        <v>32</v>
      </c>
      <c r="S567" s="11" t="s">
        <v>33</v>
      </c>
      <c r="T567" s="11" t="s">
        <v>34</v>
      </c>
      <c r="U567" s="11">
        <v>4</v>
      </c>
      <c r="V567" s="11" t="str">
        <f>TEXT('E-Commerce Sales Data'!$B567,"mmmm")</f>
        <v>October</v>
      </c>
      <c r="W567" s="8">
        <f t="shared" si="32"/>
        <v>3305495</v>
      </c>
      <c r="X567">
        <f t="shared" si="33"/>
        <v>635</v>
      </c>
      <c r="Y567">
        <f t="shared" si="34"/>
        <v>30008.929133858266</v>
      </c>
      <c r="Z567">
        <f t="shared" si="35"/>
        <v>55</v>
      </c>
    </row>
    <row r="568" spans="1:26" x14ac:dyDescent="0.25">
      <c r="A568" s="5" t="s">
        <v>671</v>
      </c>
      <c r="B568" s="6">
        <v>49594</v>
      </c>
      <c r="C568" s="7" t="s">
        <v>77</v>
      </c>
      <c r="D568" s="7" t="s">
        <v>23</v>
      </c>
      <c r="E568" s="7">
        <v>29</v>
      </c>
      <c r="F568" s="7" t="s">
        <v>24</v>
      </c>
      <c r="G568" s="7" t="s">
        <v>78</v>
      </c>
      <c r="H568" s="7" t="s">
        <v>26</v>
      </c>
      <c r="I568" s="7" t="s">
        <v>27</v>
      </c>
      <c r="J568" s="7" t="s">
        <v>28</v>
      </c>
      <c r="K568" s="7" t="s">
        <v>29</v>
      </c>
      <c r="L568" s="7" t="s">
        <v>53</v>
      </c>
      <c r="M568" s="7" t="s">
        <v>79</v>
      </c>
      <c r="N568" s="7">
        <v>4200</v>
      </c>
      <c r="O568" s="7">
        <v>6</v>
      </c>
      <c r="P568" s="16">
        <v>0</v>
      </c>
      <c r="Q568" s="7">
        <v>1260</v>
      </c>
      <c r="R568" s="7" t="s">
        <v>80</v>
      </c>
      <c r="S568" s="7" t="s">
        <v>33</v>
      </c>
      <c r="T568" s="7" t="s">
        <v>34</v>
      </c>
      <c r="U568" s="7">
        <v>3</v>
      </c>
      <c r="V568" s="7" t="str">
        <f>TEXT('E-Commerce Sales Data'!$B568,"mmmm")</f>
        <v>October</v>
      </c>
      <c r="W568" s="8">
        <f t="shared" si="32"/>
        <v>3304235</v>
      </c>
      <c r="X568">
        <f t="shared" si="33"/>
        <v>634</v>
      </c>
      <c r="Y568">
        <f t="shared" si="34"/>
        <v>30048.611987381704</v>
      </c>
      <c r="Z568">
        <f t="shared" si="35"/>
        <v>55</v>
      </c>
    </row>
    <row r="569" spans="1:26" x14ac:dyDescent="0.25">
      <c r="A569" s="9" t="s">
        <v>672</v>
      </c>
      <c r="B569" s="10">
        <v>49601</v>
      </c>
      <c r="C569" s="11" t="s">
        <v>82</v>
      </c>
      <c r="D569" s="11" t="s">
        <v>83</v>
      </c>
      <c r="E569" s="11">
        <v>37</v>
      </c>
      <c r="F569" s="11" t="s">
        <v>38</v>
      </c>
      <c r="G569" s="11" t="s">
        <v>84</v>
      </c>
      <c r="H569" s="11" t="s">
        <v>85</v>
      </c>
      <c r="I569" s="11" t="s">
        <v>52</v>
      </c>
      <c r="J569" s="11" t="s">
        <v>42</v>
      </c>
      <c r="K569" s="11" t="s">
        <v>60</v>
      </c>
      <c r="L569" s="11" t="s">
        <v>61</v>
      </c>
      <c r="M569" s="11" t="s">
        <v>62</v>
      </c>
      <c r="N569" s="11">
        <v>7800</v>
      </c>
      <c r="O569" s="11">
        <v>10</v>
      </c>
      <c r="P569" s="17">
        <v>0.02</v>
      </c>
      <c r="Q569" s="11">
        <v>1930</v>
      </c>
      <c r="R569" s="11" t="s">
        <v>32</v>
      </c>
      <c r="S569" s="11" t="s">
        <v>33</v>
      </c>
      <c r="T569" s="11" t="s">
        <v>34</v>
      </c>
      <c r="U569" s="11">
        <v>5</v>
      </c>
      <c r="V569" s="11" t="str">
        <f>TEXT('E-Commerce Sales Data'!$B569,"mmmm")</f>
        <v>October</v>
      </c>
      <c r="W569" s="8">
        <f t="shared" si="32"/>
        <v>3302975</v>
      </c>
      <c r="X569">
        <f t="shared" si="33"/>
        <v>633</v>
      </c>
      <c r="Y569">
        <f t="shared" si="34"/>
        <v>30089.447077409164</v>
      </c>
      <c r="Z569">
        <f t="shared" si="35"/>
        <v>55</v>
      </c>
    </row>
    <row r="570" spans="1:26" x14ac:dyDescent="0.25">
      <c r="A570" s="5" t="s">
        <v>673</v>
      </c>
      <c r="B570" s="6">
        <v>49608</v>
      </c>
      <c r="C570" s="7" t="s">
        <v>88</v>
      </c>
      <c r="D570" s="7" t="s">
        <v>37</v>
      </c>
      <c r="E570" s="7">
        <v>45</v>
      </c>
      <c r="F570" s="7" t="s">
        <v>24</v>
      </c>
      <c r="G570" s="7" t="s">
        <v>89</v>
      </c>
      <c r="H570" s="7" t="s">
        <v>90</v>
      </c>
      <c r="I570" s="7" t="s">
        <v>91</v>
      </c>
      <c r="J570" s="7" t="s">
        <v>42</v>
      </c>
      <c r="K570" s="7" t="s">
        <v>43</v>
      </c>
      <c r="L570" s="7" t="s">
        <v>92</v>
      </c>
      <c r="M570" s="7" t="s">
        <v>93</v>
      </c>
      <c r="N570" s="7">
        <v>21400</v>
      </c>
      <c r="O570" s="7">
        <v>1</v>
      </c>
      <c r="P570" s="16">
        <v>0.1</v>
      </c>
      <c r="Q570" s="7">
        <v>3820</v>
      </c>
      <c r="R570" s="7" t="s">
        <v>46</v>
      </c>
      <c r="S570" s="7" t="s">
        <v>47</v>
      </c>
      <c r="T570" s="7" t="s">
        <v>34</v>
      </c>
      <c r="U570" s="7">
        <v>4</v>
      </c>
      <c r="V570" s="7" t="str">
        <f>TEXT('E-Commerce Sales Data'!$B570,"mmmm")</f>
        <v>October</v>
      </c>
      <c r="W570" s="8">
        <f t="shared" si="32"/>
        <v>3301045</v>
      </c>
      <c r="X570">
        <f t="shared" si="33"/>
        <v>632</v>
      </c>
      <c r="Y570">
        <f t="shared" si="34"/>
        <v>30124.715189873419</v>
      </c>
      <c r="Z570">
        <f t="shared" si="35"/>
        <v>55</v>
      </c>
    </row>
    <row r="571" spans="1:26" x14ac:dyDescent="0.25">
      <c r="A571" s="9" t="s">
        <v>674</v>
      </c>
      <c r="B571" s="10">
        <v>49615</v>
      </c>
      <c r="C571" s="11" t="s">
        <v>95</v>
      </c>
      <c r="D571" s="11" t="s">
        <v>65</v>
      </c>
      <c r="E571" s="11">
        <v>25</v>
      </c>
      <c r="F571" s="11" t="s">
        <v>38</v>
      </c>
      <c r="G571" s="11" t="s">
        <v>25</v>
      </c>
      <c r="H571" s="11" t="s">
        <v>26</v>
      </c>
      <c r="I571" s="11" t="s">
        <v>27</v>
      </c>
      <c r="J571" s="11" t="s">
        <v>28</v>
      </c>
      <c r="K571" s="11" t="s">
        <v>29</v>
      </c>
      <c r="L571" s="11" t="s">
        <v>96</v>
      </c>
      <c r="M571" s="11" t="s">
        <v>97</v>
      </c>
      <c r="N571" s="11">
        <v>23600</v>
      </c>
      <c r="O571" s="11">
        <v>2</v>
      </c>
      <c r="P571" s="17">
        <v>0.05</v>
      </c>
      <c r="Q571" s="11">
        <v>4580</v>
      </c>
      <c r="R571" s="11" t="s">
        <v>32</v>
      </c>
      <c r="S571" s="11" t="s">
        <v>33</v>
      </c>
      <c r="T571" s="11" t="s">
        <v>34</v>
      </c>
      <c r="U571" s="11">
        <v>4</v>
      </c>
      <c r="V571" s="11" t="str">
        <f>TEXT('E-Commerce Sales Data'!$B571,"mmmm")</f>
        <v>November</v>
      </c>
      <c r="W571" s="8">
        <f t="shared" si="32"/>
        <v>3297225</v>
      </c>
      <c r="X571">
        <f t="shared" si="33"/>
        <v>631</v>
      </c>
      <c r="Y571">
        <f t="shared" si="34"/>
        <v>30138.541996830427</v>
      </c>
      <c r="Z571">
        <f t="shared" si="35"/>
        <v>55</v>
      </c>
    </row>
    <row r="572" spans="1:26" x14ac:dyDescent="0.25">
      <c r="A572" s="5" t="s">
        <v>675</v>
      </c>
      <c r="B572" s="6">
        <v>49622</v>
      </c>
      <c r="C572" s="7" t="s">
        <v>99</v>
      </c>
      <c r="D572" s="7" t="s">
        <v>100</v>
      </c>
      <c r="E572" s="7">
        <v>33</v>
      </c>
      <c r="F572" s="7" t="s">
        <v>24</v>
      </c>
      <c r="G572" s="7" t="s">
        <v>101</v>
      </c>
      <c r="H572" s="7" t="s">
        <v>102</v>
      </c>
      <c r="I572" s="7" t="s">
        <v>41</v>
      </c>
      <c r="J572" s="7" t="s">
        <v>28</v>
      </c>
      <c r="K572" s="7" t="s">
        <v>60</v>
      </c>
      <c r="L572" s="7" t="s">
        <v>53</v>
      </c>
      <c r="M572" s="7" t="s">
        <v>103</v>
      </c>
      <c r="N572" s="7">
        <v>1350</v>
      </c>
      <c r="O572" s="7">
        <v>25</v>
      </c>
      <c r="P572" s="16">
        <v>0</v>
      </c>
      <c r="Q572" s="7">
        <v>420</v>
      </c>
      <c r="R572" s="7" t="s">
        <v>55</v>
      </c>
      <c r="S572" s="7" t="s">
        <v>33</v>
      </c>
      <c r="T572" s="7" t="s">
        <v>34</v>
      </c>
      <c r="U572" s="7">
        <v>5</v>
      </c>
      <c r="V572" s="7" t="str">
        <f>TEXT('E-Commerce Sales Data'!$B572,"mmmm")</f>
        <v>November</v>
      </c>
      <c r="W572" s="8">
        <f t="shared" si="32"/>
        <v>3292645</v>
      </c>
      <c r="X572">
        <f t="shared" si="33"/>
        <v>630</v>
      </c>
      <c r="Y572">
        <f t="shared" si="34"/>
        <v>30148.920634920636</v>
      </c>
      <c r="Z572">
        <f t="shared" si="35"/>
        <v>55</v>
      </c>
    </row>
    <row r="573" spans="1:26" x14ac:dyDescent="0.25">
      <c r="A573" s="9" t="s">
        <v>676</v>
      </c>
      <c r="B573" s="10">
        <v>49629</v>
      </c>
      <c r="C573" s="11" t="s">
        <v>105</v>
      </c>
      <c r="D573" s="11" t="s">
        <v>58</v>
      </c>
      <c r="E573" s="11">
        <v>42</v>
      </c>
      <c r="F573" s="11" t="s">
        <v>38</v>
      </c>
      <c r="G573" s="11" t="s">
        <v>51</v>
      </c>
      <c r="H573" s="11" t="s">
        <v>51</v>
      </c>
      <c r="I573" s="11" t="s">
        <v>52</v>
      </c>
      <c r="J573" s="11" t="s">
        <v>42</v>
      </c>
      <c r="K573" s="11" t="s">
        <v>43</v>
      </c>
      <c r="L573" s="11" t="s">
        <v>68</v>
      </c>
      <c r="M573" s="11" t="s">
        <v>106</v>
      </c>
      <c r="N573" s="11">
        <v>35000</v>
      </c>
      <c r="O573" s="11">
        <v>1</v>
      </c>
      <c r="P573" s="17">
        <v>0.08</v>
      </c>
      <c r="Q573" s="11">
        <v>7250</v>
      </c>
      <c r="R573" s="11" t="s">
        <v>46</v>
      </c>
      <c r="S573" s="11" t="s">
        <v>47</v>
      </c>
      <c r="T573" s="11" t="s">
        <v>34</v>
      </c>
      <c r="U573" s="11">
        <v>4</v>
      </c>
      <c r="V573" s="11" t="str">
        <f>TEXT('E-Commerce Sales Data'!$B573,"mmmm")</f>
        <v>November</v>
      </c>
      <c r="W573" s="8">
        <f t="shared" si="32"/>
        <v>3292225</v>
      </c>
      <c r="X573">
        <f t="shared" si="33"/>
        <v>629</v>
      </c>
      <c r="Y573">
        <f t="shared" si="34"/>
        <v>30194.705882352941</v>
      </c>
      <c r="Z573">
        <f t="shared" si="35"/>
        <v>55</v>
      </c>
    </row>
    <row r="574" spans="1:26" x14ac:dyDescent="0.25">
      <c r="A574" s="5" t="s">
        <v>677</v>
      </c>
      <c r="B574" s="6">
        <v>49636</v>
      </c>
      <c r="C574" s="7" t="s">
        <v>108</v>
      </c>
      <c r="D574" s="7" t="s">
        <v>23</v>
      </c>
      <c r="E574" s="7">
        <v>30</v>
      </c>
      <c r="F574" s="7" t="s">
        <v>24</v>
      </c>
      <c r="G574" s="7" t="s">
        <v>59</v>
      </c>
      <c r="H574" s="7" t="s">
        <v>26</v>
      </c>
      <c r="I574" s="7" t="s">
        <v>27</v>
      </c>
      <c r="J574" s="7" t="s">
        <v>28</v>
      </c>
      <c r="K574" s="7" t="s">
        <v>29</v>
      </c>
      <c r="L574" s="7" t="s">
        <v>30</v>
      </c>
      <c r="M574" s="7" t="s">
        <v>31</v>
      </c>
      <c r="N574" s="7">
        <v>96500</v>
      </c>
      <c r="O574" s="7">
        <v>1</v>
      </c>
      <c r="P574" s="16">
        <v>0.1</v>
      </c>
      <c r="Q574" s="7">
        <v>11200</v>
      </c>
      <c r="R574" s="7" t="s">
        <v>32</v>
      </c>
      <c r="S574" s="7" t="s">
        <v>47</v>
      </c>
      <c r="T574" s="7" t="s">
        <v>34</v>
      </c>
      <c r="U574" s="7">
        <v>5</v>
      </c>
      <c r="V574" s="7" t="str">
        <f>TEXT('E-Commerce Sales Data'!$B574,"mmmm")</f>
        <v>November</v>
      </c>
      <c r="W574" s="8">
        <f t="shared" si="32"/>
        <v>3284975</v>
      </c>
      <c r="X574">
        <f t="shared" si="33"/>
        <v>628</v>
      </c>
      <c r="Y574">
        <f t="shared" si="34"/>
        <v>30187.054140127388</v>
      </c>
      <c r="Z574">
        <f t="shared" si="35"/>
        <v>55</v>
      </c>
    </row>
    <row r="575" spans="1:26" x14ac:dyDescent="0.25">
      <c r="A575" s="9" t="s">
        <v>678</v>
      </c>
      <c r="B575" s="10">
        <v>49643</v>
      </c>
      <c r="C575" s="11" t="s">
        <v>110</v>
      </c>
      <c r="D575" s="11" t="s">
        <v>37</v>
      </c>
      <c r="E575" s="11">
        <v>36</v>
      </c>
      <c r="F575" s="11" t="s">
        <v>38</v>
      </c>
      <c r="G575" s="11" t="s">
        <v>66</v>
      </c>
      <c r="H575" s="11" t="s">
        <v>67</v>
      </c>
      <c r="I575" s="11" t="s">
        <v>27</v>
      </c>
      <c r="J575" s="11" t="s">
        <v>28</v>
      </c>
      <c r="K575" s="11" t="s">
        <v>60</v>
      </c>
      <c r="L575" s="11" t="s">
        <v>92</v>
      </c>
      <c r="M575" s="11" t="s">
        <v>111</v>
      </c>
      <c r="N575" s="11">
        <v>1760</v>
      </c>
      <c r="O575" s="11">
        <v>15</v>
      </c>
      <c r="P575" s="17">
        <v>0.05</v>
      </c>
      <c r="Q575" s="11">
        <v>555</v>
      </c>
      <c r="R575" s="11" t="s">
        <v>80</v>
      </c>
      <c r="S575" s="11" t="s">
        <v>33</v>
      </c>
      <c r="T575" s="11" t="s">
        <v>34</v>
      </c>
      <c r="U575" s="11">
        <v>4</v>
      </c>
      <c r="V575" s="11" t="str">
        <f>TEXT('E-Commerce Sales Data'!$B575,"mmmm")</f>
        <v>November</v>
      </c>
      <c r="W575" s="8">
        <f t="shared" si="32"/>
        <v>3273775</v>
      </c>
      <c r="X575">
        <f t="shared" si="33"/>
        <v>627</v>
      </c>
      <c r="Y575">
        <f t="shared" si="34"/>
        <v>30081.291866028707</v>
      </c>
      <c r="Z575">
        <f t="shared" si="35"/>
        <v>55</v>
      </c>
    </row>
    <row r="576" spans="1:26" x14ac:dyDescent="0.25">
      <c r="A576" s="5" t="s">
        <v>679</v>
      </c>
      <c r="B576" s="6">
        <v>49650</v>
      </c>
      <c r="C576" s="7" t="s">
        <v>113</v>
      </c>
      <c r="D576" s="7" t="s">
        <v>114</v>
      </c>
      <c r="E576" s="7">
        <v>40</v>
      </c>
      <c r="F576" s="7" t="s">
        <v>24</v>
      </c>
      <c r="G576" s="7" t="s">
        <v>73</v>
      </c>
      <c r="H576" s="7" t="s">
        <v>74</v>
      </c>
      <c r="I576" s="7" t="s">
        <v>41</v>
      </c>
      <c r="J576" s="7" t="s">
        <v>42</v>
      </c>
      <c r="K576" s="7" t="s">
        <v>43</v>
      </c>
      <c r="L576" s="7" t="s">
        <v>44</v>
      </c>
      <c r="M576" s="7" t="s">
        <v>45</v>
      </c>
      <c r="N576" s="7">
        <v>16800</v>
      </c>
      <c r="O576" s="7">
        <v>4</v>
      </c>
      <c r="P576" s="16">
        <v>7.0000000000000007E-2</v>
      </c>
      <c r="Q576" s="7">
        <v>3800</v>
      </c>
      <c r="R576" s="7" t="s">
        <v>46</v>
      </c>
      <c r="S576" s="7" t="s">
        <v>33</v>
      </c>
      <c r="T576" s="7" t="s">
        <v>34</v>
      </c>
      <c r="U576" s="7">
        <v>4</v>
      </c>
      <c r="V576" s="7" t="str">
        <f>TEXT('E-Commerce Sales Data'!$B576,"mmmm")</f>
        <v>December</v>
      </c>
      <c r="W576" s="8">
        <f t="shared" si="32"/>
        <v>3273220</v>
      </c>
      <c r="X576">
        <f t="shared" si="33"/>
        <v>626</v>
      </c>
      <c r="Y576">
        <f t="shared" si="34"/>
        <v>30126.533546325878</v>
      </c>
      <c r="Z576">
        <f t="shared" si="35"/>
        <v>55</v>
      </c>
    </row>
    <row r="577" spans="1:26" x14ac:dyDescent="0.25">
      <c r="A577" s="9" t="s">
        <v>680</v>
      </c>
      <c r="B577" s="10">
        <v>49657</v>
      </c>
      <c r="C577" s="11" t="s">
        <v>116</v>
      </c>
      <c r="D577" s="11" t="s">
        <v>83</v>
      </c>
      <c r="E577" s="11">
        <v>27</v>
      </c>
      <c r="F577" s="11" t="s">
        <v>38</v>
      </c>
      <c r="G577" s="11" t="s">
        <v>39</v>
      </c>
      <c r="H577" s="11" t="s">
        <v>40</v>
      </c>
      <c r="I577" s="11" t="s">
        <v>41</v>
      </c>
      <c r="J577" s="11" t="s">
        <v>28</v>
      </c>
      <c r="K577" s="11" t="s">
        <v>29</v>
      </c>
      <c r="L577" s="11" t="s">
        <v>53</v>
      </c>
      <c r="M577" s="11" t="s">
        <v>54</v>
      </c>
      <c r="N577" s="11">
        <v>34800</v>
      </c>
      <c r="O577" s="11">
        <v>2</v>
      </c>
      <c r="P577" s="17">
        <v>0.05</v>
      </c>
      <c r="Q577" s="11">
        <v>6650</v>
      </c>
      <c r="R577" s="11" t="s">
        <v>32</v>
      </c>
      <c r="S577" s="11" t="s">
        <v>47</v>
      </c>
      <c r="T577" s="11" t="s">
        <v>34</v>
      </c>
      <c r="U577" s="11">
        <v>5</v>
      </c>
      <c r="V577" s="11" t="str">
        <f>TEXT('E-Commerce Sales Data'!$B577,"mmmm")</f>
        <v>December</v>
      </c>
      <c r="W577" s="8">
        <f t="shared" si="32"/>
        <v>3269420</v>
      </c>
      <c r="X577">
        <f t="shared" si="33"/>
        <v>625</v>
      </c>
      <c r="Y577">
        <f t="shared" si="34"/>
        <v>30147.856</v>
      </c>
      <c r="Z577">
        <f t="shared" si="35"/>
        <v>55</v>
      </c>
    </row>
    <row r="578" spans="1:26" x14ac:dyDescent="0.25">
      <c r="A578" s="5" t="s">
        <v>681</v>
      </c>
      <c r="B578" s="6">
        <v>49664</v>
      </c>
      <c r="C578" s="7" t="s">
        <v>118</v>
      </c>
      <c r="D578" s="7" t="s">
        <v>72</v>
      </c>
      <c r="E578" s="7">
        <v>35</v>
      </c>
      <c r="F578" s="7" t="s">
        <v>24</v>
      </c>
      <c r="G578" s="7" t="s">
        <v>84</v>
      </c>
      <c r="H578" s="7" t="s">
        <v>85</v>
      </c>
      <c r="I578" s="7" t="s">
        <v>52</v>
      </c>
      <c r="J578" s="7" t="s">
        <v>42</v>
      </c>
      <c r="K578" s="7" t="s">
        <v>60</v>
      </c>
      <c r="L578" s="7" t="s">
        <v>61</v>
      </c>
      <c r="M578" s="7" t="s">
        <v>62</v>
      </c>
      <c r="N578" s="7">
        <v>7900</v>
      </c>
      <c r="O578" s="7">
        <v>10</v>
      </c>
      <c r="P578" s="16">
        <v>0.03</v>
      </c>
      <c r="Q578" s="7">
        <v>1960</v>
      </c>
      <c r="R578" s="7" t="s">
        <v>55</v>
      </c>
      <c r="S578" s="7" t="s">
        <v>33</v>
      </c>
      <c r="T578" s="7" t="s">
        <v>34</v>
      </c>
      <c r="U578" s="7">
        <v>4</v>
      </c>
      <c r="V578" s="7" t="str">
        <f>TEXT('E-Commerce Sales Data'!$B578,"mmmm")</f>
        <v>December</v>
      </c>
      <c r="W578" s="8">
        <f t="shared" si="32"/>
        <v>3262770</v>
      </c>
      <c r="X578">
        <f t="shared" si="33"/>
        <v>624</v>
      </c>
      <c r="Y578">
        <f t="shared" si="34"/>
        <v>30140.400641025641</v>
      </c>
      <c r="Z578">
        <f t="shared" si="35"/>
        <v>55</v>
      </c>
    </row>
    <row r="579" spans="1:26" x14ac:dyDescent="0.25">
      <c r="A579" s="9" t="s">
        <v>682</v>
      </c>
      <c r="B579" s="10">
        <v>49671</v>
      </c>
      <c r="C579" s="11" t="s">
        <v>120</v>
      </c>
      <c r="D579" s="11" t="s">
        <v>23</v>
      </c>
      <c r="E579" s="11">
        <v>24</v>
      </c>
      <c r="F579" s="11" t="s">
        <v>38</v>
      </c>
      <c r="G579" s="11" t="s">
        <v>25</v>
      </c>
      <c r="H579" s="11" t="s">
        <v>26</v>
      </c>
      <c r="I579" s="11" t="s">
        <v>27</v>
      </c>
      <c r="J579" s="11" t="s">
        <v>28</v>
      </c>
      <c r="K579" s="11" t="s">
        <v>43</v>
      </c>
      <c r="L579" s="11" t="s">
        <v>68</v>
      </c>
      <c r="M579" s="11" t="s">
        <v>69</v>
      </c>
      <c r="N579" s="11">
        <v>32100</v>
      </c>
      <c r="O579" s="11">
        <v>2</v>
      </c>
      <c r="P579" s="17">
        <v>0.1</v>
      </c>
      <c r="Q579" s="11">
        <v>5160</v>
      </c>
      <c r="R579" s="11" t="s">
        <v>32</v>
      </c>
      <c r="S579" s="11" t="s">
        <v>47</v>
      </c>
      <c r="T579" s="11" t="s">
        <v>34</v>
      </c>
      <c r="U579" s="11">
        <v>5</v>
      </c>
      <c r="V579" s="11" t="str">
        <f>TEXT('E-Commerce Sales Data'!$B579,"mmmm")</f>
        <v>December</v>
      </c>
      <c r="W579" s="8">
        <f t="shared" ref="W579:W642" si="36">SUM(Q579:Q1778)</f>
        <v>3260810</v>
      </c>
      <c r="X579">
        <f t="shared" ref="X579:X642" si="37">COUNT(E579:E1778)</f>
        <v>623</v>
      </c>
      <c r="Y579">
        <f t="shared" ref="Y579:Y642" si="38">AVERAGE(N579:N1778)</f>
        <v>30176.099518459068</v>
      </c>
      <c r="Z579">
        <f t="shared" ref="Z579:Z642" si="39">MAX(E579:E1778)</f>
        <v>55</v>
      </c>
    </row>
    <row r="580" spans="1:26" x14ac:dyDescent="0.25">
      <c r="A580" s="5" t="s">
        <v>683</v>
      </c>
      <c r="B580" s="6">
        <v>49678</v>
      </c>
      <c r="C580" s="7" t="s">
        <v>122</v>
      </c>
      <c r="D580" s="7" t="s">
        <v>50</v>
      </c>
      <c r="E580" s="7">
        <v>43</v>
      </c>
      <c r="F580" s="7" t="s">
        <v>24</v>
      </c>
      <c r="G580" s="7" t="s">
        <v>101</v>
      </c>
      <c r="H580" s="7" t="s">
        <v>102</v>
      </c>
      <c r="I580" s="7" t="s">
        <v>41</v>
      </c>
      <c r="J580" s="7" t="s">
        <v>42</v>
      </c>
      <c r="K580" s="7" t="s">
        <v>29</v>
      </c>
      <c r="L580" s="7" t="s">
        <v>53</v>
      </c>
      <c r="M580" s="7" t="s">
        <v>75</v>
      </c>
      <c r="N580" s="7">
        <v>5250</v>
      </c>
      <c r="O580" s="7">
        <v>4</v>
      </c>
      <c r="P580" s="16">
        <v>0.05</v>
      </c>
      <c r="Q580" s="7">
        <v>1350</v>
      </c>
      <c r="R580" s="7" t="s">
        <v>46</v>
      </c>
      <c r="S580" s="7" t="s">
        <v>33</v>
      </c>
      <c r="T580" s="7" t="s">
        <v>34</v>
      </c>
      <c r="U580" s="7">
        <v>3</v>
      </c>
      <c r="V580" s="7" t="str">
        <f>TEXT('E-Commerce Sales Data'!$B580,"mmmm")</f>
        <v>January</v>
      </c>
      <c r="W580" s="8">
        <f t="shared" si="36"/>
        <v>3255650</v>
      </c>
      <c r="X580">
        <f t="shared" si="37"/>
        <v>622</v>
      </c>
      <c r="Y580">
        <f t="shared" si="38"/>
        <v>30173.006430868169</v>
      </c>
      <c r="Z580">
        <f t="shared" si="39"/>
        <v>55</v>
      </c>
    </row>
    <row r="581" spans="1:26" x14ac:dyDescent="0.25">
      <c r="A581" s="9" t="s">
        <v>684</v>
      </c>
      <c r="B581" s="10">
        <v>49685</v>
      </c>
      <c r="C581" s="11" t="s">
        <v>124</v>
      </c>
      <c r="D581" s="11" t="s">
        <v>100</v>
      </c>
      <c r="E581" s="11">
        <v>32</v>
      </c>
      <c r="F581" s="11" t="s">
        <v>38</v>
      </c>
      <c r="G581" s="11" t="s">
        <v>78</v>
      </c>
      <c r="H581" s="11" t="s">
        <v>26</v>
      </c>
      <c r="I581" s="11" t="s">
        <v>27</v>
      </c>
      <c r="J581" s="11" t="s">
        <v>28</v>
      </c>
      <c r="K581" s="11" t="s">
        <v>29</v>
      </c>
      <c r="L581" s="11" t="s">
        <v>53</v>
      </c>
      <c r="M581" s="11" t="s">
        <v>79</v>
      </c>
      <c r="N581" s="11">
        <v>4250</v>
      </c>
      <c r="O581" s="11">
        <v>7</v>
      </c>
      <c r="P581" s="17">
        <v>0</v>
      </c>
      <c r="Q581" s="11">
        <v>1280</v>
      </c>
      <c r="R581" s="11" t="s">
        <v>32</v>
      </c>
      <c r="S581" s="11" t="s">
        <v>33</v>
      </c>
      <c r="T581" s="11" t="s">
        <v>34</v>
      </c>
      <c r="U581" s="11">
        <v>4</v>
      </c>
      <c r="V581" s="11" t="str">
        <f>TEXT('E-Commerce Sales Data'!$B581,"mmmm")</f>
        <v>January</v>
      </c>
      <c r="W581" s="8">
        <f t="shared" si="36"/>
        <v>3254300</v>
      </c>
      <c r="X581">
        <f t="shared" si="37"/>
        <v>621</v>
      </c>
      <c r="Y581">
        <f t="shared" si="38"/>
        <v>30213.140096618357</v>
      </c>
      <c r="Z581">
        <f t="shared" si="39"/>
        <v>55</v>
      </c>
    </row>
    <row r="582" spans="1:26" x14ac:dyDescent="0.25">
      <c r="A582" s="5" t="s">
        <v>685</v>
      </c>
      <c r="B582" s="6">
        <v>49692</v>
      </c>
      <c r="C582" s="7" t="s">
        <v>22</v>
      </c>
      <c r="D582" s="7" t="s">
        <v>23</v>
      </c>
      <c r="E582" s="7">
        <v>28</v>
      </c>
      <c r="F582" s="7" t="s">
        <v>24</v>
      </c>
      <c r="G582" s="7" t="s">
        <v>25</v>
      </c>
      <c r="H582" s="7" t="s">
        <v>26</v>
      </c>
      <c r="I582" s="7" t="s">
        <v>27</v>
      </c>
      <c r="J582" s="7" t="s">
        <v>28</v>
      </c>
      <c r="K582" s="7" t="s">
        <v>29</v>
      </c>
      <c r="L582" s="7" t="s">
        <v>30</v>
      </c>
      <c r="M582" s="7" t="s">
        <v>31</v>
      </c>
      <c r="N582" s="7">
        <v>92500</v>
      </c>
      <c r="O582" s="7">
        <v>1</v>
      </c>
      <c r="P582" s="16">
        <v>0.05</v>
      </c>
      <c r="Q582" s="7">
        <v>12300</v>
      </c>
      <c r="R582" s="7" t="s">
        <v>32</v>
      </c>
      <c r="S582" s="7" t="s">
        <v>47</v>
      </c>
      <c r="T582" s="7" t="s">
        <v>34</v>
      </c>
      <c r="U582" s="7">
        <v>5</v>
      </c>
      <c r="V582" s="7" t="str">
        <f>TEXT('E-Commerce Sales Data'!$B582,"mmmm")</f>
        <v>January</v>
      </c>
      <c r="W582" s="8">
        <f t="shared" si="36"/>
        <v>3253020</v>
      </c>
      <c r="X582">
        <f t="shared" si="37"/>
        <v>620</v>
      </c>
      <c r="Y582">
        <f t="shared" si="38"/>
        <v>30255.016129032258</v>
      </c>
      <c r="Z582">
        <f t="shared" si="39"/>
        <v>55</v>
      </c>
    </row>
    <row r="583" spans="1:26" x14ac:dyDescent="0.25">
      <c r="A583" s="9" t="s">
        <v>686</v>
      </c>
      <c r="B583" s="10">
        <v>49699</v>
      </c>
      <c r="C583" s="11" t="s">
        <v>36</v>
      </c>
      <c r="D583" s="11" t="s">
        <v>37</v>
      </c>
      <c r="E583" s="11">
        <v>34</v>
      </c>
      <c r="F583" s="11" t="s">
        <v>38</v>
      </c>
      <c r="G583" s="11" t="s">
        <v>39</v>
      </c>
      <c r="H583" s="11" t="s">
        <v>40</v>
      </c>
      <c r="I583" s="11" t="s">
        <v>41</v>
      </c>
      <c r="J583" s="11" t="s">
        <v>42</v>
      </c>
      <c r="K583" s="11" t="s">
        <v>43</v>
      </c>
      <c r="L583" s="11" t="s">
        <v>44</v>
      </c>
      <c r="M583" s="11" t="s">
        <v>45</v>
      </c>
      <c r="N583" s="11">
        <v>14000</v>
      </c>
      <c r="O583" s="11">
        <v>3</v>
      </c>
      <c r="P583" s="17">
        <v>0.1</v>
      </c>
      <c r="Q583" s="11">
        <v>3250</v>
      </c>
      <c r="R583" s="11" t="s">
        <v>46</v>
      </c>
      <c r="S583" s="11" t="s">
        <v>33</v>
      </c>
      <c r="T583" s="11" t="s">
        <v>34</v>
      </c>
      <c r="U583" s="11">
        <v>4</v>
      </c>
      <c r="V583" s="11" t="str">
        <f>TEXT('E-Commerce Sales Data'!$B583,"mmmm")</f>
        <v>January</v>
      </c>
      <c r="W583" s="8">
        <f t="shared" si="36"/>
        <v>3240720</v>
      </c>
      <c r="X583">
        <f t="shared" si="37"/>
        <v>619</v>
      </c>
      <c r="Y583">
        <f t="shared" si="38"/>
        <v>30154.458804523423</v>
      </c>
      <c r="Z583">
        <f t="shared" si="39"/>
        <v>55</v>
      </c>
    </row>
    <row r="584" spans="1:26" x14ac:dyDescent="0.25">
      <c r="A584" s="5" t="s">
        <v>687</v>
      </c>
      <c r="B584" s="6">
        <v>49706</v>
      </c>
      <c r="C584" s="7" t="s">
        <v>49</v>
      </c>
      <c r="D584" s="7" t="s">
        <v>50</v>
      </c>
      <c r="E584" s="7">
        <v>41</v>
      </c>
      <c r="F584" s="7" t="s">
        <v>24</v>
      </c>
      <c r="G584" s="7" t="s">
        <v>51</v>
      </c>
      <c r="H584" s="7" t="s">
        <v>51</v>
      </c>
      <c r="I584" s="7" t="s">
        <v>52</v>
      </c>
      <c r="J584" s="7" t="s">
        <v>28</v>
      </c>
      <c r="K584" s="7" t="s">
        <v>29</v>
      </c>
      <c r="L584" s="7" t="s">
        <v>53</v>
      </c>
      <c r="M584" s="7" t="s">
        <v>54</v>
      </c>
      <c r="N584" s="7">
        <v>32700</v>
      </c>
      <c r="O584" s="7">
        <v>2</v>
      </c>
      <c r="P584" s="16">
        <v>0.05</v>
      </c>
      <c r="Q584" s="7">
        <v>6200</v>
      </c>
      <c r="R584" s="7" t="s">
        <v>55</v>
      </c>
      <c r="S584" s="7" t="s">
        <v>33</v>
      </c>
      <c r="T584" s="7" t="s">
        <v>34</v>
      </c>
      <c r="U584" s="7">
        <v>4</v>
      </c>
      <c r="V584" s="7" t="str">
        <f>TEXT('E-Commerce Sales Data'!$B584,"mmmm")</f>
        <v>February</v>
      </c>
      <c r="W584" s="8">
        <f t="shared" si="36"/>
        <v>3237470</v>
      </c>
      <c r="X584">
        <f t="shared" si="37"/>
        <v>618</v>
      </c>
      <c r="Y584">
        <f t="shared" si="38"/>
        <v>30180.598705501619</v>
      </c>
      <c r="Z584">
        <f t="shared" si="39"/>
        <v>55</v>
      </c>
    </row>
    <row r="585" spans="1:26" x14ac:dyDescent="0.25">
      <c r="A585" s="9" t="s">
        <v>688</v>
      </c>
      <c r="B585" s="10">
        <v>49713</v>
      </c>
      <c r="C585" s="11" t="s">
        <v>57</v>
      </c>
      <c r="D585" s="11" t="s">
        <v>58</v>
      </c>
      <c r="E585" s="11">
        <v>26</v>
      </c>
      <c r="F585" s="11" t="s">
        <v>38</v>
      </c>
      <c r="G585" s="11" t="s">
        <v>59</v>
      </c>
      <c r="H585" s="11" t="s">
        <v>26</v>
      </c>
      <c r="I585" s="11" t="s">
        <v>27</v>
      </c>
      <c r="J585" s="11" t="s">
        <v>28</v>
      </c>
      <c r="K585" s="11" t="s">
        <v>60</v>
      </c>
      <c r="L585" s="11" t="s">
        <v>61</v>
      </c>
      <c r="M585" s="11" t="s">
        <v>86</v>
      </c>
      <c r="N585" s="11">
        <v>950</v>
      </c>
      <c r="O585" s="11">
        <v>20</v>
      </c>
      <c r="P585" s="17">
        <v>0.02</v>
      </c>
      <c r="Q585" s="11">
        <v>280</v>
      </c>
      <c r="R585" s="11" t="s">
        <v>32</v>
      </c>
      <c r="S585" s="11" t="s">
        <v>33</v>
      </c>
      <c r="T585" s="11" t="s">
        <v>34</v>
      </c>
      <c r="U585" s="11">
        <v>5</v>
      </c>
      <c r="V585" s="11" t="str">
        <f>TEXT('E-Commerce Sales Data'!$B585,"mmmm")</f>
        <v>February</v>
      </c>
      <c r="W585" s="8">
        <f t="shared" si="36"/>
        <v>3231270</v>
      </c>
      <c r="X585">
        <f t="shared" si="37"/>
        <v>617</v>
      </c>
      <c r="Y585">
        <f t="shared" si="38"/>
        <v>30176.515397082658</v>
      </c>
      <c r="Z585">
        <f t="shared" si="39"/>
        <v>55</v>
      </c>
    </row>
    <row r="586" spans="1:26" x14ac:dyDescent="0.25">
      <c r="A586" s="5" t="s">
        <v>689</v>
      </c>
      <c r="B586" s="6">
        <v>49720</v>
      </c>
      <c r="C586" s="7" t="s">
        <v>64</v>
      </c>
      <c r="D586" s="7" t="s">
        <v>65</v>
      </c>
      <c r="E586" s="7">
        <v>39</v>
      </c>
      <c r="F586" s="7" t="s">
        <v>24</v>
      </c>
      <c r="G586" s="7" t="s">
        <v>66</v>
      </c>
      <c r="H586" s="7" t="s">
        <v>67</v>
      </c>
      <c r="I586" s="7" t="s">
        <v>27</v>
      </c>
      <c r="J586" s="7" t="s">
        <v>42</v>
      </c>
      <c r="K586" s="7" t="s">
        <v>43</v>
      </c>
      <c r="L586" s="7" t="s">
        <v>68</v>
      </c>
      <c r="M586" s="7" t="s">
        <v>69</v>
      </c>
      <c r="N586" s="7">
        <v>33400</v>
      </c>
      <c r="O586" s="7">
        <v>2</v>
      </c>
      <c r="P586" s="16">
        <v>0.08</v>
      </c>
      <c r="Q586" s="7">
        <v>5740</v>
      </c>
      <c r="R586" s="7" t="s">
        <v>46</v>
      </c>
      <c r="S586" s="7" t="s">
        <v>47</v>
      </c>
      <c r="T586" s="7" t="s">
        <v>34</v>
      </c>
      <c r="U586" s="7">
        <v>4</v>
      </c>
      <c r="V586" s="7" t="str">
        <f>TEXT('E-Commerce Sales Data'!$B586,"mmmm")</f>
        <v>February</v>
      </c>
      <c r="W586" s="8">
        <f t="shared" si="36"/>
        <v>3230990</v>
      </c>
      <c r="X586">
        <f t="shared" si="37"/>
        <v>616</v>
      </c>
      <c r="Y586">
        <f t="shared" si="38"/>
        <v>30223.961038961039</v>
      </c>
      <c r="Z586">
        <f t="shared" si="39"/>
        <v>55</v>
      </c>
    </row>
    <row r="587" spans="1:26" x14ac:dyDescent="0.25">
      <c r="A587" s="9" t="s">
        <v>690</v>
      </c>
      <c r="B587" s="10">
        <v>49727</v>
      </c>
      <c r="C587" s="11" t="s">
        <v>71</v>
      </c>
      <c r="D587" s="11" t="s">
        <v>72</v>
      </c>
      <c r="E587" s="11">
        <v>31</v>
      </c>
      <c r="F587" s="11" t="s">
        <v>38</v>
      </c>
      <c r="G587" s="11" t="s">
        <v>73</v>
      </c>
      <c r="H587" s="11" t="s">
        <v>74</v>
      </c>
      <c r="I587" s="11" t="s">
        <v>41</v>
      </c>
      <c r="J587" s="11" t="s">
        <v>28</v>
      </c>
      <c r="K587" s="11" t="s">
        <v>29</v>
      </c>
      <c r="L587" s="11" t="s">
        <v>53</v>
      </c>
      <c r="M587" s="11" t="s">
        <v>75</v>
      </c>
      <c r="N587" s="11">
        <v>4950</v>
      </c>
      <c r="O587" s="11">
        <v>3</v>
      </c>
      <c r="P587" s="17">
        <v>0.05</v>
      </c>
      <c r="Q587" s="11">
        <v>1290</v>
      </c>
      <c r="R587" s="11" t="s">
        <v>32</v>
      </c>
      <c r="S587" s="11" t="s">
        <v>33</v>
      </c>
      <c r="T587" s="11" t="s">
        <v>34</v>
      </c>
      <c r="U587" s="11">
        <v>4</v>
      </c>
      <c r="V587" s="11" t="str">
        <f>TEXT('E-Commerce Sales Data'!$B587,"mmmm")</f>
        <v>February</v>
      </c>
      <c r="W587" s="8">
        <f t="shared" si="36"/>
        <v>3225250</v>
      </c>
      <c r="X587">
        <f t="shared" si="37"/>
        <v>615</v>
      </c>
      <c r="Y587">
        <f t="shared" si="38"/>
        <v>30218.796747967481</v>
      </c>
      <c r="Z587">
        <f t="shared" si="39"/>
        <v>55</v>
      </c>
    </row>
    <row r="588" spans="1:26" x14ac:dyDescent="0.25">
      <c r="A588" s="5" t="s">
        <v>691</v>
      </c>
      <c r="B588" s="6">
        <v>49734</v>
      </c>
      <c r="C588" s="7" t="s">
        <v>77</v>
      </c>
      <c r="D588" s="7" t="s">
        <v>23</v>
      </c>
      <c r="E588" s="7">
        <v>29</v>
      </c>
      <c r="F588" s="7" t="s">
        <v>24</v>
      </c>
      <c r="G588" s="7" t="s">
        <v>78</v>
      </c>
      <c r="H588" s="7" t="s">
        <v>26</v>
      </c>
      <c r="I588" s="7" t="s">
        <v>27</v>
      </c>
      <c r="J588" s="7" t="s">
        <v>28</v>
      </c>
      <c r="K588" s="7" t="s">
        <v>29</v>
      </c>
      <c r="L588" s="7" t="s">
        <v>53</v>
      </c>
      <c r="M588" s="7" t="s">
        <v>79</v>
      </c>
      <c r="N588" s="7">
        <v>4300</v>
      </c>
      <c r="O588" s="7">
        <v>6</v>
      </c>
      <c r="P588" s="16">
        <v>0</v>
      </c>
      <c r="Q588" s="7">
        <v>1290</v>
      </c>
      <c r="R588" s="7" t="s">
        <v>80</v>
      </c>
      <c r="S588" s="7" t="s">
        <v>33</v>
      </c>
      <c r="T588" s="7" t="s">
        <v>34</v>
      </c>
      <c r="U588" s="7">
        <v>3</v>
      </c>
      <c r="V588" s="7" t="str">
        <f>TEXT('E-Commerce Sales Data'!$B588,"mmmm")</f>
        <v>February</v>
      </c>
      <c r="W588" s="8">
        <f t="shared" si="36"/>
        <v>3223960</v>
      </c>
      <c r="X588">
        <f t="shared" si="37"/>
        <v>614</v>
      </c>
      <c r="Y588">
        <f t="shared" si="38"/>
        <v>30259.951140065146</v>
      </c>
      <c r="Z588">
        <f t="shared" si="39"/>
        <v>55</v>
      </c>
    </row>
    <row r="589" spans="1:26" x14ac:dyDescent="0.25">
      <c r="A589" s="9" t="s">
        <v>692</v>
      </c>
      <c r="B589" s="10">
        <v>49741</v>
      </c>
      <c r="C589" s="11" t="s">
        <v>82</v>
      </c>
      <c r="D589" s="11" t="s">
        <v>83</v>
      </c>
      <c r="E589" s="11">
        <v>37</v>
      </c>
      <c r="F589" s="11" t="s">
        <v>38</v>
      </c>
      <c r="G589" s="11" t="s">
        <v>84</v>
      </c>
      <c r="H589" s="11" t="s">
        <v>85</v>
      </c>
      <c r="I589" s="11" t="s">
        <v>52</v>
      </c>
      <c r="J589" s="11" t="s">
        <v>42</v>
      </c>
      <c r="K589" s="11" t="s">
        <v>60</v>
      </c>
      <c r="L589" s="11" t="s">
        <v>61</v>
      </c>
      <c r="M589" s="11" t="s">
        <v>62</v>
      </c>
      <c r="N589" s="11">
        <v>8000</v>
      </c>
      <c r="O589" s="11">
        <v>10</v>
      </c>
      <c r="P589" s="17">
        <v>0.02</v>
      </c>
      <c r="Q589" s="11">
        <v>1980</v>
      </c>
      <c r="R589" s="11" t="s">
        <v>32</v>
      </c>
      <c r="S589" s="11" t="s">
        <v>33</v>
      </c>
      <c r="T589" s="11" t="s">
        <v>34</v>
      </c>
      <c r="U589" s="11">
        <v>5</v>
      </c>
      <c r="V589" s="11" t="str">
        <f>TEXT('E-Commerce Sales Data'!$B589,"mmmm")</f>
        <v>March</v>
      </c>
      <c r="W589" s="8">
        <f t="shared" si="36"/>
        <v>3222670</v>
      </c>
      <c r="X589">
        <f t="shared" si="37"/>
        <v>613</v>
      </c>
      <c r="Y589">
        <f t="shared" si="38"/>
        <v>30302.300163132139</v>
      </c>
      <c r="Z589">
        <f t="shared" si="39"/>
        <v>55</v>
      </c>
    </row>
    <row r="590" spans="1:26" x14ac:dyDescent="0.25">
      <c r="A590" s="5" t="s">
        <v>693</v>
      </c>
      <c r="B590" s="6">
        <v>49748</v>
      </c>
      <c r="C590" s="7" t="s">
        <v>88</v>
      </c>
      <c r="D590" s="7" t="s">
        <v>37</v>
      </c>
      <c r="E590" s="7">
        <v>45</v>
      </c>
      <c r="F590" s="7" t="s">
        <v>24</v>
      </c>
      <c r="G590" s="7" t="s">
        <v>89</v>
      </c>
      <c r="H590" s="7" t="s">
        <v>90</v>
      </c>
      <c r="I590" s="7" t="s">
        <v>91</v>
      </c>
      <c r="J590" s="7" t="s">
        <v>42</v>
      </c>
      <c r="K590" s="7" t="s">
        <v>43</v>
      </c>
      <c r="L590" s="7" t="s">
        <v>92</v>
      </c>
      <c r="M590" s="7" t="s">
        <v>93</v>
      </c>
      <c r="N590" s="7">
        <v>21800</v>
      </c>
      <c r="O590" s="7">
        <v>1</v>
      </c>
      <c r="P590" s="16">
        <v>0.1</v>
      </c>
      <c r="Q590" s="7">
        <v>3900</v>
      </c>
      <c r="R590" s="7" t="s">
        <v>46</v>
      </c>
      <c r="S590" s="7" t="s">
        <v>47</v>
      </c>
      <c r="T590" s="7" t="s">
        <v>34</v>
      </c>
      <c r="U590" s="7">
        <v>4</v>
      </c>
      <c r="V590" s="7" t="str">
        <f>TEXT('E-Commerce Sales Data'!$B590,"mmmm")</f>
        <v>March</v>
      </c>
      <c r="W590" s="8">
        <f t="shared" si="36"/>
        <v>3220690</v>
      </c>
      <c r="X590">
        <f t="shared" si="37"/>
        <v>612</v>
      </c>
      <c r="Y590">
        <f t="shared" si="38"/>
        <v>30338.741830065359</v>
      </c>
      <c r="Z590">
        <f t="shared" si="39"/>
        <v>55</v>
      </c>
    </row>
    <row r="591" spans="1:26" x14ac:dyDescent="0.25">
      <c r="A591" s="9" t="s">
        <v>694</v>
      </c>
      <c r="B591" s="10">
        <v>49755</v>
      </c>
      <c r="C591" s="11" t="s">
        <v>95</v>
      </c>
      <c r="D591" s="11" t="s">
        <v>65</v>
      </c>
      <c r="E591" s="11">
        <v>25</v>
      </c>
      <c r="F591" s="11" t="s">
        <v>38</v>
      </c>
      <c r="G591" s="11" t="s">
        <v>25</v>
      </c>
      <c r="H591" s="11" t="s">
        <v>26</v>
      </c>
      <c r="I591" s="11" t="s">
        <v>27</v>
      </c>
      <c r="J591" s="11" t="s">
        <v>28</v>
      </c>
      <c r="K591" s="11" t="s">
        <v>29</v>
      </c>
      <c r="L591" s="11" t="s">
        <v>96</v>
      </c>
      <c r="M591" s="11" t="s">
        <v>97</v>
      </c>
      <c r="N591" s="11">
        <v>24000</v>
      </c>
      <c r="O591" s="11">
        <v>2</v>
      </c>
      <c r="P591" s="17">
        <v>0.05</v>
      </c>
      <c r="Q591" s="11">
        <v>4660</v>
      </c>
      <c r="R591" s="11" t="s">
        <v>32</v>
      </c>
      <c r="S591" s="11" t="s">
        <v>33</v>
      </c>
      <c r="T591" s="11" t="s">
        <v>34</v>
      </c>
      <c r="U591" s="11">
        <v>4</v>
      </c>
      <c r="V591" s="11" t="str">
        <f>TEXT('E-Commerce Sales Data'!$B591,"mmmm")</f>
        <v>March</v>
      </c>
      <c r="W591" s="8">
        <f t="shared" si="36"/>
        <v>3216790</v>
      </c>
      <c r="X591">
        <f t="shared" si="37"/>
        <v>611</v>
      </c>
      <c r="Y591">
        <f t="shared" si="38"/>
        <v>30352.716857610474</v>
      </c>
      <c r="Z591">
        <f t="shared" si="39"/>
        <v>55</v>
      </c>
    </row>
    <row r="592" spans="1:26" x14ac:dyDescent="0.25">
      <c r="A592" s="5" t="s">
        <v>695</v>
      </c>
      <c r="B592" s="6">
        <v>49762</v>
      </c>
      <c r="C592" s="7" t="s">
        <v>99</v>
      </c>
      <c r="D592" s="7" t="s">
        <v>100</v>
      </c>
      <c r="E592" s="7">
        <v>33</v>
      </c>
      <c r="F592" s="7" t="s">
        <v>24</v>
      </c>
      <c r="G592" s="7" t="s">
        <v>101</v>
      </c>
      <c r="H592" s="7" t="s">
        <v>102</v>
      </c>
      <c r="I592" s="7" t="s">
        <v>41</v>
      </c>
      <c r="J592" s="7" t="s">
        <v>28</v>
      </c>
      <c r="K592" s="7" t="s">
        <v>60</v>
      </c>
      <c r="L592" s="7" t="s">
        <v>53</v>
      </c>
      <c r="M592" s="7" t="s">
        <v>103</v>
      </c>
      <c r="N592" s="7">
        <v>1380</v>
      </c>
      <c r="O592" s="7">
        <v>25</v>
      </c>
      <c r="P592" s="16">
        <v>0</v>
      </c>
      <c r="Q592" s="7">
        <v>430</v>
      </c>
      <c r="R592" s="7" t="s">
        <v>55</v>
      </c>
      <c r="S592" s="7" t="s">
        <v>33</v>
      </c>
      <c r="T592" s="7" t="s">
        <v>34</v>
      </c>
      <c r="U592" s="7">
        <v>5</v>
      </c>
      <c r="V592" s="7" t="str">
        <f>TEXT('E-Commerce Sales Data'!$B592,"mmmm")</f>
        <v>March</v>
      </c>
      <c r="W592" s="8">
        <f t="shared" si="36"/>
        <v>3212130</v>
      </c>
      <c r="X592">
        <f t="shared" si="37"/>
        <v>610</v>
      </c>
      <c r="Y592">
        <f t="shared" si="38"/>
        <v>30363.131147540982</v>
      </c>
      <c r="Z592">
        <f t="shared" si="39"/>
        <v>55</v>
      </c>
    </row>
    <row r="593" spans="1:26" x14ac:dyDescent="0.25">
      <c r="A593" s="9" t="s">
        <v>696</v>
      </c>
      <c r="B593" s="10">
        <v>49769</v>
      </c>
      <c r="C593" s="11" t="s">
        <v>105</v>
      </c>
      <c r="D593" s="11" t="s">
        <v>58</v>
      </c>
      <c r="E593" s="11">
        <v>42</v>
      </c>
      <c r="F593" s="11" t="s">
        <v>38</v>
      </c>
      <c r="G593" s="11" t="s">
        <v>51</v>
      </c>
      <c r="H593" s="11" t="s">
        <v>51</v>
      </c>
      <c r="I593" s="11" t="s">
        <v>52</v>
      </c>
      <c r="J593" s="11" t="s">
        <v>42</v>
      </c>
      <c r="K593" s="11" t="s">
        <v>43</v>
      </c>
      <c r="L593" s="11" t="s">
        <v>68</v>
      </c>
      <c r="M593" s="11" t="s">
        <v>106</v>
      </c>
      <c r="N593" s="11">
        <v>35600</v>
      </c>
      <c r="O593" s="11">
        <v>1</v>
      </c>
      <c r="P593" s="17">
        <v>0.08</v>
      </c>
      <c r="Q593" s="11">
        <v>7400</v>
      </c>
      <c r="R593" s="11" t="s">
        <v>46</v>
      </c>
      <c r="S593" s="11" t="s">
        <v>47</v>
      </c>
      <c r="T593" s="11" t="s">
        <v>34</v>
      </c>
      <c r="U593" s="11">
        <v>4</v>
      </c>
      <c r="V593" s="11" t="str">
        <f>TEXT('E-Commerce Sales Data'!$B593,"mmmm")</f>
        <v>April</v>
      </c>
      <c r="W593" s="8">
        <f t="shared" si="36"/>
        <v>3211700</v>
      </c>
      <c r="X593">
        <f t="shared" si="37"/>
        <v>609</v>
      </c>
      <c r="Y593">
        <f t="shared" si="38"/>
        <v>30410.722495894908</v>
      </c>
      <c r="Z593">
        <f t="shared" si="39"/>
        <v>55</v>
      </c>
    </row>
    <row r="594" spans="1:26" x14ac:dyDescent="0.25">
      <c r="A594" s="5" t="s">
        <v>697</v>
      </c>
      <c r="B594" s="6">
        <v>49776</v>
      </c>
      <c r="C594" s="7" t="s">
        <v>108</v>
      </c>
      <c r="D594" s="7" t="s">
        <v>23</v>
      </c>
      <c r="E594" s="7">
        <v>30</v>
      </c>
      <c r="F594" s="7" t="s">
        <v>24</v>
      </c>
      <c r="G594" s="7" t="s">
        <v>59</v>
      </c>
      <c r="H594" s="7" t="s">
        <v>26</v>
      </c>
      <c r="I594" s="7" t="s">
        <v>27</v>
      </c>
      <c r="J594" s="7" t="s">
        <v>28</v>
      </c>
      <c r="K594" s="7" t="s">
        <v>29</v>
      </c>
      <c r="L594" s="7" t="s">
        <v>30</v>
      </c>
      <c r="M594" s="7" t="s">
        <v>31</v>
      </c>
      <c r="N594" s="7">
        <v>98000</v>
      </c>
      <c r="O594" s="7">
        <v>1</v>
      </c>
      <c r="P594" s="16">
        <v>0.1</v>
      </c>
      <c r="Q594" s="7">
        <v>11400</v>
      </c>
      <c r="R594" s="7" t="s">
        <v>32</v>
      </c>
      <c r="S594" s="7" t="s">
        <v>47</v>
      </c>
      <c r="T594" s="7" t="s">
        <v>34</v>
      </c>
      <c r="U594" s="7">
        <v>5</v>
      </c>
      <c r="V594" s="7" t="str">
        <f>TEXT('E-Commerce Sales Data'!$B594,"mmmm")</f>
        <v>April</v>
      </c>
      <c r="W594" s="8">
        <f t="shared" si="36"/>
        <v>3204300</v>
      </c>
      <c r="X594">
        <f t="shared" si="37"/>
        <v>608</v>
      </c>
      <c r="Y594">
        <f t="shared" si="38"/>
        <v>30402.1875</v>
      </c>
      <c r="Z594">
        <f t="shared" si="39"/>
        <v>55</v>
      </c>
    </row>
    <row r="595" spans="1:26" x14ac:dyDescent="0.25">
      <c r="A595" s="9" t="s">
        <v>698</v>
      </c>
      <c r="B595" s="10">
        <v>49783</v>
      </c>
      <c r="C595" s="11" t="s">
        <v>110</v>
      </c>
      <c r="D595" s="11" t="s">
        <v>37</v>
      </c>
      <c r="E595" s="11">
        <v>36</v>
      </c>
      <c r="F595" s="11" t="s">
        <v>38</v>
      </c>
      <c r="G595" s="11" t="s">
        <v>66</v>
      </c>
      <c r="H595" s="11" t="s">
        <v>67</v>
      </c>
      <c r="I595" s="11" t="s">
        <v>27</v>
      </c>
      <c r="J595" s="11" t="s">
        <v>28</v>
      </c>
      <c r="K595" s="11" t="s">
        <v>60</v>
      </c>
      <c r="L595" s="11" t="s">
        <v>92</v>
      </c>
      <c r="M595" s="11" t="s">
        <v>111</v>
      </c>
      <c r="N595" s="11">
        <v>1800</v>
      </c>
      <c r="O595" s="11">
        <v>15</v>
      </c>
      <c r="P595" s="17">
        <v>0.05</v>
      </c>
      <c r="Q595" s="11">
        <v>570</v>
      </c>
      <c r="R595" s="11" t="s">
        <v>80</v>
      </c>
      <c r="S595" s="11" t="s">
        <v>33</v>
      </c>
      <c r="T595" s="11" t="s">
        <v>34</v>
      </c>
      <c r="U595" s="11">
        <v>4</v>
      </c>
      <c r="V595" s="11" t="str">
        <f>TEXT('E-Commerce Sales Data'!$B595,"mmmm")</f>
        <v>April</v>
      </c>
      <c r="W595" s="8">
        <f t="shared" si="36"/>
        <v>3192900</v>
      </c>
      <c r="X595">
        <f t="shared" si="37"/>
        <v>607</v>
      </c>
      <c r="Y595">
        <f t="shared" si="38"/>
        <v>30290.823723228994</v>
      </c>
      <c r="Z595">
        <f t="shared" si="39"/>
        <v>55</v>
      </c>
    </row>
    <row r="596" spans="1:26" x14ac:dyDescent="0.25">
      <c r="A596" s="5" t="s">
        <v>699</v>
      </c>
      <c r="B596" s="6">
        <v>49790</v>
      </c>
      <c r="C596" s="7" t="s">
        <v>113</v>
      </c>
      <c r="D596" s="7" t="s">
        <v>114</v>
      </c>
      <c r="E596" s="7">
        <v>40</v>
      </c>
      <c r="F596" s="7" t="s">
        <v>24</v>
      </c>
      <c r="G596" s="7" t="s">
        <v>73</v>
      </c>
      <c r="H596" s="7" t="s">
        <v>74</v>
      </c>
      <c r="I596" s="7" t="s">
        <v>41</v>
      </c>
      <c r="J596" s="7" t="s">
        <v>42</v>
      </c>
      <c r="K596" s="7" t="s">
        <v>43</v>
      </c>
      <c r="L596" s="7" t="s">
        <v>44</v>
      </c>
      <c r="M596" s="7" t="s">
        <v>45</v>
      </c>
      <c r="N596" s="7">
        <v>17200</v>
      </c>
      <c r="O596" s="7">
        <v>4</v>
      </c>
      <c r="P596" s="16">
        <v>7.0000000000000007E-2</v>
      </c>
      <c r="Q596" s="7">
        <v>3900</v>
      </c>
      <c r="R596" s="7" t="s">
        <v>46</v>
      </c>
      <c r="S596" s="7" t="s">
        <v>33</v>
      </c>
      <c r="T596" s="7" t="s">
        <v>34</v>
      </c>
      <c r="U596" s="7">
        <v>4</v>
      </c>
      <c r="V596" s="7" t="str">
        <f>TEXT('E-Commerce Sales Data'!$B596,"mmmm")</f>
        <v>April</v>
      </c>
      <c r="W596" s="8">
        <f t="shared" si="36"/>
        <v>3192330</v>
      </c>
      <c r="X596">
        <f t="shared" si="37"/>
        <v>606</v>
      </c>
      <c r="Y596">
        <f t="shared" si="38"/>
        <v>30337.838283828383</v>
      </c>
      <c r="Z596">
        <f t="shared" si="39"/>
        <v>55</v>
      </c>
    </row>
    <row r="597" spans="1:26" x14ac:dyDescent="0.25">
      <c r="A597" s="9" t="s">
        <v>700</v>
      </c>
      <c r="B597" s="10">
        <v>49797</v>
      </c>
      <c r="C597" s="11" t="s">
        <v>116</v>
      </c>
      <c r="D597" s="11" t="s">
        <v>83</v>
      </c>
      <c r="E597" s="11">
        <v>27</v>
      </c>
      <c r="F597" s="11" t="s">
        <v>38</v>
      </c>
      <c r="G597" s="11" t="s">
        <v>39</v>
      </c>
      <c r="H597" s="11" t="s">
        <v>40</v>
      </c>
      <c r="I597" s="11" t="s">
        <v>41</v>
      </c>
      <c r="J597" s="11" t="s">
        <v>28</v>
      </c>
      <c r="K597" s="11" t="s">
        <v>29</v>
      </c>
      <c r="L597" s="11" t="s">
        <v>53</v>
      </c>
      <c r="M597" s="11" t="s">
        <v>54</v>
      </c>
      <c r="N597" s="11">
        <v>35500</v>
      </c>
      <c r="O597" s="11">
        <v>2</v>
      </c>
      <c r="P597" s="17">
        <v>0.05</v>
      </c>
      <c r="Q597" s="11">
        <v>6800</v>
      </c>
      <c r="R597" s="11" t="s">
        <v>32</v>
      </c>
      <c r="S597" s="11" t="s">
        <v>47</v>
      </c>
      <c r="T597" s="11" t="s">
        <v>34</v>
      </c>
      <c r="U597" s="11">
        <v>5</v>
      </c>
      <c r="V597" s="11" t="str">
        <f>TEXT('E-Commerce Sales Data'!$B597,"mmmm")</f>
        <v>May</v>
      </c>
      <c r="W597" s="8">
        <f t="shared" si="36"/>
        <v>3188430</v>
      </c>
      <c r="X597">
        <f t="shared" si="37"/>
        <v>605</v>
      </c>
      <c r="Y597">
        <f t="shared" si="38"/>
        <v>30359.553719008265</v>
      </c>
      <c r="Z597">
        <f t="shared" si="39"/>
        <v>55</v>
      </c>
    </row>
    <row r="598" spans="1:26" x14ac:dyDescent="0.25">
      <c r="A598" s="5" t="s">
        <v>701</v>
      </c>
      <c r="B598" s="6">
        <v>49804</v>
      </c>
      <c r="C598" s="7" t="s">
        <v>118</v>
      </c>
      <c r="D598" s="7" t="s">
        <v>72</v>
      </c>
      <c r="E598" s="7">
        <v>35</v>
      </c>
      <c r="F598" s="7" t="s">
        <v>24</v>
      </c>
      <c r="G598" s="7" t="s">
        <v>84</v>
      </c>
      <c r="H598" s="7" t="s">
        <v>85</v>
      </c>
      <c r="I598" s="7" t="s">
        <v>52</v>
      </c>
      <c r="J598" s="7" t="s">
        <v>42</v>
      </c>
      <c r="K598" s="7" t="s">
        <v>60</v>
      </c>
      <c r="L598" s="7" t="s">
        <v>61</v>
      </c>
      <c r="M598" s="7" t="s">
        <v>62</v>
      </c>
      <c r="N598" s="7">
        <v>8100</v>
      </c>
      <c r="O598" s="7">
        <v>10</v>
      </c>
      <c r="P598" s="16">
        <v>0.03</v>
      </c>
      <c r="Q598" s="7">
        <v>2010</v>
      </c>
      <c r="R598" s="7" t="s">
        <v>55</v>
      </c>
      <c r="S598" s="7" t="s">
        <v>33</v>
      </c>
      <c r="T598" s="7" t="s">
        <v>34</v>
      </c>
      <c r="U598" s="7">
        <v>4</v>
      </c>
      <c r="V598" s="7" t="str">
        <f>TEXT('E-Commerce Sales Data'!$B598,"mmmm")</f>
        <v>May</v>
      </c>
      <c r="W598" s="8">
        <f t="shared" si="36"/>
        <v>3181630</v>
      </c>
      <c r="X598">
        <f t="shared" si="37"/>
        <v>604</v>
      </c>
      <c r="Y598">
        <f t="shared" si="38"/>
        <v>30351.043046357616</v>
      </c>
      <c r="Z598">
        <f t="shared" si="39"/>
        <v>55</v>
      </c>
    </row>
    <row r="599" spans="1:26" x14ac:dyDescent="0.25">
      <c r="A599" s="9" t="s">
        <v>702</v>
      </c>
      <c r="B599" s="10">
        <v>49811</v>
      </c>
      <c r="C599" s="11" t="s">
        <v>120</v>
      </c>
      <c r="D599" s="11" t="s">
        <v>23</v>
      </c>
      <c r="E599" s="11">
        <v>24</v>
      </c>
      <c r="F599" s="11" t="s">
        <v>38</v>
      </c>
      <c r="G599" s="11" t="s">
        <v>25</v>
      </c>
      <c r="H599" s="11" t="s">
        <v>26</v>
      </c>
      <c r="I599" s="11" t="s">
        <v>27</v>
      </c>
      <c r="J599" s="11" t="s">
        <v>28</v>
      </c>
      <c r="K599" s="11" t="s">
        <v>43</v>
      </c>
      <c r="L599" s="11" t="s">
        <v>68</v>
      </c>
      <c r="M599" s="11" t="s">
        <v>69</v>
      </c>
      <c r="N599" s="11">
        <v>32800</v>
      </c>
      <c r="O599" s="11">
        <v>2</v>
      </c>
      <c r="P599" s="17">
        <v>0.1</v>
      </c>
      <c r="Q599" s="11">
        <v>5280</v>
      </c>
      <c r="R599" s="11" t="s">
        <v>32</v>
      </c>
      <c r="S599" s="11" t="s">
        <v>47</v>
      </c>
      <c r="T599" s="11" t="s">
        <v>34</v>
      </c>
      <c r="U599" s="11">
        <v>5</v>
      </c>
      <c r="V599" s="11" t="str">
        <f>TEXT('E-Commerce Sales Data'!$B599,"mmmm")</f>
        <v>May</v>
      </c>
      <c r="W599" s="8">
        <f t="shared" si="36"/>
        <v>3179620</v>
      </c>
      <c r="X599">
        <f t="shared" si="37"/>
        <v>603</v>
      </c>
      <c r="Y599">
        <f t="shared" si="38"/>
        <v>30387.943615257049</v>
      </c>
      <c r="Z599">
        <f t="shared" si="39"/>
        <v>55</v>
      </c>
    </row>
    <row r="600" spans="1:26" x14ac:dyDescent="0.25">
      <c r="A600" s="5" t="s">
        <v>703</v>
      </c>
      <c r="B600" s="6">
        <v>49818</v>
      </c>
      <c r="C600" s="7" t="s">
        <v>122</v>
      </c>
      <c r="D600" s="7" t="s">
        <v>50</v>
      </c>
      <c r="E600" s="7">
        <v>43</v>
      </c>
      <c r="F600" s="7" t="s">
        <v>24</v>
      </c>
      <c r="G600" s="7" t="s">
        <v>101</v>
      </c>
      <c r="H600" s="7" t="s">
        <v>102</v>
      </c>
      <c r="I600" s="7" t="s">
        <v>41</v>
      </c>
      <c r="J600" s="7" t="s">
        <v>42</v>
      </c>
      <c r="K600" s="7" t="s">
        <v>29</v>
      </c>
      <c r="L600" s="7" t="s">
        <v>53</v>
      </c>
      <c r="M600" s="7" t="s">
        <v>75</v>
      </c>
      <c r="N600" s="7">
        <v>5350</v>
      </c>
      <c r="O600" s="7">
        <v>4</v>
      </c>
      <c r="P600" s="16">
        <v>0.05</v>
      </c>
      <c r="Q600" s="7">
        <v>1380</v>
      </c>
      <c r="R600" s="7" t="s">
        <v>46</v>
      </c>
      <c r="S600" s="7" t="s">
        <v>33</v>
      </c>
      <c r="T600" s="7" t="s">
        <v>34</v>
      </c>
      <c r="U600" s="7">
        <v>3</v>
      </c>
      <c r="V600" s="7" t="str">
        <f>TEXT('E-Commerce Sales Data'!$B600,"mmmm")</f>
        <v>May</v>
      </c>
      <c r="W600" s="8">
        <f t="shared" si="36"/>
        <v>3174340</v>
      </c>
      <c r="X600">
        <f t="shared" si="37"/>
        <v>602</v>
      </c>
      <c r="Y600">
        <f t="shared" si="38"/>
        <v>30383.936877076412</v>
      </c>
      <c r="Z600">
        <f t="shared" si="39"/>
        <v>55</v>
      </c>
    </row>
    <row r="601" spans="1:26" x14ac:dyDescent="0.25">
      <c r="A601" s="9" t="s">
        <v>704</v>
      </c>
      <c r="B601" s="10">
        <v>49825</v>
      </c>
      <c r="C601" s="11" t="s">
        <v>124</v>
      </c>
      <c r="D601" s="11" t="s">
        <v>100</v>
      </c>
      <c r="E601" s="11">
        <v>32</v>
      </c>
      <c r="F601" s="11" t="s">
        <v>38</v>
      </c>
      <c r="G601" s="11" t="s">
        <v>78</v>
      </c>
      <c r="H601" s="11" t="s">
        <v>26</v>
      </c>
      <c r="I601" s="11" t="s">
        <v>27</v>
      </c>
      <c r="J601" s="11" t="s">
        <v>28</v>
      </c>
      <c r="K601" s="11" t="s">
        <v>29</v>
      </c>
      <c r="L601" s="11" t="s">
        <v>53</v>
      </c>
      <c r="M601" s="11" t="s">
        <v>79</v>
      </c>
      <c r="N601" s="11">
        <v>4400</v>
      </c>
      <c r="O601" s="11">
        <v>7</v>
      </c>
      <c r="P601" s="17">
        <v>0</v>
      </c>
      <c r="Q601" s="11">
        <v>1320</v>
      </c>
      <c r="R601" s="11" t="s">
        <v>32</v>
      </c>
      <c r="S601" s="11" t="s">
        <v>33</v>
      </c>
      <c r="T601" s="11" t="s">
        <v>34</v>
      </c>
      <c r="U601" s="11">
        <v>4</v>
      </c>
      <c r="V601" s="11" t="str">
        <f>TEXT('E-Commerce Sales Data'!$B601,"mmmm")</f>
        <v>May</v>
      </c>
      <c r="W601" s="8">
        <f t="shared" si="36"/>
        <v>3172960</v>
      </c>
      <c r="X601">
        <f t="shared" si="37"/>
        <v>601</v>
      </c>
      <c r="Y601">
        <f t="shared" si="38"/>
        <v>30425.59068219634</v>
      </c>
      <c r="Z601">
        <f t="shared" si="39"/>
        <v>55</v>
      </c>
    </row>
    <row r="602" spans="1:26" x14ac:dyDescent="0.25">
      <c r="A602" s="5" t="s">
        <v>705</v>
      </c>
      <c r="B602" s="6">
        <v>49832</v>
      </c>
      <c r="C602" s="7" t="s">
        <v>22</v>
      </c>
      <c r="D602" s="7" t="s">
        <v>23</v>
      </c>
      <c r="E602" s="7">
        <v>28</v>
      </c>
      <c r="F602" s="7" t="s">
        <v>24</v>
      </c>
      <c r="G602" s="7" t="s">
        <v>25</v>
      </c>
      <c r="H602" s="7" t="s">
        <v>26</v>
      </c>
      <c r="I602" s="7" t="s">
        <v>27</v>
      </c>
      <c r="J602" s="7" t="s">
        <v>28</v>
      </c>
      <c r="K602" s="7" t="s">
        <v>29</v>
      </c>
      <c r="L602" s="7" t="s">
        <v>30</v>
      </c>
      <c r="M602" s="7" t="s">
        <v>31</v>
      </c>
      <c r="N602" s="7">
        <v>94000</v>
      </c>
      <c r="O602" s="7">
        <v>1</v>
      </c>
      <c r="P602" s="16">
        <v>0.05</v>
      </c>
      <c r="Q602" s="7">
        <v>12500</v>
      </c>
      <c r="R602" s="7" t="s">
        <v>32</v>
      </c>
      <c r="S602" s="7" t="s">
        <v>47</v>
      </c>
      <c r="T602" s="7" t="s">
        <v>34</v>
      </c>
      <c r="U602" s="7">
        <v>5</v>
      </c>
      <c r="V602" s="7" t="str">
        <f>TEXT('E-Commerce Sales Data'!$B602,"mmmm")</f>
        <v>June</v>
      </c>
      <c r="W602" s="8">
        <f t="shared" si="36"/>
        <v>3171640</v>
      </c>
      <c r="X602">
        <f t="shared" si="37"/>
        <v>600</v>
      </c>
      <c r="Y602">
        <f t="shared" si="38"/>
        <v>30468.966666666667</v>
      </c>
      <c r="Z602">
        <f t="shared" si="39"/>
        <v>55</v>
      </c>
    </row>
    <row r="603" spans="1:26" x14ac:dyDescent="0.25">
      <c r="A603" s="9" t="s">
        <v>706</v>
      </c>
      <c r="B603" s="10">
        <v>49839</v>
      </c>
      <c r="C603" s="11" t="s">
        <v>36</v>
      </c>
      <c r="D603" s="11" t="s">
        <v>37</v>
      </c>
      <c r="E603" s="11">
        <v>34</v>
      </c>
      <c r="F603" s="11" t="s">
        <v>38</v>
      </c>
      <c r="G603" s="11" t="s">
        <v>39</v>
      </c>
      <c r="H603" s="11" t="s">
        <v>40</v>
      </c>
      <c r="I603" s="11" t="s">
        <v>41</v>
      </c>
      <c r="J603" s="11" t="s">
        <v>42</v>
      </c>
      <c r="K603" s="11" t="s">
        <v>43</v>
      </c>
      <c r="L603" s="11" t="s">
        <v>44</v>
      </c>
      <c r="M603" s="11" t="s">
        <v>45</v>
      </c>
      <c r="N603" s="11">
        <v>14300</v>
      </c>
      <c r="O603" s="11">
        <v>3</v>
      </c>
      <c r="P603" s="17">
        <v>0.1</v>
      </c>
      <c r="Q603" s="11">
        <v>3320</v>
      </c>
      <c r="R603" s="11" t="s">
        <v>46</v>
      </c>
      <c r="S603" s="11" t="s">
        <v>33</v>
      </c>
      <c r="T603" s="11" t="s">
        <v>34</v>
      </c>
      <c r="U603" s="11">
        <v>4</v>
      </c>
      <c r="V603" s="11" t="str">
        <f>TEXT('E-Commerce Sales Data'!$B603,"mmmm")</f>
        <v>June</v>
      </c>
      <c r="W603" s="8">
        <f t="shared" si="36"/>
        <v>3159140</v>
      </c>
      <c r="X603">
        <f t="shared" si="37"/>
        <v>599</v>
      </c>
      <c r="Y603">
        <f t="shared" si="38"/>
        <v>30362.904841402338</v>
      </c>
      <c r="Z603">
        <f t="shared" si="39"/>
        <v>55</v>
      </c>
    </row>
    <row r="604" spans="1:26" x14ac:dyDescent="0.25">
      <c r="A604" s="5" t="s">
        <v>707</v>
      </c>
      <c r="B604" s="6">
        <v>49846</v>
      </c>
      <c r="C604" s="7" t="s">
        <v>49</v>
      </c>
      <c r="D604" s="7" t="s">
        <v>50</v>
      </c>
      <c r="E604" s="7">
        <v>41</v>
      </c>
      <c r="F604" s="7" t="s">
        <v>24</v>
      </c>
      <c r="G604" s="7" t="s">
        <v>51</v>
      </c>
      <c r="H604" s="7" t="s">
        <v>51</v>
      </c>
      <c r="I604" s="7" t="s">
        <v>52</v>
      </c>
      <c r="J604" s="7" t="s">
        <v>28</v>
      </c>
      <c r="K604" s="7" t="s">
        <v>29</v>
      </c>
      <c r="L604" s="7" t="s">
        <v>53</v>
      </c>
      <c r="M604" s="7" t="s">
        <v>54</v>
      </c>
      <c r="N604" s="7">
        <v>33400</v>
      </c>
      <c r="O604" s="7">
        <v>2</v>
      </c>
      <c r="P604" s="16">
        <v>0.05</v>
      </c>
      <c r="Q604" s="7">
        <v>6350</v>
      </c>
      <c r="R604" s="7" t="s">
        <v>55</v>
      </c>
      <c r="S604" s="7" t="s">
        <v>33</v>
      </c>
      <c r="T604" s="7" t="s">
        <v>34</v>
      </c>
      <c r="U604" s="7">
        <v>4</v>
      </c>
      <c r="V604" s="7" t="str">
        <f>TEXT('E-Commerce Sales Data'!$B604,"mmmm")</f>
        <v>June</v>
      </c>
      <c r="W604" s="8">
        <f t="shared" si="36"/>
        <v>3155820</v>
      </c>
      <c r="X604">
        <f t="shared" si="37"/>
        <v>598</v>
      </c>
      <c r="Y604">
        <f t="shared" si="38"/>
        <v>30389.765886287627</v>
      </c>
      <c r="Z604">
        <f t="shared" si="39"/>
        <v>55</v>
      </c>
    </row>
    <row r="605" spans="1:26" x14ac:dyDescent="0.25">
      <c r="A605" s="9" t="s">
        <v>708</v>
      </c>
      <c r="B605" s="10">
        <v>49853</v>
      </c>
      <c r="C605" s="11" t="s">
        <v>57</v>
      </c>
      <c r="D605" s="11" t="s">
        <v>58</v>
      </c>
      <c r="E605" s="11">
        <v>26</v>
      </c>
      <c r="F605" s="11" t="s">
        <v>38</v>
      </c>
      <c r="G605" s="11" t="s">
        <v>59</v>
      </c>
      <c r="H605" s="11" t="s">
        <v>26</v>
      </c>
      <c r="I605" s="11" t="s">
        <v>27</v>
      </c>
      <c r="J605" s="11" t="s">
        <v>28</v>
      </c>
      <c r="K605" s="11" t="s">
        <v>60</v>
      </c>
      <c r="L605" s="11" t="s">
        <v>61</v>
      </c>
      <c r="M605" s="11" t="s">
        <v>86</v>
      </c>
      <c r="N605" s="11">
        <v>970</v>
      </c>
      <c r="O605" s="11">
        <v>20</v>
      </c>
      <c r="P605" s="17">
        <v>0.02</v>
      </c>
      <c r="Q605" s="11">
        <v>285</v>
      </c>
      <c r="R605" s="11" t="s">
        <v>32</v>
      </c>
      <c r="S605" s="11" t="s">
        <v>33</v>
      </c>
      <c r="T605" s="11" t="s">
        <v>34</v>
      </c>
      <c r="U605" s="11">
        <v>5</v>
      </c>
      <c r="V605" s="11" t="str">
        <f>TEXT('E-Commerce Sales Data'!$B605,"mmmm")</f>
        <v>June</v>
      </c>
      <c r="W605" s="8">
        <f t="shared" si="36"/>
        <v>3149470</v>
      </c>
      <c r="X605">
        <f t="shared" si="37"/>
        <v>597</v>
      </c>
      <c r="Y605">
        <f t="shared" si="38"/>
        <v>30384.723618090451</v>
      </c>
      <c r="Z605">
        <f t="shared" si="39"/>
        <v>55</v>
      </c>
    </row>
    <row r="606" spans="1:26" x14ac:dyDescent="0.25">
      <c r="A606" s="5" t="s">
        <v>709</v>
      </c>
      <c r="B606" s="6">
        <v>49860</v>
      </c>
      <c r="C606" s="7" t="s">
        <v>64</v>
      </c>
      <c r="D606" s="7" t="s">
        <v>65</v>
      </c>
      <c r="E606" s="7">
        <v>39</v>
      </c>
      <c r="F606" s="7" t="s">
        <v>24</v>
      </c>
      <c r="G606" s="7" t="s">
        <v>66</v>
      </c>
      <c r="H606" s="7" t="s">
        <v>67</v>
      </c>
      <c r="I606" s="7" t="s">
        <v>27</v>
      </c>
      <c r="J606" s="7" t="s">
        <v>42</v>
      </c>
      <c r="K606" s="7" t="s">
        <v>43</v>
      </c>
      <c r="L606" s="7" t="s">
        <v>68</v>
      </c>
      <c r="M606" s="7" t="s">
        <v>69</v>
      </c>
      <c r="N606" s="7">
        <v>34200</v>
      </c>
      <c r="O606" s="7">
        <v>2</v>
      </c>
      <c r="P606" s="16">
        <v>0.08</v>
      </c>
      <c r="Q606" s="7">
        <v>5880</v>
      </c>
      <c r="R606" s="7" t="s">
        <v>46</v>
      </c>
      <c r="S606" s="7" t="s">
        <v>47</v>
      </c>
      <c r="T606" s="7" t="s">
        <v>34</v>
      </c>
      <c r="U606" s="7">
        <v>4</v>
      </c>
      <c r="V606" s="7" t="str">
        <f>TEXT('E-Commerce Sales Data'!$B606,"mmmm")</f>
        <v>July</v>
      </c>
      <c r="W606" s="8">
        <f t="shared" si="36"/>
        <v>3149185</v>
      </c>
      <c r="X606">
        <f t="shared" si="37"/>
        <v>596</v>
      </c>
      <c r="Y606">
        <f t="shared" si="38"/>
        <v>30434.077181208053</v>
      </c>
      <c r="Z606">
        <f t="shared" si="39"/>
        <v>55</v>
      </c>
    </row>
    <row r="607" spans="1:26" x14ac:dyDescent="0.25">
      <c r="A607" s="9" t="s">
        <v>710</v>
      </c>
      <c r="B607" s="10">
        <v>49867</v>
      </c>
      <c r="C607" s="11" t="s">
        <v>71</v>
      </c>
      <c r="D607" s="11" t="s">
        <v>72</v>
      </c>
      <c r="E607" s="11">
        <v>31</v>
      </c>
      <c r="F607" s="11" t="s">
        <v>38</v>
      </c>
      <c r="G607" s="11" t="s">
        <v>73</v>
      </c>
      <c r="H607" s="11" t="s">
        <v>74</v>
      </c>
      <c r="I607" s="11" t="s">
        <v>41</v>
      </c>
      <c r="J607" s="11" t="s">
        <v>28</v>
      </c>
      <c r="K607" s="11" t="s">
        <v>29</v>
      </c>
      <c r="L607" s="11" t="s">
        <v>53</v>
      </c>
      <c r="M607" s="11" t="s">
        <v>75</v>
      </c>
      <c r="N607" s="11">
        <v>5050</v>
      </c>
      <c r="O607" s="11">
        <v>3</v>
      </c>
      <c r="P607" s="17">
        <v>0.05</v>
      </c>
      <c r="Q607" s="11">
        <v>1320</v>
      </c>
      <c r="R607" s="11" t="s">
        <v>32</v>
      </c>
      <c r="S607" s="11" t="s">
        <v>33</v>
      </c>
      <c r="T607" s="11" t="s">
        <v>34</v>
      </c>
      <c r="U607" s="11">
        <v>4</v>
      </c>
      <c r="V607" s="11" t="str">
        <f>TEXT('E-Commerce Sales Data'!$B607,"mmmm")</f>
        <v>July</v>
      </c>
      <c r="W607" s="8">
        <f t="shared" si="36"/>
        <v>3143305</v>
      </c>
      <c r="X607">
        <f t="shared" si="37"/>
        <v>595</v>
      </c>
      <c r="Y607">
        <f t="shared" si="38"/>
        <v>30427.747899159665</v>
      </c>
      <c r="Z607">
        <f t="shared" si="39"/>
        <v>55</v>
      </c>
    </row>
    <row r="608" spans="1:26" x14ac:dyDescent="0.25">
      <c r="A608" s="5" t="s">
        <v>711</v>
      </c>
      <c r="B608" s="6">
        <v>49874</v>
      </c>
      <c r="C608" s="7" t="s">
        <v>77</v>
      </c>
      <c r="D608" s="7" t="s">
        <v>23</v>
      </c>
      <c r="E608" s="7">
        <v>29</v>
      </c>
      <c r="F608" s="7" t="s">
        <v>24</v>
      </c>
      <c r="G608" s="7" t="s">
        <v>78</v>
      </c>
      <c r="H608" s="7" t="s">
        <v>26</v>
      </c>
      <c r="I608" s="7" t="s">
        <v>27</v>
      </c>
      <c r="J608" s="7" t="s">
        <v>28</v>
      </c>
      <c r="K608" s="7" t="s">
        <v>29</v>
      </c>
      <c r="L608" s="7" t="s">
        <v>53</v>
      </c>
      <c r="M608" s="7" t="s">
        <v>79</v>
      </c>
      <c r="N608" s="7">
        <v>4400</v>
      </c>
      <c r="O608" s="7">
        <v>6</v>
      </c>
      <c r="P608" s="16">
        <v>0</v>
      </c>
      <c r="Q608" s="7">
        <v>1320</v>
      </c>
      <c r="R608" s="7" t="s">
        <v>80</v>
      </c>
      <c r="S608" s="7" t="s">
        <v>33</v>
      </c>
      <c r="T608" s="7" t="s">
        <v>34</v>
      </c>
      <c r="U608" s="7">
        <v>3</v>
      </c>
      <c r="V608" s="7" t="str">
        <f>TEXT('E-Commerce Sales Data'!$B608,"mmmm")</f>
        <v>July</v>
      </c>
      <c r="W608" s="8">
        <f t="shared" si="36"/>
        <v>3141985</v>
      </c>
      <c r="X608">
        <f t="shared" si="37"/>
        <v>594</v>
      </c>
      <c r="Y608">
        <f t="shared" si="38"/>
        <v>30470.471380471379</v>
      </c>
      <c r="Z608">
        <f t="shared" si="39"/>
        <v>55</v>
      </c>
    </row>
    <row r="609" spans="1:26" x14ac:dyDescent="0.25">
      <c r="A609" s="9" t="s">
        <v>712</v>
      </c>
      <c r="B609" s="10">
        <v>49881</v>
      </c>
      <c r="C609" s="11" t="s">
        <v>82</v>
      </c>
      <c r="D609" s="11" t="s">
        <v>83</v>
      </c>
      <c r="E609" s="11">
        <v>37</v>
      </c>
      <c r="F609" s="11" t="s">
        <v>38</v>
      </c>
      <c r="G609" s="11" t="s">
        <v>84</v>
      </c>
      <c r="H609" s="11" t="s">
        <v>85</v>
      </c>
      <c r="I609" s="11" t="s">
        <v>52</v>
      </c>
      <c r="J609" s="11" t="s">
        <v>42</v>
      </c>
      <c r="K609" s="11" t="s">
        <v>60</v>
      </c>
      <c r="L609" s="11" t="s">
        <v>61</v>
      </c>
      <c r="M609" s="11" t="s">
        <v>62</v>
      </c>
      <c r="N609" s="11">
        <v>8200</v>
      </c>
      <c r="O609" s="11">
        <v>10</v>
      </c>
      <c r="P609" s="17">
        <v>0.02</v>
      </c>
      <c r="Q609" s="11">
        <v>2030</v>
      </c>
      <c r="R609" s="11" t="s">
        <v>32</v>
      </c>
      <c r="S609" s="11" t="s">
        <v>33</v>
      </c>
      <c r="T609" s="11" t="s">
        <v>34</v>
      </c>
      <c r="U609" s="11">
        <v>5</v>
      </c>
      <c r="V609" s="11" t="str">
        <f>TEXT('E-Commerce Sales Data'!$B609,"mmmm")</f>
        <v>July</v>
      </c>
      <c r="W609" s="8">
        <f t="shared" si="36"/>
        <v>3140665</v>
      </c>
      <c r="X609">
        <f t="shared" si="37"/>
        <v>593</v>
      </c>
      <c r="Y609">
        <f t="shared" si="38"/>
        <v>30514.435075885329</v>
      </c>
      <c r="Z609">
        <f t="shared" si="39"/>
        <v>55</v>
      </c>
    </row>
    <row r="610" spans="1:26" x14ac:dyDescent="0.25">
      <c r="A610" s="5" t="s">
        <v>713</v>
      </c>
      <c r="B610" s="6">
        <v>49888</v>
      </c>
      <c r="C610" s="7" t="s">
        <v>88</v>
      </c>
      <c r="D610" s="7" t="s">
        <v>37</v>
      </c>
      <c r="E610" s="7">
        <v>45</v>
      </c>
      <c r="F610" s="7" t="s">
        <v>24</v>
      </c>
      <c r="G610" s="7" t="s">
        <v>89</v>
      </c>
      <c r="H610" s="7" t="s">
        <v>90</v>
      </c>
      <c r="I610" s="7" t="s">
        <v>91</v>
      </c>
      <c r="J610" s="7" t="s">
        <v>42</v>
      </c>
      <c r="K610" s="7" t="s">
        <v>43</v>
      </c>
      <c r="L610" s="7" t="s">
        <v>92</v>
      </c>
      <c r="M610" s="7" t="s">
        <v>93</v>
      </c>
      <c r="N610" s="7">
        <v>22200</v>
      </c>
      <c r="O610" s="7">
        <v>1</v>
      </c>
      <c r="P610" s="16">
        <v>0.1</v>
      </c>
      <c r="Q610" s="7">
        <v>3980</v>
      </c>
      <c r="R610" s="7" t="s">
        <v>46</v>
      </c>
      <c r="S610" s="7" t="s">
        <v>47</v>
      </c>
      <c r="T610" s="7" t="s">
        <v>34</v>
      </c>
      <c r="U610" s="7">
        <v>4</v>
      </c>
      <c r="V610" s="7" t="str">
        <f>TEXT('E-Commerce Sales Data'!$B610,"mmmm")</f>
        <v>August</v>
      </c>
      <c r="W610" s="8">
        <f t="shared" si="36"/>
        <v>3138635</v>
      </c>
      <c r="X610">
        <f t="shared" si="37"/>
        <v>592</v>
      </c>
      <c r="Y610">
        <f t="shared" si="38"/>
        <v>30552.12837837838</v>
      </c>
      <c r="Z610">
        <f t="shared" si="39"/>
        <v>55</v>
      </c>
    </row>
    <row r="611" spans="1:26" x14ac:dyDescent="0.25">
      <c r="A611" s="9" t="s">
        <v>714</v>
      </c>
      <c r="B611" s="10">
        <v>49895</v>
      </c>
      <c r="C611" s="11" t="s">
        <v>95</v>
      </c>
      <c r="D611" s="11" t="s">
        <v>65</v>
      </c>
      <c r="E611" s="11">
        <v>25</v>
      </c>
      <c r="F611" s="11" t="s">
        <v>38</v>
      </c>
      <c r="G611" s="11" t="s">
        <v>25</v>
      </c>
      <c r="H611" s="11" t="s">
        <v>26</v>
      </c>
      <c r="I611" s="11" t="s">
        <v>27</v>
      </c>
      <c r="J611" s="11" t="s">
        <v>28</v>
      </c>
      <c r="K611" s="11" t="s">
        <v>29</v>
      </c>
      <c r="L611" s="11" t="s">
        <v>96</v>
      </c>
      <c r="M611" s="11" t="s">
        <v>97</v>
      </c>
      <c r="N611" s="11">
        <v>24400</v>
      </c>
      <c r="O611" s="11">
        <v>2</v>
      </c>
      <c r="P611" s="17">
        <v>0.05</v>
      </c>
      <c r="Q611" s="11">
        <v>4740</v>
      </c>
      <c r="R611" s="11" t="s">
        <v>32</v>
      </c>
      <c r="S611" s="11" t="s">
        <v>33</v>
      </c>
      <c r="T611" s="11" t="s">
        <v>34</v>
      </c>
      <c r="U611" s="11">
        <v>4</v>
      </c>
      <c r="V611" s="11" t="str">
        <f>TEXT('E-Commerce Sales Data'!$B611,"mmmm")</f>
        <v>August</v>
      </c>
      <c r="W611" s="8">
        <f t="shared" si="36"/>
        <v>3134655</v>
      </c>
      <c r="X611">
        <f t="shared" si="37"/>
        <v>591</v>
      </c>
      <c r="Y611">
        <f t="shared" si="38"/>
        <v>30566.26057529611</v>
      </c>
      <c r="Z611">
        <f t="shared" si="39"/>
        <v>55</v>
      </c>
    </row>
    <row r="612" spans="1:26" x14ac:dyDescent="0.25">
      <c r="A612" s="5" t="s">
        <v>715</v>
      </c>
      <c r="B612" s="6">
        <v>49902</v>
      </c>
      <c r="C612" s="7" t="s">
        <v>99</v>
      </c>
      <c r="D612" s="7" t="s">
        <v>100</v>
      </c>
      <c r="E612" s="7">
        <v>33</v>
      </c>
      <c r="F612" s="7" t="s">
        <v>24</v>
      </c>
      <c r="G612" s="7" t="s">
        <v>101</v>
      </c>
      <c r="H612" s="7" t="s">
        <v>102</v>
      </c>
      <c r="I612" s="7" t="s">
        <v>41</v>
      </c>
      <c r="J612" s="7" t="s">
        <v>28</v>
      </c>
      <c r="K612" s="7" t="s">
        <v>60</v>
      </c>
      <c r="L612" s="7" t="s">
        <v>53</v>
      </c>
      <c r="M612" s="7" t="s">
        <v>103</v>
      </c>
      <c r="N612" s="7">
        <v>1410</v>
      </c>
      <c r="O612" s="7">
        <v>25</v>
      </c>
      <c r="P612" s="16">
        <v>0</v>
      </c>
      <c r="Q612" s="7">
        <v>440</v>
      </c>
      <c r="R612" s="7" t="s">
        <v>55</v>
      </c>
      <c r="S612" s="7" t="s">
        <v>33</v>
      </c>
      <c r="T612" s="7" t="s">
        <v>34</v>
      </c>
      <c r="U612" s="7">
        <v>5</v>
      </c>
      <c r="V612" s="7" t="str">
        <f>TEXT('E-Commerce Sales Data'!$B612,"mmmm")</f>
        <v>August</v>
      </c>
      <c r="W612" s="8">
        <f t="shared" si="36"/>
        <v>3129915</v>
      </c>
      <c r="X612">
        <f t="shared" si="37"/>
        <v>590</v>
      </c>
      <c r="Y612">
        <f t="shared" si="38"/>
        <v>30576.711864406781</v>
      </c>
      <c r="Z612">
        <f t="shared" si="39"/>
        <v>55</v>
      </c>
    </row>
    <row r="613" spans="1:26" x14ac:dyDescent="0.25">
      <c r="A613" s="9" t="s">
        <v>716</v>
      </c>
      <c r="B613" s="10">
        <v>49909</v>
      </c>
      <c r="C613" s="11" t="s">
        <v>105</v>
      </c>
      <c r="D613" s="11" t="s">
        <v>58</v>
      </c>
      <c r="E613" s="11">
        <v>42</v>
      </c>
      <c r="F613" s="11" t="s">
        <v>38</v>
      </c>
      <c r="G613" s="11" t="s">
        <v>51</v>
      </c>
      <c r="H613" s="11" t="s">
        <v>51</v>
      </c>
      <c r="I613" s="11" t="s">
        <v>52</v>
      </c>
      <c r="J613" s="11" t="s">
        <v>42</v>
      </c>
      <c r="K613" s="11" t="s">
        <v>43</v>
      </c>
      <c r="L613" s="11" t="s">
        <v>68</v>
      </c>
      <c r="M613" s="11" t="s">
        <v>106</v>
      </c>
      <c r="N613" s="11">
        <v>36200</v>
      </c>
      <c r="O613" s="11">
        <v>1</v>
      </c>
      <c r="P613" s="17">
        <v>0.08</v>
      </c>
      <c r="Q613" s="11">
        <v>7550</v>
      </c>
      <c r="R613" s="11" t="s">
        <v>46</v>
      </c>
      <c r="S613" s="11" t="s">
        <v>47</v>
      </c>
      <c r="T613" s="11" t="s">
        <v>34</v>
      </c>
      <c r="U613" s="11">
        <v>4</v>
      </c>
      <c r="V613" s="11" t="str">
        <f>TEXT('E-Commerce Sales Data'!$B613,"mmmm")</f>
        <v>August</v>
      </c>
      <c r="W613" s="8">
        <f t="shared" si="36"/>
        <v>3129475</v>
      </c>
      <c r="X613">
        <f t="shared" si="37"/>
        <v>589</v>
      </c>
      <c r="Y613">
        <f t="shared" si="38"/>
        <v>30626.230899830221</v>
      </c>
      <c r="Z613">
        <f t="shared" si="39"/>
        <v>55</v>
      </c>
    </row>
    <row r="614" spans="1:26" x14ac:dyDescent="0.25">
      <c r="A614" s="5" t="s">
        <v>717</v>
      </c>
      <c r="B614" s="6">
        <v>49916</v>
      </c>
      <c r="C614" s="7" t="s">
        <v>108</v>
      </c>
      <c r="D614" s="7" t="s">
        <v>23</v>
      </c>
      <c r="E614" s="7">
        <v>30</v>
      </c>
      <c r="F614" s="7" t="s">
        <v>24</v>
      </c>
      <c r="G614" s="7" t="s">
        <v>59</v>
      </c>
      <c r="H614" s="7" t="s">
        <v>26</v>
      </c>
      <c r="I614" s="7" t="s">
        <v>27</v>
      </c>
      <c r="J614" s="7" t="s">
        <v>28</v>
      </c>
      <c r="K614" s="7" t="s">
        <v>29</v>
      </c>
      <c r="L614" s="7" t="s">
        <v>30</v>
      </c>
      <c r="M614" s="7" t="s">
        <v>31</v>
      </c>
      <c r="N614" s="7">
        <v>99500</v>
      </c>
      <c r="O614" s="7">
        <v>1</v>
      </c>
      <c r="P614" s="16">
        <v>0.1</v>
      </c>
      <c r="Q614" s="7">
        <v>11600</v>
      </c>
      <c r="R614" s="7" t="s">
        <v>32</v>
      </c>
      <c r="S614" s="7" t="s">
        <v>47</v>
      </c>
      <c r="T614" s="7" t="s">
        <v>34</v>
      </c>
      <c r="U614" s="7">
        <v>5</v>
      </c>
      <c r="V614" s="7" t="str">
        <f>TEXT('E-Commerce Sales Data'!$B614,"mmmm")</f>
        <v>August</v>
      </c>
      <c r="W614" s="8">
        <f t="shared" si="36"/>
        <v>3121925</v>
      </c>
      <c r="X614">
        <f t="shared" si="37"/>
        <v>588</v>
      </c>
      <c r="Y614">
        <f t="shared" si="38"/>
        <v>30616.751700680274</v>
      </c>
      <c r="Z614">
        <f t="shared" si="39"/>
        <v>55</v>
      </c>
    </row>
    <row r="615" spans="1:26" x14ac:dyDescent="0.25">
      <c r="A615" s="9" t="s">
        <v>718</v>
      </c>
      <c r="B615" s="10">
        <v>49923</v>
      </c>
      <c r="C615" s="11" t="s">
        <v>110</v>
      </c>
      <c r="D615" s="11" t="s">
        <v>37</v>
      </c>
      <c r="E615" s="11">
        <v>36</v>
      </c>
      <c r="F615" s="11" t="s">
        <v>38</v>
      </c>
      <c r="G615" s="11" t="s">
        <v>66</v>
      </c>
      <c r="H615" s="11" t="s">
        <v>67</v>
      </c>
      <c r="I615" s="11" t="s">
        <v>27</v>
      </c>
      <c r="J615" s="11" t="s">
        <v>28</v>
      </c>
      <c r="K615" s="11" t="s">
        <v>60</v>
      </c>
      <c r="L615" s="11" t="s">
        <v>92</v>
      </c>
      <c r="M615" s="11" t="s">
        <v>111</v>
      </c>
      <c r="N615" s="11">
        <v>1840</v>
      </c>
      <c r="O615" s="11">
        <v>15</v>
      </c>
      <c r="P615" s="17">
        <v>0.05</v>
      </c>
      <c r="Q615" s="11">
        <v>585</v>
      </c>
      <c r="R615" s="11" t="s">
        <v>80</v>
      </c>
      <c r="S615" s="11" t="s">
        <v>33</v>
      </c>
      <c r="T615" s="11" t="s">
        <v>34</v>
      </c>
      <c r="U615" s="11">
        <v>4</v>
      </c>
      <c r="V615" s="11" t="str">
        <f>TEXT('E-Commerce Sales Data'!$B615,"mmmm")</f>
        <v>September</v>
      </c>
      <c r="W615" s="8">
        <f t="shared" si="36"/>
        <v>3110325</v>
      </c>
      <c r="X615">
        <f t="shared" si="37"/>
        <v>587</v>
      </c>
      <c r="Y615">
        <f t="shared" si="38"/>
        <v>30499.403747870529</v>
      </c>
      <c r="Z615">
        <f t="shared" si="39"/>
        <v>55</v>
      </c>
    </row>
    <row r="616" spans="1:26" x14ac:dyDescent="0.25">
      <c r="A616" s="5" t="s">
        <v>719</v>
      </c>
      <c r="B616" s="6">
        <v>49930</v>
      </c>
      <c r="C616" s="7" t="s">
        <v>113</v>
      </c>
      <c r="D616" s="7" t="s">
        <v>114</v>
      </c>
      <c r="E616" s="7">
        <v>40</v>
      </c>
      <c r="F616" s="7" t="s">
        <v>24</v>
      </c>
      <c r="G616" s="7" t="s">
        <v>73</v>
      </c>
      <c r="H616" s="7" t="s">
        <v>74</v>
      </c>
      <c r="I616" s="7" t="s">
        <v>41</v>
      </c>
      <c r="J616" s="7" t="s">
        <v>42</v>
      </c>
      <c r="K616" s="7" t="s">
        <v>43</v>
      </c>
      <c r="L616" s="7" t="s">
        <v>44</v>
      </c>
      <c r="M616" s="7" t="s">
        <v>45</v>
      </c>
      <c r="N616" s="7">
        <v>17600</v>
      </c>
      <c r="O616" s="7">
        <v>4</v>
      </c>
      <c r="P616" s="16">
        <v>7.0000000000000007E-2</v>
      </c>
      <c r="Q616" s="7">
        <v>4000</v>
      </c>
      <c r="R616" s="7" t="s">
        <v>46</v>
      </c>
      <c r="S616" s="7" t="s">
        <v>33</v>
      </c>
      <c r="T616" s="7" t="s">
        <v>34</v>
      </c>
      <c r="U616" s="7">
        <v>4</v>
      </c>
      <c r="V616" s="7" t="str">
        <f>TEXT('E-Commerce Sales Data'!$B616,"mmmm")</f>
        <v>September</v>
      </c>
      <c r="W616" s="8">
        <f t="shared" si="36"/>
        <v>3109740</v>
      </c>
      <c r="X616">
        <f t="shared" si="37"/>
        <v>586</v>
      </c>
      <c r="Y616">
        <f t="shared" si="38"/>
        <v>30548.310580204779</v>
      </c>
      <c r="Z616">
        <f t="shared" si="39"/>
        <v>55</v>
      </c>
    </row>
    <row r="617" spans="1:26" x14ac:dyDescent="0.25">
      <c r="A617" s="9" t="s">
        <v>720</v>
      </c>
      <c r="B617" s="10">
        <v>49937</v>
      </c>
      <c r="C617" s="11" t="s">
        <v>116</v>
      </c>
      <c r="D617" s="11" t="s">
        <v>83</v>
      </c>
      <c r="E617" s="11">
        <v>27</v>
      </c>
      <c r="F617" s="11" t="s">
        <v>38</v>
      </c>
      <c r="G617" s="11" t="s">
        <v>39</v>
      </c>
      <c r="H617" s="11" t="s">
        <v>40</v>
      </c>
      <c r="I617" s="11" t="s">
        <v>41</v>
      </c>
      <c r="J617" s="11" t="s">
        <v>28</v>
      </c>
      <c r="K617" s="11" t="s">
        <v>29</v>
      </c>
      <c r="L617" s="11" t="s">
        <v>53</v>
      </c>
      <c r="M617" s="11" t="s">
        <v>54</v>
      </c>
      <c r="N617" s="11">
        <v>36200</v>
      </c>
      <c r="O617" s="11">
        <v>2</v>
      </c>
      <c r="P617" s="17">
        <v>0.05</v>
      </c>
      <c r="Q617" s="11">
        <v>6950</v>
      </c>
      <c r="R617" s="11" t="s">
        <v>32</v>
      </c>
      <c r="S617" s="11" t="s">
        <v>47</v>
      </c>
      <c r="T617" s="11" t="s">
        <v>34</v>
      </c>
      <c r="U617" s="11">
        <v>5</v>
      </c>
      <c r="V617" s="11" t="str">
        <f>TEXT('E-Commerce Sales Data'!$B617,"mmmm")</f>
        <v>September</v>
      </c>
      <c r="W617" s="8">
        <f t="shared" si="36"/>
        <v>3105740</v>
      </c>
      <c r="X617">
        <f t="shared" si="37"/>
        <v>585</v>
      </c>
      <c r="Y617">
        <f t="shared" si="38"/>
        <v>30570.444444444445</v>
      </c>
      <c r="Z617">
        <f t="shared" si="39"/>
        <v>55</v>
      </c>
    </row>
    <row r="618" spans="1:26" x14ac:dyDescent="0.25">
      <c r="A618" s="5" t="s">
        <v>721</v>
      </c>
      <c r="B618" s="6">
        <v>49944</v>
      </c>
      <c r="C618" s="7" t="s">
        <v>118</v>
      </c>
      <c r="D618" s="7" t="s">
        <v>72</v>
      </c>
      <c r="E618" s="7">
        <v>35</v>
      </c>
      <c r="F618" s="7" t="s">
        <v>24</v>
      </c>
      <c r="G618" s="7" t="s">
        <v>84</v>
      </c>
      <c r="H618" s="7" t="s">
        <v>85</v>
      </c>
      <c r="I618" s="7" t="s">
        <v>52</v>
      </c>
      <c r="J618" s="7" t="s">
        <v>42</v>
      </c>
      <c r="K618" s="7" t="s">
        <v>60</v>
      </c>
      <c r="L618" s="7" t="s">
        <v>61</v>
      </c>
      <c r="M618" s="7" t="s">
        <v>62</v>
      </c>
      <c r="N618" s="7">
        <v>8300</v>
      </c>
      <c r="O618" s="7">
        <v>10</v>
      </c>
      <c r="P618" s="16">
        <v>0.03</v>
      </c>
      <c r="Q618" s="7">
        <v>2060</v>
      </c>
      <c r="R618" s="7" t="s">
        <v>55</v>
      </c>
      <c r="S618" s="7" t="s">
        <v>33</v>
      </c>
      <c r="T618" s="7" t="s">
        <v>34</v>
      </c>
      <c r="U618" s="7">
        <v>4</v>
      </c>
      <c r="V618" s="7" t="str">
        <f>TEXT('E-Commerce Sales Data'!$B618,"mmmm")</f>
        <v>September</v>
      </c>
      <c r="W618" s="8">
        <f t="shared" si="36"/>
        <v>3098790</v>
      </c>
      <c r="X618">
        <f t="shared" si="37"/>
        <v>584</v>
      </c>
      <c r="Y618">
        <f t="shared" si="38"/>
        <v>30560.804794520547</v>
      </c>
      <c r="Z618">
        <f t="shared" si="39"/>
        <v>55</v>
      </c>
    </row>
    <row r="619" spans="1:26" x14ac:dyDescent="0.25">
      <c r="A619" s="9" t="s">
        <v>722</v>
      </c>
      <c r="B619" s="10">
        <v>49951</v>
      </c>
      <c r="C619" s="11" t="s">
        <v>120</v>
      </c>
      <c r="D619" s="11" t="s">
        <v>23</v>
      </c>
      <c r="E619" s="11">
        <v>24</v>
      </c>
      <c r="F619" s="11" t="s">
        <v>38</v>
      </c>
      <c r="G619" s="11" t="s">
        <v>25</v>
      </c>
      <c r="H619" s="11" t="s">
        <v>26</v>
      </c>
      <c r="I619" s="11" t="s">
        <v>27</v>
      </c>
      <c r="J619" s="11" t="s">
        <v>28</v>
      </c>
      <c r="K619" s="11" t="s">
        <v>43</v>
      </c>
      <c r="L619" s="11" t="s">
        <v>68</v>
      </c>
      <c r="M619" s="11" t="s">
        <v>69</v>
      </c>
      <c r="N619" s="11">
        <v>33500</v>
      </c>
      <c r="O619" s="11">
        <v>2</v>
      </c>
      <c r="P619" s="17">
        <v>0.1</v>
      </c>
      <c r="Q619" s="11">
        <v>5400</v>
      </c>
      <c r="R619" s="11" t="s">
        <v>32</v>
      </c>
      <c r="S619" s="11" t="s">
        <v>47</v>
      </c>
      <c r="T619" s="11" t="s">
        <v>34</v>
      </c>
      <c r="U619" s="11">
        <v>5</v>
      </c>
      <c r="V619" s="11" t="str">
        <f>TEXT('E-Commerce Sales Data'!$B619,"mmmm")</f>
        <v>October</v>
      </c>
      <c r="W619" s="8">
        <f t="shared" si="36"/>
        <v>3096730</v>
      </c>
      <c r="X619">
        <f t="shared" si="37"/>
        <v>583</v>
      </c>
      <c r="Y619">
        <f t="shared" si="38"/>
        <v>30598.987993138937</v>
      </c>
      <c r="Z619">
        <f t="shared" si="39"/>
        <v>55</v>
      </c>
    </row>
    <row r="620" spans="1:26" x14ac:dyDescent="0.25">
      <c r="A620" s="5" t="s">
        <v>723</v>
      </c>
      <c r="B620" s="6">
        <v>49958</v>
      </c>
      <c r="C620" s="7" t="s">
        <v>122</v>
      </c>
      <c r="D620" s="7" t="s">
        <v>50</v>
      </c>
      <c r="E620" s="7">
        <v>43</v>
      </c>
      <c r="F620" s="7" t="s">
        <v>24</v>
      </c>
      <c r="G620" s="7" t="s">
        <v>101</v>
      </c>
      <c r="H620" s="7" t="s">
        <v>102</v>
      </c>
      <c r="I620" s="7" t="s">
        <v>41</v>
      </c>
      <c r="J620" s="7" t="s">
        <v>42</v>
      </c>
      <c r="K620" s="7" t="s">
        <v>29</v>
      </c>
      <c r="L620" s="7" t="s">
        <v>53</v>
      </c>
      <c r="M620" s="7" t="s">
        <v>75</v>
      </c>
      <c r="N620" s="7">
        <v>5450</v>
      </c>
      <c r="O620" s="7">
        <v>4</v>
      </c>
      <c r="P620" s="16">
        <v>0.05</v>
      </c>
      <c r="Q620" s="7">
        <v>1410</v>
      </c>
      <c r="R620" s="7" t="s">
        <v>46</v>
      </c>
      <c r="S620" s="7" t="s">
        <v>33</v>
      </c>
      <c r="T620" s="7" t="s">
        <v>34</v>
      </c>
      <c r="U620" s="7">
        <v>3</v>
      </c>
      <c r="V620" s="7" t="str">
        <f>TEXT('E-Commerce Sales Data'!$B620,"mmmm")</f>
        <v>October</v>
      </c>
      <c r="W620" s="8">
        <f t="shared" si="36"/>
        <v>3091330</v>
      </c>
      <c r="X620">
        <f t="shared" si="37"/>
        <v>582</v>
      </c>
      <c r="Y620">
        <f t="shared" si="38"/>
        <v>30594.003436426116</v>
      </c>
      <c r="Z620">
        <f t="shared" si="39"/>
        <v>55</v>
      </c>
    </row>
    <row r="621" spans="1:26" x14ac:dyDescent="0.25">
      <c r="A621" s="9" t="s">
        <v>724</v>
      </c>
      <c r="B621" s="10">
        <v>49965</v>
      </c>
      <c r="C621" s="11" t="s">
        <v>124</v>
      </c>
      <c r="D621" s="11" t="s">
        <v>100</v>
      </c>
      <c r="E621" s="11">
        <v>32</v>
      </c>
      <c r="F621" s="11" t="s">
        <v>38</v>
      </c>
      <c r="G621" s="11" t="s">
        <v>78</v>
      </c>
      <c r="H621" s="11" t="s">
        <v>26</v>
      </c>
      <c r="I621" s="11" t="s">
        <v>27</v>
      </c>
      <c r="J621" s="11" t="s">
        <v>28</v>
      </c>
      <c r="K621" s="11" t="s">
        <v>29</v>
      </c>
      <c r="L621" s="11" t="s">
        <v>53</v>
      </c>
      <c r="M621" s="11" t="s">
        <v>79</v>
      </c>
      <c r="N621" s="11">
        <v>4500</v>
      </c>
      <c r="O621" s="11">
        <v>7</v>
      </c>
      <c r="P621" s="17">
        <v>0</v>
      </c>
      <c r="Q621" s="11">
        <v>1350</v>
      </c>
      <c r="R621" s="11" t="s">
        <v>32</v>
      </c>
      <c r="S621" s="11" t="s">
        <v>33</v>
      </c>
      <c r="T621" s="11" t="s">
        <v>34</v>
      </c>
      <c r="U621" s="11">
        <v>4</v>
      </c>
      <c r="V621" s="11" t="str">
        <f>TEXT('E-Commerce Sales Data'!$B621,"mmmm")</f>
        <v>October</v>
      </c>
      <c r="W621" s="8">
        <f t="shared" si="36"/>
        <v>3089920</v>
      </c>
      <c r="X621">
        <f t="shared" si="37"/>
        <v>581</v>
      </c>
      <c r="Y621">
        <f t="shared" si="38"/>
        <v>30637.280550774525</v>
      </c>
      <c r="Z621">
        <f t="shared" si="39"/>
        <v>55</v>
      </c>
    </row>
    <row r="622" spans="1:26" x14ac:dyDescent="0.25">
      <c r="A622" s="5" t="s">
        <v>725</v>
      </c>
      <c r="B622" s="6">
        <v>49972</v>
      </c>
      <c r="C622" s="7" t="s">
        <v>22</v>
      </c>
      <c r="D622" s="7" t="s">
        <v>23</v>
      </c>
      <c r="E622" s="7">
        <v>28</v>
      </c>
      <c r="F622" s="7" t="s">
        <v>24</v>
      </c>
      <c r="G622" s="7" t="s">
        <v>25</v>
      </c>
      <c r="H622" s="7" t="s">
        <v>26</v>
      </c>
      <c r="I622" s="7" t="s">
        <v>27</v>
      </c>
      <c r="J622" s="7" t="s">
        <v>28</v>
      </c>
      <c r="K622" s="7" t="s">
        <v>29</v>
      </c>
      <c r="L622" s="7" t="s">
        <v>30</v>
      </c>
      <c r="M622" s="7" t="s">
        <v>31</v>
      </c>
      <c r="N622" s="7">
        <v>95500</v>
      </c>
      <c r="O622" s="7">
        <v>1</v>
      </c>
      <c r="P622" s="16">
        <v>0.05</v>
      </c>
      <c r="Q622" s="7">
        <v>12700</v>
      </c>
      <c r="R622" s="7" t="s">
        <v>32</v>
      </c>
      <c r="S622" s="7" t="s">
        <v>47</v>
      </c>
      <c r="T622" s="7" t="s">
        <v>34</v>
      </c>
      <c r="U622" s="7">
        <v>5</v>
      </c>
      <c r="V622" s="7" t="str">
        <f>TEXT('E-Commerce Sales Data'!$B622,"mmmm")</f>
        <v>October</v>
      </c>
      <c r="W622" s="8">
        <f t="shared" si="36"/>
        <v>3088570</v>
      </c>
      <c r="X622">
        <f t="shared" si="37"/>
        <v>580</v>
      </c>
      <c r="Y622">
        <f t="shared" si="38"/>
        <v>30682.344827586207</v>
      </c>
      <c r="Z622">
        <f t="shared" si="39"/>
        <v>55</v>
      </c>
    </row>
    <row r="623" spans="1:26" x14ac:dyDescent="0.25">
      <c r="A623" s="9" t="s">
        <v>726</v>
      </c>
      <c r="B623" s="10">
        <v>49979</v>
      </c>
      <c r="C623" s="11" t="s">
        <v>36</v>
      </c>
      <c r="D623" s="11" t="s">
        <v>37</v>
      </c>
      <c r="E623" s="11">
        <v>34</v>
      </c>
      <c r="F623" s="11" t="s">
        <v>38</v>
      </c>
      <c r="G623" s="11" t="s">
        <v>39</v>
      </c>
      <c r="H623" s="11" t="s">
        <v>40</v>
      </c>
      <c r="I623" s="11" t="s">
        <v>41</v>
      </c>
      <c r="J623" s="11" t="s">
        <v>42</v>
      </c>
      <c r="K623" s="11" t="s">
        <v>43</v>
      </c>
      <c r="L623" s="11" t="s">
        <v>44</v>
      </c>
      <c r="M623" s="11" t="s">
        <v>45</v>
      </c>
      <c r="N623" s="11">
        <v>14600</v>
      </c>
      <c r="O623" s="11">
        <v>3</v>
      </c>
      <c r="P623" s="17">
        <v>0.1</v>
      </c>
      <c r="Q623" s="11">
        <v>3400</v>
      </c>
      <c r="R623" s="11" t="s">
        <v>46</v>
      </c>
      <c r="S623" s="11" t="s">
        <v>33</v>
      </c>
      <c r="T623" s="11" t="s">
        <v>34</v>
      </c>
      <c r="U623" s="11">
        <v>4</v>
      </c>
      <c r="V623" s="11" t="str">
        <f>TEXT('E-Commerce Sales Data'!$B623,"mmmm")</f>
        <v>October</v>
      </c>
      <c r="W623" s="8">
        <f t="shared" si="36"/>
        <v>3075870</v>
      </c>
      <c r="X623">
        <f t="shared" si="37"/>
        <v>579</v>
      </c>
      <c r="Y623">
        <f t="shared" si="38"/>
        <v>30570.397236614852</v>
      </c>
      <c r="Z623">
        <f t="shared" si="39"/>
        <v>55</v>
      </c>
    </row>
    <row r="624" spans="1:26" x14ac:dyDescent="0.25">
      <c r="A624" s="5" t="s">
        <v>727</v>
      </c>
      <c r="B624" s="6">
        <v>49986</v>
      </c>
      <c r="C624" s="7" t="s">
        <v>49</v>
      </c>
      <c r="D624" s="7" t="s">
        <v>50</v>
      </c>
      <c r="E624" s="7">
        <v>41</v>
      </c>
      <c r="F624" s="7" t="s">
        <v>24</v>
      </c>
      <c r="G624" s="7" t="s">
        <v>51</v>
      </c>
      <c r="H624" s="7" t="s">
        <v>51</v>
      </c>
      <c r="I624" s="7" t="s">
        <v>52</v>
      </c>
      <c r="J624" s="7" t="s">
        <v>28</v>
      </c>
      <c r="K624" s="7" t="s">
        <v>29</v>
      </c>
      <c r="L624" s="7" t="s">
        <v>53</v>
      </c>
      <c r="M624" s="7" t="s">
        <v>54</v>
      </c>
      <c r="N624" s="7">
        <v>34100</v>
      </c>
      <c r="O624" s="7">
        <v>2</v>
      </c>
      <c r="P624" s="16">
        <v>0.05</v>
      </c>
      <c r="Q624" s="7">
        <v>6500</v>
      </c>
      <c r="R624" s="7" t="s">
        <v>55</v>
      </c>
      <c r="S624" s="7" t="s">
        <v>33</v>
      </c>
      <c r="T624" s="7" t="s">
        <v>34</v>
      </c>
      <c r="U624" s="7">
        <v>4</v>
      </c>
      <c r="V624" s="7" t="str">
        <f>TEXT('E-Commerce Sales Data'!$B624,"mmmm")</f>
        <v>November</v>
      </c>
      <c r="W624" s="8">
        <f t="shared" si="36"/>
        <v>3072470</v>
      </c>
      <c r="X624">
        <f t="shared" si="37"/>
        <v>578</v>
      </c>
      <c r="Y624">
        <f t="shared" si="38"/>
        <v>30598.0276816609</v>
      </c>
      <c r="Z624">
        <f t="shared" si="39"/>
        <v>55</v>
      </c>
    </row>
    <row r="625" spans="1:26" x14ac:dyDescent="0.25">
      <c r="A625" s="9" t="s">
        <v>728</v>
      </c>
      <c r="B625" s="10">
        <v>49993</v>
      </c>
      <c r="C625" s="11" t="s">
        <v>57</v>
      </c>
      <c r="D625" s="11" t="s">
        <v>58</v>
      </c>
      <c r="E625" s="11">
        <v>26</v>
      </c>
      <c r="F625" s="11" t="s">
        <v>38</v>
      </c>
      <c r="G625" s="11" t="s">
        <v>59</v>
      </c>
      <c r="H625" s="11" t="s">
        <v>26</v>
      </c>
      <c r="I625" s="11" t="s">
        <v>27</v>
      </c>
      <c r="J625" s="11" t="s">
        <v>28</v>
      </c>
      <c r="K625" s="11" t="s">
        <v>60</v>
      </c>
      <c r="L625" s="11" t="s">
        <v>61</v>
      </c>
      <c r="M625" s="11" t="s">
        <v>86</v>
      </c>
      <c r="N625" s="11">
        <v>990</v>
      </c>
      <c r="O625" s="11">
        <v>20</v>
      </c>
      <c r="P625" s="17">
        <v>0.02</v>
      </c>
      <c r="Q625" s="11">
        <v>290</v>
      </c>
      <c r="R625" s="11" t="s">
        <v>32</v>
      </c>
      <c r="S625" s="11" t="s">
        <v>33</v>
      </c>
      <c r="T625" s="11" t="s">
        <v>34</v>
      </c>
      <c r="U625" s="11">
        <v>5</v>
      </c>
      <c r="V625" s="11" t="str">
        <f>TEXT('E-Commerce Sales Data'!$B625,"mmmm")</f>
        <v>November</v>
      </c>
      <c r="W625" s="8">
        <f t="shared" si="36"/>
        <v>3065970</v>
      </c>
      <c r="X625">
        <f t="shared" si="37"/>
        <v>577</v>
      </c>
      <c r="Y625">
        <f t="shared" si="38"/>
        <v>30591.958405545927</v>
      </c>
      <c r="Z625">
        <f t="shared" si="39"/>
        <v>55</v>
      </c>
    </row>
    <row r="626" spans="1:26" x14ac:dyDescent="0.25">
      <c r="A626" s="5" t="s">
        <v>729</v>
      </c>
      <c r="B626" s="6">
        <v>50000</v>
      </c>
      <c r="C626" s="7" t="s">
        <v>64</v>
      </c>
      <c r="D626" s="7" t="s">
        <v>65</v>
      </c>
      <c r="E626" s="7">
        <v>39</v>
      </c>
      <c r="F626" s="7" t="s">
        <v>24</v>
      </c>
      <c r="G626" s="7" t="s">
        <v>66</v>
      </c>
      <c r="H626" s="7" t="s">
        <v>67</v>
      </c>
      <c r="I626" s="7" t="s">
        <v>27</v>
      </c>
      <c r="J626" s="7" t="s">
        <v>42</v>
      </c>
      <c r="K626" s="7" t="s">
        <v>43</v>
      </c>
      <c r="L626" s="7" t="s">
        <v>68</v>
      </c>
      <c r="M626" s="7" t="s">
        <v>69</v>
      </c>
      <c r="N626" s="7">
        <v>35000</v>
      </c>
      <c r="O626" s="7">
        <v>2</v>
      </c>
      <c r="P626" s="16">
        <v>0.08</v>
      </c>
      <c r="Q626" s="7">
        <v>6020</v>
      </c>
      <c r="R626" s="7" t="s">
        <v>46</v>
      </c>
      <c r="S626" s="7" t="s">
        <v>47</v>
      </c>
      <c r="T626" s="7" t="s">
        <v>34</v>
      </c>
      <c r="U626" s="7">
        <v>4</v>
      </c>
      <c r="V626" s="7" t="str">
        <f>TEXT('E-Commerce Sales Data'!$B626,"mmmm")</f>
        <v>November</v>
      </c>
      <c r="W626" s="8">
        <f t="shared" si="36"/>
        <v>3065680</v>
      </c>
      <c r="X626">
        <f t="shared" si="37"/>
        <v>576</v>
      </c>
      <c r="Y626">
        <f t="shared" si="38"/>
        <v>30643.350694444445</v>
      </c>
      <c r="Z626">
        <f t="shared" si="39"/>
        <v>55</v>
      </c>
    </row>
    <row r="627" spans="1:26" x14ac:dyDescent="0.25">
      <c r="A627" s="9" t="s">
        <v>730</v>
      </c>
      <c r="B627" s="10">
        <v>50007</v>
      </c>
      <c r="C627" s="11" t="s">
        <v>71</v>
      </c>
      <c r="D627" s="11" t="s">
        <v>72</v>
      </c>
      <c r="E627" s="11">
        <v>31</v>
      </c>
      <c r="F627" s="11" t="s">
        <v>38</v>
      </c>
      <c r="G627" s="11" t="s">
        <v>73</v>
      </c>
      <c r="H627" s="11" t="s">
        <v>74</v>
      </c>
      <c r="I627" s="11" t="s">
        <v>41</v>
      </c>
      <c r="J627" s="11" t="s">
        <v>28</v>
      </c>
      <c r="K627" s="11" t="s">
        <v>29</v>
      </c>
      <c r="L627" s="11" t="s">
        <v>53</v>
      </c>
      <c r="M627" s="11" t="s">
        <v>75</v>
      </c>
      <c r="N627" s="11">
        <v>5150</v>
      </c>
      <c r="O627" s="11">
        <v>3</v>
      </c>
      <c r="P627" s="17">
        <v>0.05</v>
      </c>
      <c r="Q627" s="11">
        <v>1350</v>
      </c>
      <c r="R627" s="11" t="s">
        <v>32</v>
      </c>
      <c r="S627" s="11" t="s">
        <v>33</v>
      </c>
      <c r="T627" s="11" t="s">
        <v>34</v>
      </c>
      <c r="U627" s="11">
        <v>4</v>
      </c>
      <c r="V627" s="11" t="str">
        <f>TEXT('E-Commerce Sales Data'!$B627,"mmmm")</f>
        <v>November</v>
      </c>
      <c r="W627" s="8">
        <f t="shared" si="36"/>
        <v>3059660</v>
      </c>
      <c r="X627">
        <f t="shared" si="37"/>
        <v>575</v>
      </c>
      <c r="Y627">
        <f t="shared" si="38"/>
        <v>30635.773913043478</v>
      </c>
      <c r="Z627">
        <f t="shared" si="39"/>
        <v>55</v>
      </c>
    </row>
    <row r="628" spans="1:26" x14ac:dyDescent="0.25">
      <c r="A628" s="5" t="s">
        <v>731</v>
      </c>
      <c r="B628" s="6">
        <v>50014</v>
      </c>
      <c r="C628" s="7" t="s">
        <v>77</v>
      </c>
      <c r="D628" s="7" t="s">
        <v>23</v>
      </c>
      <c r="E628" s="7">
        <v>29</v>
      </c>
      <c r="F628" s="7" t="s">
        <v>24</v>
      </c>
      <c r="G628" s="7" t="s">
        <v>78</v>
      </c>
      <c r="H628" s="7" t="s">
        <v>26</v>
      </c>
      <c r="I628" s="7" t="s">
        <v>27</v>
      </c>
      <c r="J628" s="7" t="s">
        <v>28</v>
      </c>
      <c r="K628" s="7" t="s">
        <v>29</v>
      </c>
      <c r="L628" s="7" t="s">
        <v>53</v>
      </c>
      <c r="M628" s="7" t="s">
        <v>79</v>
      </c>
      <c r="N628" s="7">
        <v>4600</v>
      </c>
      <c r="O628" s="7">
        <v>6</v>
      </c>
      <c r="P628" s="16">
        <v>0</v>
      </c>
      <c r="Q628" s="7">
        <v>1380</v>
      </c>
      <c r="R628" s="7" t="s">
        <v>80</v>
      </c>
      <c r="S628" s="7" t="s">
        <v>33</v>
      </c>
      <c r="T628" s="7" t="s">
        <v>34</v>
      </c>
      <c r="U628" s="7">
        <v>3</v>
      </c>
      <c r="V628" s="7" t="str">
        <f>TEXT('E-Commerce Sales Data'!$B628,"mmmm")</f>
        <v>December</v>
      </c>
      <c r="W628" s="8">
        <f t="shared" si="36"/>
        <v>3058310</v>
      </c>
      <c r="X628">
        <f t="shared" si="37"/>
        <v>574</v>
      </c>
      <c r="Y628">
        <f t="shared" si="38"/>
        <v>30680.174216027874</v>
      </c>
      <c r="Z628">
        <f t="shared" si="39"/>
        <v>55</v>
      </c>
    </row>
    <row r="629" spans="1:26" x14ac:dyDescent="0.25">
      <c r="A629" s="9" t="s">
        <v>732</v>
      </c>
      <c r="B629" s="10">
        <v>50021</v>
      </c>
      <c r="C629" s="11" t="s">
        <v>82</v>
      </c>
      <c r="D629" s="11" t="s">
        <v>83</v>
      </c>
      <c r="E629" s="11">
        <v>37</v>
      </c>
      <c r="F629" s="11" t="s">
        <v>38</v>
      </c>
      <c r="G629" s="11" t="s">
        <v>84</v>
      </c>
      <c r="H629" s="11" t="s">
        <v>85</v>
      </c>
      <c r="I629" s="11" t="s">
        <v>52</v>
      </c>
      <c r="J629" s="11" t="s">
        <v>42</v>
      </c>
      <c r="K629" s="11" t="s">
        <v>60</v>
      </c>
      <c r="L629" s="11" t="s">
        <v>61</v>
      </c>
      <c r="M629" s="11" t="s">
        <v>62</v>
      </c>
      <c r="N629" s="11">
        <v>8400</v>
      </c>
      <c r="O629" s="11">
        <v>10</v>
      </c>
      <c r="P629" s="17">
        <v>0.02</v>
      </c>
      <c r="Q629" s="11">
        <v>2080</v>
      </c>
      <c r="R629" s="11" t="s">
        <v>32</v>
      </c>
      <c r="S629" s="11" t="s">
        <v>33</v>
      </c>
      <c r="T629" s="11" t="s">
        <v>34</v>
      </c>
      <c r="U629" s="11">
        <v>5</v>
      </c>
      <c r="V629" s="11" t="str">
        <f>TEXT('E-Commerce Sales Data'!$B629,"mmmm")</f>
        <v>December</v>
      </c>
      <c r="W629" s="8">
        <f t="shared" si="36"/>
        <v>3056930</v>
      </c>
      <c r="X629">
        <f t="shared" si="37"/>
        <v>573</v>
      </c>
      <c r="Y629">
        <f t="shared" si="38"/>
        <v>30725.689354275743</v>
      </c>
      <c r="Z629">
        <f t="shared" si="39"/>
        <v>55</v>
      </c>
    </row>
    <row r="630" spans="1:26" x14ac:dyDescent="0.25">
      <c r="A630" s="5" t="s">
        <v>733</v>
      </c>
      <c r="B630" s="6">
        <v>50028</v>
      </c>
      <c r="C630" s="7" t="s">
        <v>88</v>
      </c>
      <c r="D630" s="7" t="s">
        <v>37</v>
      </c>
      <c r="E630" s="7">
        <v>45</v>
      </c>
      <c r="F630" s="7" t="s">
        <v>24</v>
      </c>
      <c r="G630" s="7" t="s">
        <v>89</v>
      </c>
      <c r="H630" s="7" t="s">
        <v>90</v>
      </c>
      <c r="I630" s="7" t="s">
        <v>91</v>
      </c>
      <c r="J630" s="7" t="s">
        <v>42</v>
      </c>
      <c r="K630" s="7" t="s">
        <v>43</v>
      </c>
      <c r="L630" s="7" t="s">
        <v>92</v>
      </c>
      <c r="M630" s="7" t="s">
        <v>93</v>
      </c>
      <c r="N630" s="7">
        <v>22600</v>
      </c>
      <c r="O630" s="7">
        <v>1</v>
      </c>
      <c r="P630" s="16">
        <v>0.1</v>
      </c>
      <c r="Q630" s="7">
        <v>4060</v>
      </c>
      <c r="R630" s="7" t="s">
        <v>46</v>
      </c>
      <c r="S630" s="7" t="s">
        <v>47</v>
      </c>
      <c r="T630" s="7" t="s">
        <v>34</v>
      </c>
      <c r="U630" s="7">
        <v>4</v>
      </c>
      <c r="V630" s="7" t="str">
        <f>TEXT('E-Commerce Sales Data'!$B630,"mmmm")</f>
        <v>December</v>
      </c>
      <c r="W630" s="8">
        <f t="shared" si="36"/>
        <v>3054850</v>
      </c>
      <c r="X630">
        <f t="shared" si="37"/>
        <v>572</v>
      </c>
      <c r="Y630">
        <f t="shared" si="38"/>
        <v>30764.720279720281</v>
      </c>
      <c r="Z630">
        <f t="shared" si="39"/>
        <v>55</v>
      </c>
    </row>
    <row r="631" spans="1:26" x14ac:dyDescent="0.25">
      <c r="A631" s="9" t="s">
        <v>734</v>
      </c>
      <c r="B631" s="10">
        <v>50035</v>
      </c>
      <c r="C631" s="11" t="s">
        <v>95</v>
      </c>
      <c r="D631" s="11" t="s">
        <v>65</v>
      </c>
      <c r="E631" s="11">
        <v>25</v>
      </c>
      <c r="F631" s="11" t="s">
        <v>38</v>
      </c>
      <c r="G631" s="11" t="s">
        <v>25</v>
      </c>
      <c r="H631" s="11" t="s">
        <v>26</v>
      </c>
      <c r="I631" s="11" t="s">
        <v>27</v>
      </c>
      <c r="J631" s="11" t="s">
        <v>28</v>
      </c>
      <c r="K631" s="11" t="s">
        <v>29</v>
      </c>
      <c r="L631" s="11" t="s">
        <v>96</v>
      </c>
      <c r="M631" s="11" t="s">
        <v>97</v>
      </c>
      <c r="N631" s="11">
        <v>24800</v>
      </c>
      <c r="O631" s="11">
        <v>2</v>
      </c>
      <c r="P631" s="17">
        <v>0.05</v>
      </c>
      <c r="Q631" s="11">
        <v>4820</v>
      </c>
      <c r="R631" s="11" t="s">
        <v>32</v>
      </c>
      <c r="S631" s="11" t="s">
        <v>33</v>
      </c>
      <c r="T631" s="11" t="s">
        <v>34</v>
      </c>
      <c r="U631" s="11">
        <v>4</v>
      </c>
      <c r="V631" s="11" t="str">
        <f>TEXT('E-Commerce Sales Data'!$B631,"mmmm")</f>
        <v>December</v>
      </c>
      <c r="W631" s="8">
        <f t="shared" si="36"/>
        <v>3050790</v>
      </c>
      <c r="X631">
        <f t="shared" si="37"/>
        <v>571</v>
      </c>
      <c r="Y631">
        <f t="shared" si="38"/>
        <v>30779.019264448336</v>
      </c>
      <c r="Z631">
        <f t="shared" si="39"/>
        <v>55</v>
      </c>
    </row>
    <row r="632" spans="1:26" x14ac:dyDescent="0.25">
      <c r="A632" s="5" t="s">
        <v>735</v>
      </c>
      <c r="B632" s="6">
        <v>50042</v>
      </c>
      <c r="C632" s="7" t="s">
        <v>99</v>
      </c>
      <c r="D632" s="7" t="s">
        <v>100</v>
      </c>
      <c r="E632" s="7">
        <v>33</v>
      </c>
      <c r="F632" s="7" t="s">
        <v>24</v>
      </c>
      <c r="G632" s="7" t="s">
        <v>101</v>
      </c>
      <c r="H632" s="7" t="s">
        <v>102</v>
      </c>
      <c r="I632" s="7" t="s">
        <v>41</v>
      </c>
      <c r="J632" s="7" t="s">
        <v>28</v>
      </c>
      <c r="K632" s="7" t="s">
        <v>60</v>
      </c>
      <c r="L632" s="7" t="s">
        <v>53</v>
      </c>
      <c r="M632" s="7" t="s">
        <v>103</v>
      </c>
      <c r="N632" s="7">
        <v>1440</v>
      </c>
      <c r="O632" s="7">
        <v>25</v>
      </c>
      <c r="P632" s="16">
        <v>0</v>
      </c>
      <c r="Q632" s="7">
        <v>450</v>
      </c>
      <c r="R632" s="7" t="s">
        <v>55</v>
      </c>
      <c r="S632" s="7" t="s">
        <v>33</v>
      </c>
      <c r="T632" s="7" t="s">
        <v>34</v>
      </c>
      <c r="U632" s="7">
        <v>5</v>
      </c>
      <c r="V632" s="7" t="str">
        <f>TEXT('E-Commerce Sales Data'!$B632,"mmmm")</f>
        <v>January</v>
      </c>
      <c r="W632" s="8">
        <f t="shared" si="36"/>
        <v>3045970</v>
      </c>
      <c r="X632">
        <f t="shared" si="37"/>
        <v>570</v>
      </c>
      <c r="Y632">
        <f t="shared" si="38"/>
        <v>30789.508771929824</v>
      </c>
      <c r="Z632">
        <f t="shared" si="39"/>
        <v>55</v>
      </c>
    </row>
    <row r="633" spans="1:26" x14ac:dyDescent="0.25">
      <c r="A633" s="9" t="s">
        <v>736</v>
      </c>
      <c r="B633" s="10">
        <v>50049</v>
      </c>
      <c r="C633" s="11" t="s">
        <v>105</v>
      </c>
      <c r="D633" s="11" t="s">
        <v>58</v>
      </c>
      <c r="E633" s="11">
        <v>42</v>
      </c>
      <c r="F633" s="11" t="s">
        <v>38</v>
      </c>
      <c r="G633" s="11" t="s">
        <v>51</v>
      </c>
      <c r="H633" s="11" t="s">
        <v>51</v>
      </c>
      <c r="I633" s="11" t="s">
        <v>52</v>
      </c>
      <c r="J633" s="11" t="s">
        <v>42</v>
      </c>
      <c r="K633" s="11" t="s">
        <v>43</v>
      </c>
      <c r="L633" s="11" t="s">
        <v>68</v>
      </c>
      <c r="M633" s="11" t="s">
        <v>106</v>
      </c>
      <c r="N633" s="11">
        <v>36800</v>
      </c>
      <c r="O633" s="11">
        <v>1</v>
      </c>
      <c r="P633" s="17">
        <v>0.08</v>
      </c>
      <c r="Q633" s="11">
        <v>7700</v>
      </c>
      <c r="R633" s="11" t="s">
        <v>46</v>
      </c>
      <c r="S633" s="11" t="s">
        <v>47</v>
      </c>
      <c r="T633" s="11" t="s">
        <v>34</v>
      </c>
      <c r="U633" s="11">
        <v>4</v>
      </c>
      <c r="V633" s="11" t="str">
        <f>TEXT('E-Commerce Sales Data'!$B633,"mmmm")</f>
        <v>January</v>
      </c>
      <c r="W633" s="8">
        <f t="shared" si="36"/>
        <v>3045520</v>
      </c>
      <c r="X633">
        <f t="shared" si="37"/>
        <v>569</v>
      </c>
      <c r="Y633">
        <f t="shared" si="38"/>
        <v>30841.089630931459</v>
      </c>
      <c r="Z633">
        <f t="shared" si="39"/>
        <v>55</v>
      </c>
    </row>
    <row r="634" spans="1:26" x14ac:dyDescent="0.25">
      <c r="A634" s="5" t="s">
        <v>737</v>
      </c>
      <c r="B634" s="6">
        <v>50056</v>
      </c>
      <c r="C634" s="7" t="s">
        <v>108</v>
      </c>
      <c r="D634" s="7" t="s">
        <v>23</v>
      </c>
      <c r="E634" s="7">
        <v>30</v>
      </c>
      <c r="F634" s="7" t="s">
        <v>24</v>
      </c>
      <c r="G634" s="7" t="s">
        <v>59</v>
      </c>
      <c r="H634" s="7" t="s">
        <v>26</v>
      </c>
      <c r="I634" s="7" t="s">
        <v>27</v>
      </c>
      <c r="J634" s="7" t="s">
        <v>28</v>
      </c>
      <c r="K634" s="7" t="s">
        <v>29</v>
      </c>
      <c r="L634" s="7" t="s">
        <v>30</v>
      </c>
      <c r="M634" s="7" t="s">
        <v>31</v>
      </c>
      <c r="N634" s="7">
        <v>101000</v>
      </c>
      <c r="O634" s="7">
        <v>1</v>
      </c>
      <c r="P634" s="16">
        <v>0.1</v>
      </c>
      <c r="Q634" s="7">
        <v>11800</v>
      </c>
      <c r="R634" s="7" t="s">
        <v>32</v>
      </c>
      <c r="S634" s="7" t="s">
        <v>47</v>
      </c>
      <c r="T634" s="7" t="s">
        <v>34</v>
      </c>
      <c r="U634" s="7">
        <v>5</v>
      </c>
      <c r="V634" s="7" t="str">
        <f>TEXT('E-Commerce Sales Data'!$B634,"mmmm")</f>
        <v>January</v>
      </c>
      <c r="W634" s="8">
        <f t="shared" si="36"/>
        <v>3037820</v>
      </c>
      <c r="X634">
        <f t="shared" si="37"/>
        <v>568</v>
      </c>
      <c r="Y634">
        <f t="shared" si="38"/>
        <v>30830.598591549297</v>
      </c>
      <c r="Z634">
        <f t="shared" si="39"/>
        <v>55</v>
      </c>
    </row>
    <row r="635" spans="1:26" x14ac:dyDescent="0.25">
      <c r="A635" s="9" t="s">
        <v>738</v>
      </c>
      <c r="B635" s="10">
        <v>50063</v>
      </c>
      <c r="C635" s="11" t="s">
        <v>110</v>
      </c>
      <c r="D635" s="11" t="s">
        <v>37</v>
      </c>
      <c r="E635" s="11">
        <v>36</v>
      </c>
      <c r="F635" s="11" t="s">
        <v>38</v>
      </c>
      <c r="G635" s="11" t="s">
        <v>66</v>
      </c>
      <c r="H635" s="11" t="s">
        <v>67</v>
      </c>
      <c r="I635" s="11" t="s">
        <v>27</v>
      </c>
      <c r="J635" s="11" t="s">
        <v>28</v>
      </c>
      <c r="K635" s="11" t="s">
        <v>60</v>
      </c>
      <c r="L635" s="11" t="s">
        <v>92</v>
      </c>
      <c r="M635" s="11" t="s">
        <v>111</v>
      </c>
      <c r="N635" s="11">
        <v>1880</v>
      </c>
      <c r="O635" s="11">
        <v>15</v>
      </c>
      <c r="P635" s="17">
        <v>0.05</v>
      </c>
      <c r="Q635" s="11">
        <v>600</v>
      </c>
      <c r="R635" s="11" t="s">
        <v>80</v>
      </c>
      <c r="S635" s="11" t="s">
        <v>33</v>
      </c>
      <c r="T635" s="11" t="s">
        <v>34</v>
      </c>
      <c r="U635" s="11">
        <v>4</v>
      </c>
      <c r="V635" s="11" t="str">
        <f>TEXT('E-Commerce Sales Data'!$B635,"mmmm")</f>
        <v>January</v>
      </c>
      <c r="W635" s="8">
        <f t="shared" si="36"/>
        <v>3026020</v>
      </c>
      <c r="X635">
        <f t="shared" si="37"/>
        <v>567</v>
      </c>
      <c r="Y635">
        <f t="shared" si="38"/>
        <v>30706.8430335097</v>
      </c>
      <c r="Z635">
        <f t="shared" si="39"/>
        <v>55</v>
      </c>
    </row>
    <row r="636" spans="1:26" x14ac:dyDescent="0.25">
      <c r="A636" s="5" t="s">
        <v>739</v>
      </c>
      <c r="B636" s="6">
        <v>50070</v>
      </c>
      <c r="C636" s="7" t="s">
        <v>113</v>
      </c>
      <c r="D636" s="7" t="s">
        <v>114</v>
      </c>
      <c r="E636" s="7">
        <v>40</v>
      </c>
      <c r="F636" s="7" t="s">
        <v>24</v>
      </c>
      <c r="G636" s="7" t="s">
        <v>73</v>
      </c>
      <c r="H636" s="7" t="s">
        <v>74</v>
      </c>
      <c r="I636" s="7" t="s">
        <v>41</v>
      </c>
      <c r="J636" s="7" t="s">
        <v>42</v>
      </c>
      <c r="K636" s="7" t="s">
        <v>43</v>
      </c>
      <c r="L636" s="7" t="s">
        <v>44</v>
      </c>
      <c r="M636" s="7" t="s">
        <v>45</v>
      </c>
      <c r="N636" s="7">
        <v>18000</v>
      </c>
      <c r="O636" s="7">
        <v>4</v>
      </c>
      <c r="P636" s="16">
        <v>7.0000000000000007E-2</v>
      </c>
      <c r="Q636" s="7">
        <v>4100</v>
      </c>
      <c r="R636" s="7" t="s">
        <v>46</v>
      </c>
      <c r="S636" s="7" t="s">
        <v>33</v>
      </c>
      <c r="T636" s="7" t="s">
        <v>34</v>
      </c>
      <c r="U636" s="7">
        <v>4</v>
      </c>
      <c r="V636" s="7" t="str">
        <f>TEXT('E-Commerce Sales Data'!$B636,"mmmm")</f>
        <v>January</v>
      </c>
      <c r="W636" s="8">
        <f t="shared" si="36"/>
        <v>3025420</v>
      </c>
      <c r="X636">
        <f t="shared" si="37"/>
        <v>566</v>
      </c>
      <c r="Y636">
        <f t="shared" si="38"/>
        <v>30757.773851590107</v>
      </c>
      <c r="Z636">
        <f t="shared" si="39"/>
        <v>55</v>
      </c>
    </row>
    <row r="637" spans="1:26" x14ac:dyDescent="0.25">
      <c r="A637" s="9" t="s">
        <v>740</v>
      </c>
      <c r="B637" s="10">
        <v>50077</v>
      </c>
      <c r="C637" s="11" t="s">
        <v>116</v>
      </c>
      <c r="D637" s="11" t="s">
        <v>83</v>
      </c>
      <c r="E637" s="11">
        <v>27</v>
      </c>
      <c r="F637" s="11" t="s">
        <v>38</v>
      </c>
      <c r="G637" s="11" t="s">
        <v>39</v>
      </c>
      <c r="H637" s="11" t="s">
        <v>40</v>
      </c>
      <c r="I637" s="11" t="s">
        <v>41</v>
      </c>
      <c r="J637" s="11" t="s">
        <v>28</v>
      </c>
      <c r="K637" s="11" t="s">
        <v>29</v>
      </c>
      <c r="L637" s="11" t="s">
        <v>53</v>
      </c>
      <c r="M637" s="11" t="s">
        <v>54</v>
      </c>
      <c r="N637" s="11">
        <v>36900</v>
      </c>
      <c r="O637" s="11">
        <v>2</v>
      </c>
      <c r="P637" s="17">
        <v>0.05</v>
      </c>
      <c r="Q637" s="11">
        <v>7100</v>
      </c>
      <c r="R637" s="11" t="s">
        <v>32</v>
      </c>
      <c r="S637" s="11" t="s">
        <v>47</v>
      </c>
      <c r="T637" s="11" t="s">
        <v>34</v>
      </c>
      <c r="U637" s="11">
        <v>5</v>
      </c>
      <c r="V637" s="11" t="str">
        <f>TEXT('E-Commerce Sales Data'!$B637,"mmmm")</f>
        <v>February</v>
      </c>
      <c r="W637" s="8">
        <f t="shared" si="36"/>
        <v>3021320</v>
      </c>
      <c r="X637">
        <f t="shared" si="37"/>
        <v>565</v>
      </c>
      <c r="Y637">
        <f t="shared" si="38"/>
        <v>30780.353982300883</v>
      </c>
      <c r="Z637">
        <f t="shared" si="39"/>
        <v>55</v>
      </c>
    </row>
    <row r="638" spans="1:26" x14ac:dyDescent="0.25">
      <c r="A638" s="5" t="s">
        <v>741</v>
      </c>
      <c r="B638" s="6">
        <v>50084</v>
      </c>
      <c r="C638" s="7" t="s">
        <v>118</v>
      </c>
      <c r="D638" s="7" t="s">
        <v>72</v>
      </c>
      <c r="E638" s="7">
        <v>35</v>
      </c>
      <c r="F638" s="7" t="s">
        <v>24</v>
      </c>
      <c r="G638" s="7" t="s">
        <v>84</v>
      </c>
      <c r="H638" s="7" t="s">
        <v>85</v>
      </c>
      <c r="I638" s="7" t="s">
        <v>52</v>
      </c>
      <c r="J638" s="7" t="s">
        <v>42</v>
      </c>
      <c r="K638" s="7" t="s">
        <v>60</v>
      </c>
      <c r="L638" s="7" t="s">
        <v>61</v>
      </c>
      <c r="M638" s="7" t="s">
        <v>62</v>
      </c>
      <c r="N638" s="7">
        <v>8500</v>
      </c>
      <c r="O638" s="7">
        <v>10</v>
      </c>
      <c r="P638" s="16">
        <v>0.03</v>
      </c>
      <c r="Q638" s="7">
        <v>2110</v>
      </c>
      <c r="R638" s="7" t="s">
        <v>55</v>
      </c>
      <c r="S638" s="7" t="s">
        <v>33</v>
      </c>
      <c r="T638" s="7" t="s">
        <v>34</v>
      </c>
      <c r="U638" s="7">
        <v>4</v>
      </c>
      <c r="V638" s="7" t="str">
        <f>TEXT('E-Commerce Sales Data'!$B638,"mmmm")</f>
        <v>February</v>
      </c>
      <c r="W638" s="8">
        <f t="shared" si="36"/>
        <v>3014220</v>
      </c>
      <c r="X638">
        <f t="shared" si="37"/>
        <v>564</v>
      </c>
      <c r="Y638">
        <f t="shared" si="38"/>
        <v>30769.503546099291</v>
      </c>
      <c r="Z638">
        <f t="shared" si="39"/>
        <v>55</v>
      </c>
    </row>
    <row r="639" spans="1:26" x14ac:dyDescent="0.25">
      <c r="A639" s="9" t="s">
        <v>742</v>
      </c>
      <c r="B639" s="10">
        <v>50091</v>
      </c>
      <c r="C639" s="11" t="s">
        <v>120</v>
      </c>
      <c r="D639" s="11" t="s">
        <v>23</v>
      </c>
      <c r="E639" s="11">
        <v>24</v>
      </c>
      <c r="F639" s="11" t="s">
        <v>38</v>
      </c>
      <c r="G639" s="11" t="s">
        <v>25</v>
      </c>
      <c r="H639" s="11" t="s">
        <v>26</v>
      </c>
      <c r="I639" s="11" t="s">
        <v>27</v>
      </c>
      <c r="J639" s="11" t="s">
        <v>28</v>
      </c>
      <c r="K639" s="11" t="s">
        <v>43</v>
      </c>
      <c r="L639" s="11" t="s">
        <v>68</v>
      </c>
      <c r="M639" s="11" t="s">
        <v>69</v>
      </c>
      <c r="N639" s="11">
        <v>34200</v>
      </c>
      <c r="O639" s="11">
        <v>2</v>
      </c>
      <c r="P639" s="17">
        <v>0.1</v>
      </c>
      <c r="Q639" s="11">
        <v>5520</v>
      </c>
      <c r="R639" s="11" t="s">
        <v>32</v>
      </c>
      <c r="S639" s="11" t="s">
        <v>47</v>
      </c>
      <c r="T639" s="11" t="s">
        <v>34</v>
      </c>
      <c r="U639" s="11">
        <v>5</v>
      </c>
      <c r="V639" s="11" t="str">
        <f>TEXT('E-Commerce Sales Data'!$B639,"mmmm")</f>
        <v>February</v>
      </c>
      <c r="W639" s="8">
        <f t="shared" si="36"/>
        <v>3012110</v>
      </c>
      <c r="X639">
        <f t="shared" si="37"/>
        <v>563</v>
      </c>
      <c r="Y639">
        <f t="shared" si="38"/>
        <v>30809.05861456483</v>
      </c>
      <c r="Z639">
        <f t="shared" si="39"/>
        <v>55</v>
      </c>
    </row>
    <row r="640" spans="1:26" x14ac:dyDescent="0.25">
      <c r="A640" s="5" t="s">
        <v>743</v>
      </c>
      <c r="B640" s="6">
        <v>50098</v>
      </c>
      <c r="C640" s="7" t="s">
        <v>122</v>
      </c>
      <c r="D640" s="7" t="s">
        <v>50</v>
      </c>
      <c r="E640" s="7">
        <v>43</v>
      </c>
      <c r="F640" s="7" t="s">
        <v>24</v>
      </c>
      <c r="G640" s="7" t="s">
        <v>101</v>
      </c>
      <c r="H640" s="7" t="s">
        <v>102</v>
      </c>
      <c r="I640" s="7" t="s">
        <v>41</v>
      </c>
      <c r="J640" s="7" t="s">
        <v>42</v>
      </c>
      <c r="K640" s="7" t="s">
        <v>29</v>
      </c>
      <c r="L640" s="7" t="s">
        <v>53</v>
      </c>
      <c r="M640" s="7" t="s">
        <v>75</v>
      </c>
      <c r="N640" s="7">
        <v>5550</v>
      </c>
      <c r="O640" s="7">
        <v>4</v>
      </c>
      <c r="P640" s="16">
        <v>0.05</v>
      </c>
      <c r="Q640" s="7">
        <v>1440</v>
      </c>
      <c r="R640" s="7" t="s">
        <v>46</v>
      </c>
      <c r="S640" s="7" t="s">
        <v>33</v>
      </c>
      <c r="T640" s="7" t="s">
        <v>34</v>
      </c>
      <c r="U640" s="7">
        <v>3</v>
      </c>
      <c r="V640" s="7" t="str">
        <f>TEXT('E-Commerce Sales Data'!$B640,"mmmm")</f>
        <v>February</v>
      </c>
      <c r="W640" s="8">
        <f t="shared" si="36"/>
        <v>3006590</v>
      </c>
      <c r="X640">
        <f t="shared" si="37"/>
        <v>562</v>
      </c>
      <c r="Y640">
        <f t="shared" si="38"/>
        <v>30803.024911032029</v>
      </c>
      <c r="Z640">
        <f t="shared" si="39"/>
        <v>55</v>
      </c>
    </row>
    <row r="641" spans="1:26" x14ac:dyDescent="0.25">
      <c r="A641" s="9" t="s">
        <v>744</v>
      </c>
      <c r="B641" s="10">
        <v>50105</v>
      </c>
      <c r="C641" s="11" t="s">
        <v>124</v>
      </c>
      <c r="D641" s="11" t="s">
        <v>100</v>
      </c>
      <c r="E641" s="11">
        <v>32</v>
      </c>
      <c r="F641" s="11" t="s">
        <v>38</v>
      </c>
      <c r="G641" s="11" t="s">
        <v>78</v>
      </c>
      <c r="H641" s="11" t="s">
        <v>26</v>
      </c>
      <c r="I641" s="11" t="s">
        <v>27</v>
      </c>
      <c r="J641" s="11" t="s">
        <v>28</v>
      </c>
      <c r="K641" s="11" t="s">
        <v>29</v>
      </c>
      <c r="L641" s="11" t="s">
        <v>53</v>
      </c>
      <c r="M641" s="11" t="s">
        <v>79</v>
      </c>
      <c r="N641" s="11">
        <v>4700</v>
      </c>
      <c r="O641" s="11">
        <v>7</v>
      </c>
      <c r="P641" s="17">
        <v>0</v>
      </c>
      <c r="Q641" s="11">
        <v>1410</v>
      </c>
      <c r="R641" s="11" t="s">
        <v>32</v>
      </c>
      <c r="S641" s="11" t="s">
        <v>33</v>
      </c>
      <c r="T641" s="11" t="s">
        <v>34</v>
      </c>
      <c r="U641" s="11">
        <v>4</v>
      </c>
      <c r="V641" s="11" t="str">
        <f>TEXT('E-Commerce Sales Data'!$B641,"mmmm")</f>
        <v>March</v>
      </c>
      <c r="W641" s="8">
        <f t="shared" si="36"/>
        <v>3005150</v>
      </c>
      <c r="X641">
        <f t="shared" si="37"/>
        <v>561</v>
      </c>
      <c r="Y641">
        <f t="shared" si="38"/>
        <v>30848.039215686276</v>
      </c>
      <c r="Z641">
        <f t="shared" si="39"/>
        <v>55</v>
      </c>
    </row>
    <row r="642" spans="1:26" x14ac:dyDescent="0.25">
      <c r="A642" s="5" t="s">
        <v>745</v>
      </c>
      <c r="B642" s="6">
        <v>50112</v>
      </c>
      <c r="C642" s="7" t="s">
        <v>22</v>
      </c>
      <c r="D642" s="7" t="s">
        <v>23</v>
      </c>
      <c r="E642" s="7">
        <v>28</v>
      </c>
      <c r="F642" s="7" t="s">
        <v>24</v>
      </c>
      <c r="G642" s="7" t="s">
        <v>25</v>
      </c>
      <c r="H642" s="7" t="s">
        <v>26</v>
      </c>
      <c r="I642" s="7" t="s">
        <v>27</v>
      </c>
      <c r="J642" s="7" t="s">
        <v>28</v>
      </c>
      <c r="K642" s="7" t="s">
        <v>29</v>
      </c>
      <c r="L642" s="7" t="s">
        <v>30</v>
      </c>
      <c r="M642" s="7" t="s">
        <v>31</v>
      </c>
      <c r="N642" s="7">
        <v>97000</v>
      </c>
      <c r="O642" s="7">
        <v>1</v>
      </c>
      <c r="P642" s="16">
        <v>0.05</v>
      </c>
      <c r="Q642" s="7">
        <v>12900</v>
      </c>
      <c r="R642" s="7" t="s">
        <v>32</v>
      </c>
      <c r="S642" s="7" t="s">
        <v>47</v>
      </c>
      <c r="T642" s="7" t="s">
        <v>34</v>
      </c>
      <c r="U642" s="7">
        <v>5</v>
      </c>
      <c r="V642" s="7" t="str">
        <f>TEXT('E-Commerce Sales Data'!$B642,"mmmm")</f>
        <v>March</v>
      </c>
      <c r="W642" s="8">
        <f t="shared" si="36"/>
        <v>3003740</v>
      </c>
      <c r="X642">
        <f t="shared" si="37"/>
        <v>560</v>
      </c>
      <c r="Y642">
        <f t="shared" si="38"/>
        <v>30894.732142857141</v>
      </c>
      <c r="Z642">
        <f t="shared" si="39"/>
        <v>55</v>
      </c>
    </row>
    <row r="643" spans="1:26" x14ac:dyDescent="0.25">
      <c r="A643" s="9" t="s">
        <v>746</v>
      </c>
      <c r="B643" s="10">
        <v>50119</v>
      </c>
      <c r="C643" s="11" t="s">
        <v>36</v>
      </c>
      <c r="D643" s="11" t="s">
        <v>37</v>
      </c>
      <c r="E643" s="11">
        <v>34</v>
      </c>
      <c r="F643" s="11" t="s">
        <v>38</v>
      </c>
      <c r="G643" s="11" t="s">
        <v>39</v>
      </c>
      <c r="H643" s="11" t="s">
        <v>40</v>
      </c>
      <c r="I643" s="11" t="s">
        <v>41</v>
      </c>
      <c r="J643" s="11" t="s">
        <v>42</v>
      </c>
      <c r="K643" s="11" t="s">
        <v>43</v>
      </c>
      <c r="L643" s="11" t="s">
        <v>44</v>
      </c>
      <c r="M643" s="11" t="s">
        <v>45</v>
      </c>
      <c r="N643" s="11">
        <v>14900</v>
      </c>
      <c r="O643" s="11">
        <v>3</v>
      </c>
      <c r="P643" s="17">
        <v>0.1</v>
      </c>
      <c r="Q643" s="11">
        <v>3480</v>
      </c>
      <c r="R643" s="11" t="s">
        <v>46</v>
      </c>
      <c r="S643" s="11" t="s">
        <v>33</v>
      </c>
      <c r="T643" s="11" t="s">
        <v>34</v>
      </c>
      <c r="U643" s="11">
        <v>4</v>
      </c>
      <c r="V643" s="11" t="str">
        <f>TEXT('E-Commerce Sales Data'!$B643,"mmmm")</f>
        <v>March</v>
      </c>
      <c r="W643" s="8">
        <f t="shared" ref="W643:W706" si="40">SUM(Q643:Q1842)</f>
        <v>2990840</v>
      </c>
      <c r="X643">
        <f t="shared" ref="X643:X706" si="41">COUNT(E643:E1842)</f>
        <v>559</v>
      </c>
      <c r="Y643">
        <f t="shared" ref="Y643:Y706" si="42">AVERAGE(N643:N1842)</f>
        <v>30776.475849731665</v>
      </c>
      <c r="Z643">
        <f t="shared" ref="Z643:Z706" si="43">MAX(E643:E1842)</f>
        <v>55</v>
      </c>
    </row>
    <row r="644" spans="1:26" x14ac:dyDescent="0.25">
      <c r="A644" s="5" t="s">
        <v>747</v>
      </c>
      <c r="B644" s="6">
        <v>50126</v>
      </c>
      <c r="C644" s="7" t="s">
        <v>49</v>
      </c>
      <c r="D644" s="7" t="s">
        <v>50</v>
      </c>
      <c r="E644" s="7">
        <v>41</v>
      </c>
      <c r="F644" s="7" t="s">
        <v>24</v>
      </c>
      <c r="G644" s="7" t="s">
        <v>51</v>
      </c>
      <c r="H644" s="7" t="s">
        <v>51</v>
      </c>
      <c r="I644" s="7" t="s">
        <v>52</v>
      </c>
      <c r="J644" s="7" t="s">
        <v>28</v>
      </c>
      <c r="K644" s="7" t="s">
        <v>29</v>
      </c>
      <c r="L644" s="7" t="s">
        <v>53</v>
      </c>
      <c r="M644" s="7" t="s">
        <v>54</v>
      </c>
      <c r="N644" s="7">
        <v>34800</v>
      </c>
      <c r="O644" s="7">
        <v>2</v>
      </c>
      <c r="P644" s="16">
        <v>0.05</v>
      </c>
      <c r="Q644" s="7">
        <v>6650</v>
      </c>
      <c r="R644" s="7" t="s">
        <v>55</v>
      </c>
      <c r="S644" s="7" t="s">
        <v>33</v>
      </c>
      <c r="T644" s="7" t="s">
        <v>34</v>
      </c>
      <c r="U644" s="7">
        <v>4</v>
      </c>
      <c r="V644" s="7" t="str">
        <f>TEXT('E-Commerce Sales Data'!$B644,"mmmm")</f>
        <v>March</v>
      </c>
      <c r="W644" s="8">
        <f t="shared" si="40"/>
        <v>2987360</v>
      </c>
      <c r="X644">
        <f t="shared" si="41"/>
        <v>558</v>
      </c>
      <c r="Y644">
        <f t="shared" si="42"/>
        <v>30804.928315412188</v>
      </c>
      <c r="Z644">
        <f t="shared" si="43"/>
        <v>55</v>
      </c>
    </row>
    <row r="645" spans="1:26" x14ac:dyDescent="0.25">
      <c r="A645" s="9" t="s">
        <v>748</v>
      </c>
      <c r="B645" s="10">
        <v>50133</v>
      </c>
      <c r="C645" s="11" t="s">
        <v>57</v>
      </c>
      <c r="D645" s="11" t="s">
        <v>58</v>
      </c>
      <c r="E645" s="11">
        <v>26</v>
      </c>
      <c r="F645" s="11" t="s">
        <v>38</v>
      </c>
      <c r="G645" s="11" t="s">
        <v>59</v>
      </c>
      <c r="H645" s="11" t="s">
        <v>26</v>
      </c>
      <c r="I645" s="11" t="s">
        <v>27</v>
      </c>
      <c r="J645" s="11" t="s">
        <v>28</v>
      </c>
      <c r="K645" s="11" t="s">
        <v>60</v>
      </c>
      <c r="L645" s="11" t="s">
        <v>61</v>
      </c>
      <c r="M645" s="11" t="s">
        <v>86</v>
      </c>
      <c r="N645" s="11">
        <v>1010</v>
      </c>
      <c r="O645" s="11">
        <v>20</v>
      </c>
      <c r="P645" s="17">
        <v>0.02</v>
      </c>
      <c r="Q645" s="11">
        <v>295</v>
      </c>
      <c r="R645" s="11" t="s">
        <v>32</v>
      </c>
      <c r="S645" s="11" t="s">
        <v>33</v>
      </c>
      <c r="T645" s="11" t="s">
        <v>34</v>
      </c>
      <c r="U645" s="11">
        <v>5</v>
      </c>
      <c r="V645" s="11" t="str">
        <f>TEXT('E-Commerce Sales Data'!$B645,"mmmm")</f>
        <v>April</v>
      </c>
      <c r="W645" s="8">
        <f t="shared" si="40"/>
        <v>2980710</v>
      </c>
      <c r="X645">
        <f t="shared" si="41"/>
        <v>557</v>
      </c>
      <c r="Y645">
        <f t="shared" si="42"/>
        <v>30797.755834829444</v>
      </c>
      <c r="Z645">
        <f t="shared" si="43"/>
        <v>55</v>
      </c>
    </row>
    <row r="646" spans="1:26" x14ac:dyDescent="0.25">
      <c r="A646" s="5" t="s">
        <v>749</v>
      </c>
      <c r="B646" s="6">
        <v>50140</v>
      </c>
      <c r="C646" s="7" t="s">
        <v>64</v>
      </c>
      <c r="D646" s="7" t="s">
        <v>65</v>
      </c>
      <c r="E646" s="7">
        <v>39</v>
      </c>
      <c r="F646" s="7" t="s">
        <v>24</v>
      </c>
      <c r="G646" s="7" t="s">
        <v>66</v>
      </c>
      <c r="H646" s="7" t="s">
        <v>67</v>
      </c>
      <c r="I646" s="7" t="s">
        <v>27</v>
      </c>
      <c r="J646" s="7" t="s">
        <v>42</v>
      </c>
      <c r="K646" s="7" t="s">
        <v>43</v>
      </c>
      <c r="L646" s="7" t="s">
        <v>68</v>
      </c>
      <c r="M646" s="7" t="s">
        <v>69</v>
      </c>
      <c r="N646" s="7">
        <v>35800</v>
      </c>
      <c r="O646" s="7">
        <v>2</v>
      </c>
      <c r="P646" s="16">
        <v>0.08</v>
      </c>
      <c r="Q646" s="7">
        <v>6160</v>
      </c>
      <c r="R646" s="7" t="s">
        <v>46</v>
      </c>
      <c r="S646" s="7" t="s">
        <v>47</v>
      </c>
      <c r="T646" s="7" t="s">
        <v>34</v>
      </c>
      <c r="U646" s="7">
        <v>4</v>
      </c>
      <c r="V646" s="7" t="str">
        <f>TEXT('E-Commerce Sales Data'!$B646,"mmmm")</f>
        <v>April</v>
      </c>
      <c r="W646" s="8">
        <f t="shared" si="40"/>
        <v>2980415</v>
      </c>
      <c r="X646">
        <f t="shared" si="41"/>
        <v>556</v>
      </c>
      <c r="Y646">
        <f t="shared" si="42"/>
        <v>30851.330935251797</v>
      </c>
      <c r="Z646">
        <f t="shared" si="43"/>
        <v>55</v>
      </c>
    </row>
    <row r="647" spans="1:26" x14ac:dyDescent="0.25">
      <c r="A647" s="9" t="s">
        <v>750</v>
      </c>
      <c r="B647" s="10">
        <v>50147</v>
      </c>
      <c r="C647" s="11" t="s">
        <v>71</v>
      </c>
      <c r="D647" s="11" t="s">
        <v>72</v>
      </c>
      <c r="E647" s="11">
        <v>31</v>
      </c>
      <c r="F647" s="11" t="s">
        <v>38</v>
      </c>
      <c r="G647" s="11" t="s">
        <v>73</v>
      </c>
      <c r="H647" s="11" t="s">
        <v>74</v>
      </c>
      <c r="I647" s="11" t="s">
        <v>41</v>
      </c>
      <c r="J647" s="11" t="s">
        <v>28</v>
      </c>
      <c r="K647" s="11" t="s">
        <v>29</v>
      </c>
      <c r="L647" s="11" t="s">
        <v>53</v>
      </c>
      <c r="M647" s="11" t="s">
        <v>75</v>
      </c>
      <c r="N647" s="11">
        <v>5250</v>
      </c>
      <c r="O647" s="11">
        <v>3</v>
      </c>
      <c r="P647" s="17">
        <v>0.05</v>
      </c>
      <c r="Q647" s="11">
        <v>1380</v>
      </c>
      <c r="R647" s="11" t="s">
        <v>32</v>
      </c>
      <c r="S647" s="11" t="s">
        <v>33</v>
      </c>
      <c r="T647" s="11" t="s">
        <v>34</v>
      </c>
      <c r="U647" s="11">
        <v>4</v>
      </c>
      <c r="V647" s="11" t="str">
        <f>TEXT('E-Commerce Sales Data'!$B647,"mmmm")</f>
        <v>April</v>
      </c>
      <c r="W647" s="8">
        <f t="shared" si="40"/>
        <v>2974255</v>
      </c>
      <c r="X647">
        <f t="shared" si="41"/>
        <v>555</v>
      </c>
      <c r="Y647">
        <f t="shared" si="42"/>
        <v>30842.414414414416</v>
      </c>
      <c r="Z647">
        <f t="shared" si="43"/>
        <v>55</v>
      </c>
    </row>
    <row r="648" spans="1:26" x14ac:dyDescent="0.25">
      <c r="A648" s="5" t="s">
        <v>751</v>
      </c>
      <c r="B648" s="6">
        <v>50154</v>
      </c>
      <c r="C648" s="7" t="s">
        <v>77</v>
      </c>
      <c r="D648" s="7" t="s">
        <v>23</v>
      </c>
      <c r="E648" s="7">
        <v>29</v>
      </c>
      <c r="F648" s="7" t="s">
        <v>24</v>
      </c>
      <c r="G648" s="7" t="s">
        <v>78</v>
      </c>
      <c r="H648" s="7" t="s">
        <v>26</v>
      </c>
      <c r="I648" s="7" t="s">
        <v>27</v>
      </c>
      <c r="J648" s="7" t="s">
        <v>28</v>
      </c>
      <c r="K648" s="7" t="s">
        <v>29</v>
      </c>
      <c r="L648" s="7" t="s">
        <v>53</v>
      </c>
      <c r="M648" s="7" t="s">
        <v>79</v>
      </c>
      <c r="N648" s="7">
        <v>4800</v>
      </c>
      <c r="O648" s="7">
        <v>6</v>
      </c>
      <c r="P648" s="16">
        <v>0</v>
      </c>
      <c r="Q648" s="7">
        <v>1440</v>
      </c>
      <c r="R648" s="7" t="s">
        <v>80</v>
      </c>
      <c r="S648" s="7" t="s">
        <v>33</v>
      </c>
      <c r="T648" s="7" t="s">
        <v>34</v>
      </c>
      <c r="U648" s="7">
        <v>3</v>
      </c>
      <c r="V648" s="7" t="str">
        <f>TEXT('E-Commerce Sales Data'!$B648,"mmmm")</f>
        <v>April</v>
      </c>
      <c r="W648" s="8">
        <f t="shared" si="40"/>
        <v>2972875</v>
      </c>
      <c r="X648">
        <f t="shared" si="41"/>
        <v>554</v>
      </c>
      <c r="Y648">
        <f t="shared" si="42"/>
        <v>30888.610108303248</v>
      </c>
      <c r="Z648">
        <f t="shared" si="43"/>
        <v>55</v>
      </c>
    </row>
    <row r="649" spans="1:26" x14ac:dyDescent="0.25">
      <c r="A649" s="9" t="s">
        <v>752</v>
      </c>
      <c r="B649" s="10">
        <v>50161</v>
      </c>
      <c r="C649" s="11" t="s">
        <v>82</v>
      </c>
      <c r="D649" s="11" t="s">
        <v>83</v>
      </c>
      <c r="E649" s="11">
        <v>37</v>
      </c>
      <c r="F649" s="11" t="s">
        <v>38</v>
      </c>
      <c r="G649" s="11" t="s">
        <v>84</v>
      </c>
      <c r="H649" s="11" t="s">
        <v>85</v>
      </c>
      <c r="I649" s="11" t="s">
        <v>52</v>
      </c>
      <c r="J649" s="11" t="s">
        <v>42</v>
      </c>
      <c r="K649" s="11" t="s">
        <v>60</v>
      </c>
      <c r="L649" s="11" t="s">
        <v>61</v>
      </c>
      <c r="M649" s="11" t="s">
        <v>62</v>
      </c>
      <c r="N649" s="11">
        <v>8600</v>
      </c>
      <c r="O649" s="11">
        <v>10</v>
      </c>
      <c r="P649" s="17">
        <v>0.02</v>
      </c>
      <c r="Q649" s="11">
        <v>2130</v>
      </c>
      <c r="R649" s="11" t="s">
        <v>32</v>
      </c>
      <c r="S649" s="11" t="s">
        <v>33</v>
      </c>
      <c r="T649" s="11" t="s">
        <v>34</v>
      </c>
      <c r="U649" s="11">
        <v>5</v>
      </c>
      <c r="V649" s="11" t="str">
        <f>TEXT('E-Commerce Sales Data'!$B649,"mmmm")</f>
        <v>May</v>
      </c>
      <c r="W649" s="8">
        <f t="shared" si="40"/>
        <v>2971435</v>
      </c>
      <c r="X649">
        <f t="shared" si="41"/>
        <v>553</v>
      </c>
      <c r="Y649">
        <f t="shared" si="42"/>
        <v>30935.786618444847</v>
      </c>
      <c r="Z649">
        <f t="shared" si="43"/>
        <v>55</v>
      </c>
    </row>
    <row r="650" spans="1:26" x14ac:dyDescent="0.25">
      <c r="A650" s="5" t="s">
        <v>753</v>
      </c>
      <c r="B650" s="6">
        <v>50168</v>
      </c>
      <c r="C650" s="7" t="s">
        <v>88</v>
      </c>
      <c r="D650" s="7" t="s">
        <v>37</v>
      </c>
      <c r="E650" s="7">
        <v>45</v>
      </c>
      <c r="F650" s="7" t="s">
        <v>24</v>
      </c>
      <c r="G650" s="7" t="s">
        <v>89</v>
      </c>
      <c r="H650" s="7" t="s">
        <v>90</v>
      </c>
      <c r="I650" s="7" t="s">
        <v>91</v>
      </c>
      <c r="J650" s="7" t="s">
        <v>42</v>
      </c>
      <c r="K650" s="7" t="s">
        <v>43</v>
      </c>
      <c r="L650" s="7" t="s">
        <v>92</v>
      </c>
      <c r="M650" s="7" t="s">
        <v>93</v>
      </c>
      <c r="N650" s="7">
        <v>23000</v>
      </c>
      <c r="O650" s="7">
        <v>1</v>
      </c>
      <c r="P650" s="16">
        <v>0.1</v>
      </c>
      <c r="Q650" s="7">
        <v>4140</v>
      </c>
      <c r="R650" s="7" t="s">
        <v>46</v>
      </c>
      <c r="S650" s="7" t="s">
        <v>47</v>
      </c>
      <c r="T650" s="7" t="s">
        <v>34</v>
      </c>
      <c r="U650" s="7">
        <v>4</v>
      </c>
      <c r="V650" s="7" t="str">
        <f>TEXT('E-Commerce Sales Data'!$B650,"mmmm")</f>
        <v>May</v>
      </c>
      <c r="W650" s="8">
        <f t="shared" si="40"/>
        <v>2969305</v>
      </c>
      <c r="X650">
        <f t="shared" si="41"/>
        <v>552</v>
      </c>
      <c r="Y650">
        <f t="shared" si="42"/>
        <v>30976.25</v>
      </c>
      <c r="Z650">
        <f t="shared" si="43"/>
        <v>55</v>
      </c>
    </row>
    <row r="651" spans="1:26" x14ac:dyDescent="0.25">
      <c r="A651" s="9" t="s">
        <v>754</v>
      </c>
      <c r="B651" s="10">
        <v>50175</v>
      </c>
      <c r="C651" s="11" t="s">
        <v>95</v>
      </c>
      <c r="D651" s="11" t="s">
        <v>65</v>
      </c>
      <c r="E651" s="11">
        <v>25</v>
      </c>
      <c r="F651" s="11" t="s">
        <v>38</v>
      </c>
      <c r="G651" s="11" t="s">
        <v>25</v>
      </c>
      <c r="H651" s="11" t="s">
        <v>26</v>
      </c>
      <c r="I651" s="11" t="s">
        <v>27</v>
      </c>
      <c r="J651" s="11" t="s">
        <v>28</v>
      </c>
      <c r="K651" s="11" t="s">
        <v>29</v>
      </c>
      <c r="L651" s="11" t="s">
        <v>96</v>
      </c>
      <c r="M651" s="11" t="s">
        <v>97</v>
      </c>
      <c r="N651" s="11">
        <v>25200</v>
      </c>
      <c r="O651" s="11">
        <v>2</v>
      </c>
      <c r="P651" s="17">
        <v>0.05</v>
      </c>
      <c r="Q651" s="11">
        <v>4900</v>
      </c>
      <c r="R651" s="11" t="s">
        <v>32</v>
      </c>
      <c r="S651" s="11" t="s">
        <v>33</v>
      </c>
      <c r="T651" s="11" t="s">
        <v>34</v>
      </c>
      <c r="U651" s="11">
        <v>4</v>
      </c>
      <c r="V651" s="11" t="str">
        <f>TEXT('E-Commerce Sales Data'!$B651,"mmmm")</f>
        <v>May</v>
      </c>
      <c r="W651" s="8">
        <f t="shared" si="40"/>
        <v>2965165</v>
      </c>
      <c r="X651">
        <f t="shared" si="41"/>
        <v>551</v>
      </c>
      <c r="Y651">
        <f t="shared" si="42"/>
        <v>30990.725952813067</v>
      </c>
      <c r="Z651">
        <f t="shared" si="43"/>
        <v>55</v>
      </c>
    </row>
    <row r="652" spans="1:26" x14ac:dyDescent="0.25">
      <c r="A652" s="5" t="s">
        <v>755</v>
      </c>
      <c r="B652" s="6">
        <v>50182</v>
      </c>
      <c r="C652" s="7" t="s">
        <v>99</v>
      </c>
      <c r="D652" s="7" t="s">
        <v>100</v>
      </c>
      <c r="E652" s="7">
        <v>33</v>
      </c>
      <c r="F652" s="7" t="s">
        <v>24</v>
      </c>
      <c r="G652" s="7" t="s">
        <v>101</v>
      </c>
      <c r="H652" s="7" t="s">
        <v>102</v>
      </c>
      <c r="I652" s="7" t="s">
        <v>41</v>
      </c>
      <c r="J652" s="7" t="s">
        <v>28</v>
      </c>
      <c r="K652" s="7" t="s">
        <v>60</v>
      </c>
      <c r="L652" s="7" t="s">
        <v>53</v>
      </c>
      <c r="M652" s="7" t="s">
        <v>103</v>
      </c>
      <c r="N652" s="7">
        <v>1470</v>
      </c>
      <c r="O652" s="7">
        <v>25</v>
      </c>
      <c r="P652" s="16">
        <v>0</v>
      </c>
      <c r="Q652" s="7">
        <v>460</v>
      </c>
      <c r="R652" s="7" t="s">
        <v>55</v>
      </c>
      <c r="S652" s="7" t="s">
        <v>33</v>
      </c>
      <c r="T652" s="7" t="s">
        <v>34</v>
      </c>
      <c r="U652" s="7">
        <v>5</v>
      </c>
      <c r="V652" s="7" t="str">
        <f>TEXT('E-Commerce Sales Data'!$B652,"mmmm")</f>
        <v>May</v>
      </c>
      <c r="W652" s="8">
        <f t="shared" si="40"/>
        <v>2960265</v>
      </c>
      <c r="X652">
        <f t="shared" si="41"/>
        <v>550</v>
      </c>
      <c r="Y652">
        <f t="shared" si="42"/>
        <v>31001.254545454547</v>
      </c>
      <c r="Z652">
        <f t="shared" si="43"/>
        <v>55</v>
      </c>
    </row>
    <row r="653" spans="1:26" x14ac:dyDescent="0.25">
      <c r="A653" s="9" t="s">
        <v>756</v>
      </c>
      <c r="B653" s="10">
        <v>50189</v>
      </c>
      <c r="C653" s="11" t="s">
        <v>105</v>
      </c>
      <c r="D653" s="11" t="s">
        <v>58</v>
      </c>
      <c r="E653" s="11">
        <v>42</v>
      </c>
      <c r="F653" s="11" t="s">
        <v>38</v>
      </c>
      <c r="G653" s="11" t="s">
        <v>51</v>
      </c>
      <c r="H653" s="11" t="s">
        <v>51</v>
      </c>
      <c r="I653" s="11" t="s">
        <v>52</v>
      </c>
      <c r="J653" s="11" t="s">
        <v>42</v>
      </c>
      <c r="K653" s="11" t="s">
        <v>43</v>
      </c>
      <c r="L653" s="11" t="s">
        <v>68</v>
      </c>
      <c r="M653" s="11" t="s">
        <v>106</v>
      </c>
      <c r="N653" s="11">
        <v>37400</v>
      </c>
      <c r="O653" s="11">
        <v>1</v>
      </c>
      <c r="P653" s="17">
        <v>0.08</v>
      </c>
      <c r="Q653" s="11">
        <v>7850</v>
      </c>
      <c r="R653" s="11" t="s">
        <v>46</v>
      </c>
      <c r="S653" s="11" t="s">
        <v>47</v>
      </c>
      <c r="T653" s="11" t="s">
        <v>34</v>
      </c>
      <c r="U653" s="11">
        <v>4</v>
      </c>
      <c r="V653" s="11" t="str">
        <f>TEXT('E-Commerce Sales Data'!$B653,"mmmm")</f>
        <v>May</v>
      </c>
      <c r="W653" s="8">
        <f t="shared" si="40"/>
        <v>2959805</v>
      </c>
      <c r="X653">
        <f t="shared" si="41"/>
        <v>549</v>
      </c>
      <c r="Y653">
        <f t="shared" si="42"/>
        <v>31055.045537340618</v>
      </c>
      <c r="Z653">
        <f t="shared" si="43"/>
        <v>55</v>
      </c>
    </row>
    <row r="654" spans="1:26" x14ac:dyDescent="0.25">
      <c r="A654" s="5" t="s">
        <v>757</v>
      </c>
      <c r="B654" s="6">
        <v>50196</v>
      </c>
      <c r="C654" s="7" t="s">
        <v>108</v>
      </c>
      <c r="D654" s="7" t="s">
        <v>23</v>
      </c>
      <c r="E654" s="7">
        <v>30</v>
      </c>
      <c r="F654" s="7" t="s">
        <v>24</v>
      </c>
      <c r="G654" s="7" t="s">
        <v>59</v>
      </c>
      <c r="H654" s="7" t="s">
        <v>26</v>
      </c>
      <c r="I654" s="7" t="s">
        <v>27</v>
      </c>
      <c r="J654" s="7" t="s">
        <v>28</v>
      </c>
      <c r="K654" s="7" t="s">
        <v>29</v>
      </c>
      <c r="L654" s="7" t="s">
        <v>30</v>
      </c>
      <c r="M654" s="7" t="s">
        <v>31</v>
      </c>
      <c r="N654" s="7">
        <v>102500</v>
      </c>
      <c r="O654" s="7">
        <v>1</v>
      </c>
      <c r="P654" s="16">
        <v>0.1</v>
      </c>
      <c r="Q654" s="7">
        <v>12000</v>
      </c>
      <c r="R654" s="7" t="s">
        <v>32</v>
      </c>
      <c r="S654" s="7" t="s">
        <v>47</v>
      </c>
      <c r="T654" s="7" t="s">
        <v>34</v>
      </c>
      <c r="U654" s="7">
        <v>5</v>
      </c>
      <c r="V654" s="7" t="str">
        <f>TEXT('E-Commerce Sales Data'!$B654,"mmmm")</f>
        <v>June</v>
      </c>
      <c r="W654" s="8">
        <f t="shared" si="40"/>
        <v>2951955</v>
      </c>
      <c r="X654">
        <f t="shared" si="41"/>
        <v>548</v>
      </c>
      <c r="Y654">
        <f t="shared" si="42"/>
        <v>31043.467153284673</v>
      </c>
      <c r="Z654">
        <f t="shared" si="43"/>
        <v>55</v>
      </c>
    </row>
    <row r="655" spans="1:26" x14ac:dyDescent="0.25">
      <c r="A655" s="9" t="s">
        <v>758</v>
      </c>
      <c r="B655" s="10">
        <v>50203</v>
      </c>
      <c r="C655" s="11" t="s">
        <v>110</v>
      </c>
      <c r="D655" s="11" t="s">
        <v>37</v>
      </c>
      <c r="E655" s="11">
        <v>36</v>
      </c>
      <c r="F655" s="11" t="s">
        <v>38</v>
      </c>
      <c r="G655" s="11" t="s">
        <v>66</v>
      </c>
      <c r="H655" s="11" t="s">
        <v>67</v>
      </c>
      <c r="I655" s="11" t="s">
        <v>27</v>
      </c>
      <c r="J655" s="11" t="s">
        <v>28</v>
      </c>
      <c r="K655" s="11" t="s">
        <v>60</v>
      </c>
      <c r="L655" s="11" t="s">
        <v>92</v>
      </c>
      <c r="M655" s="11" t="s">
        <v>111</v>
      </c>
      <c r="N655" s="11">
        <v>1920</v>
      </c>
      <c r="O655" s="11">
        <v>15</v>
      </c>
      <c r="P655" s="17">
        <v>0.05</v>
      </c>
      <c r="Q655" s="11">
        <v>615</v>
      </c>
      <c r="R655" s="11" t="s">
        <v>80</v>
      </c>
      <c r="S655" s="11" t="s">
        <v>33</v>
      </c>
      <c r="T655" s="11" t="s">
        <v>34</v>
      </c>
      <c r="U655" s="11">
        <v>4</v>
      </c>
      <c r="V655" s="11" t="str">
        <f>TEXT('E-Commerce Sales Data'!$B655,"mmmm")</f>
        <v>June</v>
      </c>
      <c r="W655" s="8">
        <f t="shared" si="40"/>
        <v>2939955</v>
      </c>
      <c r="X655">
        <f t="shared" si="41"/>
        <v>547</v>
      </c>
      <c r="Y655">
        <f t="shared" si="42"/>
        <v>30912.833638025593</v>
      </c>
      <c r="Z655">
        <f t="shared" si="43"/>
        <v>55</v>
      </c>
    </row>
    <row r="656" spans="1:26" x14ac:dyDescent="0.25">
      <c r="A656" s="5" t="s">
        <v>759</v>
      </c>
      <c r="B656" s="6">
        <v>50210</v>
      </c>
      <c r="C656" s="7" t="s">
        <v>113</v>
      </c>
      <c r="D656" s="7" t="s">
        <v>114</v>
      </c>
      <c r="E656" s="7">
        <v>40</v>
      </c>
      <c r="F656" s="7" t="s">
        <v>24</v>
      </c>
      <c r="G656" s="7" t="s">
        <v>73</v>
      </c>
      <c r="H656" s="7" t="s">
        <v>74</v>
      </c>
      <c r="I656" s="7" t="s">
        <v>41</v>
      </c>
      <c r="J656" s="7" t="s">
        <v>42</v>
      </c>
      <c r="K656" s="7" t="s">
        <v>43</v>
      </c>
      <c r="L656" s="7" t="s">
        <v>44</v>
      </c>
      <c r="M656" s="7" t="s">
        <v>45</v>
      </c>
      <c r="N656" s="7">
        <v>18400</v>
      </c>
      <c r="O656" s="7">
        <v>4</v>
      </c>
      <c r="P656" s="16">
        <v>7.0000000000000007E-2</v>
      </c>
      <c r="Q656" s="7">
        <v>4200</v>
      </c>
      <c r="R656" s="7" t="s">
        <v>46</v>
      </c>
      <c r="S656" s="7" t="s">
        <v>33</v>
      </c>
      <c r="T656" s="7" t="s">
        <v>34</v>
      </c>
      <c r="U656" s="7">
        <v>4</v>
      </c>
      <c r="V656" s="7" t="str">
        <f>TEXT('E-Commerce Sales Data'!$B656,"mmmm")</f>
        <v>June</v>
      </c>
      <c r="W656" s="8">
        <f t="shared" si="40"/>
        <v>2939340</v>
      </c>
      <c r="X656">
        <f t="shared" si="41"/>
        <v>546</v>
      </c>
      <c r="Y656">
        <f t="shared" si="42"/>
        <v>30965.934065934067</v>
      </c>
      <c r="Z656">
        <f t="shared" si="43"/>
        <v>55</v>
      </c>
    </row>
    <row r="657" spans="1:26" x14ac:dyDescent="0.25">
      <c r="A657" s="9" t="s">
        <v>760</v>
      </c>
      <c r="B657" s="10">
        <v>50217</v>
      </c>
      <c r="C657" s="11" t="s">
        <v>116</v>
      </c>
      <c r="D657" s="11" t="s">
        <v>83</v>
      </c>
      <c r="E657" s="11">
        <v>27</v>
      </c>
      <c r="F657" s="11" t="s">
        <v>38</v>
      </c>
      <c r="G657" s="11" t="s">
        <v>39</v>
      </c>
      <c r="H657" s="11" t="s">
        <v>40</v>
      </c>
      <c r="I657" s="11" t="s">
        <v>41</v>
      </c>
      <c r="J657" s="11" t="s">
        <v>28</v>
      </c>
      <c r="K657" s="11" t="s">
        <v>29</v>
      </c>
      <c r="L657" s="11" t="s">
        <v>53</v>
      </c>
      <c r="M657" s="11" t="s">
        <v>54</v>
      </c>
      <c r="N657" s="11">
        <v>37600</v>
      </c>
      <c r="O657" s="11">
        <v>2</v>
      </c>
      <c r="P657" s="17">
        <v>0.05</v>
      </c>
      <c r="Q657" s="11">
        <v>7250</v>
      </c>
      <c r="R657" s="11" t="s">
        <v>32</v>
      </c>
      <c r="S657" s="11" t="s">
        <v>47</v>
      </c>
      <c r="T657" s="11" t="s">
        <v>34</v>
      </c>
      <c r="U657" s="11">
        <v>5</v>
      </c>
      <c r="V657" s="11" t="str">
        <f>TEXT('E-Commerce Sales Data'!$B657,"mmmm")</f>
        <v>June</v>
      </c>
      <c r="W657" s="8">
        <f t="shared" si="40"/>
        <v>2935140</v>
      </c>
      <c r="X657">
        <f t="shared" si="41"/>
        <v>545</v>
      </c>
      <c r="Y657">
        <f t="shared" si="42"/>
        <v>30988.990825688074</v>
      </c>
      <c r="Z657">
        <f t="shared" si="43"/>
        <v>55</v>
      </c>
    </row>
    <row r="658" spans="1:26" x14ac:dyDescent="0.25">
      <c r="A658" s="5" t="s">
        <v>761</v>
      </c>
      <c r="B658" s="6">
        <v>50224</v>
      </c>
      <c r="C658" s="7" t="s">
        <v>118</v>
      </c>
      <c r="D658" s="7" t="s">
        <v>72</v>
      </c>
      <c r="E658" s="7">
        <v>35</v>
      </c>
      <c r="F658" s="7" t="s">
        <v>24</v>
      </c>
      <c r="G658" s="7" t="s">
        <v>84</v>
      </c>
      <c r="H658" s="7" t="s">
        <v>85</v>
      </c>
      <c r="I658" s="7" t="s">
        <v>52</v>
      </c>
      <c r="J658" s="7" t="s">
        <v>42</v>
      </c>
      <c r="K658" s="7" t="s">
        <v>60</v>
      </c>
      <c r="L658" s="7" t="s">
        <v>61</v>
      </c>
      <c r="M658" s="7" t="s">
        <v>62</v>
      </c>
      <c r="N658" s="7">
        <v>8700</v>
      </c>
      <c r="O658" s="7">
        <v>10</v>
      </c>
      <c r="P658" s="16">
        <v>0.03</v>
      </c>
      <c r="Q658" s="7">
        <v>2160</v>
      </c>
      <c r="R658" s="7" t="s">
        <v>55</v>
      </c>
      <c r="S658" s="7" t="s">
        <v>33</v>
      </c>
      <c r="T658" s="7" t="s">
        <v>34</v>
      </c>
      <c r="U658" s="7">
        <v>4</v>
      </c>
      <c r="V658" s="7" t="str">
        <f>TEXT('E-Commerce Sales Data'!$B658,"mmmm")</f>
        <v>July</v>
      </c>
      <c r="W658" s="8">
        <f t="shared" si="40"/>
        <v>2927890</v>
      </c>
      <c r="X658">
        <f t="shared" si="41"/>
        <v>544</v>
      </c>
      <c r="Y658">
        <f t="shared" si="42"/>
        <v>30976.838235294119</v>
      </c>
      <c r="Z658">
        <f t="shared" si="43"/>
        <v>55</v>
      </c>
    </row>
    <row r="659" spans="1:26" x14ac:dyDescent="0.25">
      <c r="A659" s="9" t="s">
        <v>762</v>
      </c>
      <c r="B659" s="10">
        <v>50231</v>
      </c>
      <c r="C659" s="11" t="s">
        <v>120</v>
      </c>
      <c r="D659" s="11" t="s">
        <v>23</v>
      </c>
      <c r="E659" s="11">
        <v>24</v>
      </c>
      <c r="F659" s="11" t="s">
        <v>38</v>
      </c>
      <c r="G659" s="11" t="s">
        <v>25</v>
      </c>
      <c r="H659" s="11" t="s">
        <v>26</v>
      </c>
      <c r="I659" s="11" t="s">
        <v>27</v>
      </c>
      <c r="J659" s="11" t="s">
        <v>28</v>
      </c>
      <c r="K659" s="11" t="s">
        <v>43</v>
      </c>
      <c r="L659" s="11" t="s">
        <v>68</v>
      </c>
      <c r="M659" s="11" t="s">
        <v>69</v>
      </c>
      <c r="N659" s="11">
        <v>34900</v>
      </c>
      <c r="O659" s="11">
        <v>2</v>
      </c>
      <c r="P659" s="17">
        <v>0.1</v>
      </c>
      <c r="Q659" s="11">
        <v>5640</v>
      </c>
      <c r="R659" s="11" t="s">
        <v>32</v>
      </c>
      <c r="S659" s="11" t="s">
        <v>47</v>
      </c>
      <c r="T659" s="11" t="s">
        <v>34</v>
      </c>
      <c r="U659" s="11">
        <v>5</v>
      </c>
      <c r="V659" s="11" t="str">
        <f>TEXT('E-Commerce Sales Data'!$B659,"mmmm")</f>
        <v>July</v>
      </c>
      <c r="W659" s="8">
        <f t="shared" si="40"/>
        <v>2925730</v>
      </c>
      <c r="X659">
        <f t="shared" si="41"/>
        <v>543</v>
      </c>
      <c r="Y659">
        <f t="shared" si="42"/>
        <v>31017.863720073667</v>
      </c>
      <c r="Z659">
        <f t="shared" si="43"/>
        <v>55</v>
      </c>
    </row>
    <row r="660" spans="1:26" x14ac:dyDescent="0.25">
      <c r="A660" s="5" t="s">
        <v>763</v>
      </c>
      <c r="B660" s="6">
        <v>50238</v>
      </c>
      <c r="C660" s="7" t="s">
        <v>122</v>
      </c>
      <c r="D660" s="7" t="s">
        <v>50</v>
      </c>
      <c r="E660" s="7">
        <v>43</v>
      </c>
      <c r="F660" s="7" t="s">
        <v>24</v>
      </c>
      <c r="G660" s="7" t="s">
        <v>101</v>
      </c>
      <c r="H660" s="7" t="s">
        <v>102</v>
      </c>
      <c r="I660" s="7" t="s">
        <v>41</v>
      </c>
      <c r="J660" s="7" t="s">
        <v>42</v>
      </c>
      <c r="K660" s="7" t="s">
        <v>29</v>
      </c>
      <c r="L660" s="7" t="s">
        <v>53</v>
      </c>
      <c r="M660" s="7" t="s">
        <v>75</v>
      </c>
      <c r="N660" s="7">
        <v>5650</v>
      </c>
      <c r="O660" s="7">
        <v>4</v>
      </c>
      <c r="P660" s="16">
        <v>0.05</v>
      </c>
      <c r="Q660" s="7">
        <v>1470</v>
      </c>
      <c r="R660" s="7" t="s">
        <v>46</v>
      </c>
      <c r="S660" s="7" t="s">
        <v>33</v>
      </c>
      <c r="T660" s="7" t="s">
        <v>34</v>
      </c>
      <c r="U660" s="7">
        <v>3</v>
      </c>
      <c r="V660" s="7" t="str">
        <f>TEXT('E-Commerce Sales Data'!$B660,"mmmm")</f>
        <v>July</v>
      </c>
      <c r="W660" s="8">
        <f t="shared" si="40"/>
        <v>2920090</v>
      </c>
      <c r="X660">
        <f t="shared" si="41"/>
        <v>542</v>
      </c>
      <c r="Y660">
        <f t="shared" si="42"/>
        <v>31010.701107011071</v>
      </c>
      <c r="Z660">
        <f t="shared" si="43"/>
        <v>55</v>
      </c>
    </row>
    <row r="661" spans="1:26" x14ac:dyDescent="0.25">
      <c r="A661" s="9" t="s">
        <v>764</v>
      </c>
      <c r="B661" s="10">
        <v>50245</v>
      </c>
      <c r="C661" s="11" t="s">
        <v>124</v>
      </c>
      <c r="D661" s="11" t="s">
        <v>100</v>
      </c>
      <c r="E661" s="11">
        <v>32</v>
      </c>
      <c r="F661" s="11" t="s">
        <v>38</v>
      </c>
      <c r="G661" s="11" t="s">
        <v>78</v>
      </c>
      <c r="H661" s="11" t="s">
        <v>26</v>
      </c>
      <c r="I661" s="11" t="s">
        <v>27</v>
      </c>
      <c r="J661" s="11" t="s">
        <v>28</v>
      </c>
      <c r="K661" s="11" t="s">
        <v>29</v>
      </c>
      <c r="L661" s="11" t="s">
        <v>53</v>
      </c>
      <c r="M661" s="11" t="s">
        <v>79</v>
      </c>
      <c r="N661" s="11">
        <v>4900</v>
      </c>
      <c r="O661" s="11">
        <v>7</v>
      </c>
      <c r="P661" s="17">
        <v>0</v>
      </c>
      <c r="Q661" s="11">
        <v>1470</v>
      </c>
      <c r="R661" s="11" t="s">
        <v>32</v>
      </c>
      <c r="S661" s="11" t="s">
        <v>33</v>
      </c>
      <c r="T661" s="11" t="s">
        <v>34</v>
      </c>
      <c r="U661" s="11">
        <v>4</v>
      </c>
      <c r="V661" s="11" t="str">
        <f>TEXT('E-Commerce Sales Data'!$B661,"mmmm")</f>
        <v>July</v>
      </c>
      <c r="W661" s="8">
        <f t="shared" si="40"/>
        <v>2918620</v>
      </c>
      <c r="X661">
        <f t="shared" si="41"/>
        <v>541</v>
      </c>
      <c r="Y661">
        <f t="shared" si="42"/>
        <v>31057.578558225508</v>
      </c>
      <c r="Z661">
        <f t="shared" si="43"/>
        <v>55</v>
      </c>
    </row>
    <row r="662" spans="1:26" x14ac:dyDescent="0.25">
      <c r="A662" s="5" t="s">
        <v>765</v>
      </c>
      <c r="B662" s="6">
        <v>50252</v>
      </c>
      <c r="C662" s="7" t="s">
        <v>22</v>
      </c>
      <c r="D662" s="7" t="s">
        <v>23</v>
      </c>
      <c r="E662" s="7">
        <v>28</v>
      </c>
      <c r="F662" s="7" t="s">
        <v>24</v>
      </c>
      <c r="G662" s="7" t="s">
        <v>25</v>
      </c>
      <c r="H662" s="7" t="s">
        <v>26</v>
      </c>
      <c r="I662" s="7" t="s">
        <v>27</v>
      </c>
      <c r="J662" s="7" t="s">
        <v>28</v>
      </c>
      <c r="K662" s="7" t="s">
        <v>29</v>
      </c>
      <c r="L662" s="7" t="s">
        <v>30</v>
      </c>
      <c r="M662" s="7" t="s">
        <v>31</v>
      </c>
      <c r="N662" s="7">
        <v>98500</v>
      </c>
      <c r="O662" s="7">
        <v>1</v>
      </c>
      <c r="P662" s="16">
        <v>0.05</v>
      </c>
      <c r="Q662" s="7">
        <v>13100</v>
      </c>
      <c r="R662" s="7" t="s">
        <v>32</v>
      </c>
      <c r="S662" s="7" t="s">
        <v>47</v>
      </c>
      <c r="T662" s="7" t="s">
        <v>34</v>
      </c>
      <c r="U662" s="7">
        <v>5</v>
      </c>
      <c r="V662" s="7" t="str">
        <f>TEXT('E-Commerce Sales Data'!$B662,"mmmm")</f>
        <v>July</v>
      </c>
      <c r="W662" s="8">
        <f t="shared" si="40"/>
        <v>2917150</v>
      </c>
      <c r="X662">
        <f t="shared" si="41"/>
        <v>540</v>
      </c>
      <c r="Y662">
        <f t="shared" si="42"/>
        <v>31106.018518518518</v>
      </c>
      <c r="Z662">
        <f t="shared" si="43"/>
        <v>55</v>
      </c>
    </row>
    <row r="663" spans="1:26" x14ac:dyDescent="0.25">
      <c r="A663" s="9" t="s">
        <v>766</v>
      </c>
      <c r="B663" s="10">
        <v>50259</v>
      </c>
      <c r="C663" s="11" t="s">
        <v>36</v>
      </c>
      <c r="D663" s="11" t="s">
        <v>37</v>
      </c>
      <c r="E663" s="11">
        <v>34</v>
      </c>
      <c r="F663" s="11" t="s">
        <v>38</v>
      </c>
      <c r="G663" s="11" t="s">
        <v>39</v>
      </c>
      <c r="H663" s="11" t="s">
        <v>40</v>
      </c>
      <c r="I663" s="11" t="s">
        <v>41</v>
      </c>
      <c r="J663" s="11" t="s">
        <v>42</v>
      </c>
      <c r="K663" s="11" t="s">
        <v>43</v>
      </c>
      <c r="L663" s="11" t="s">
        <v>44</v>
      </c>
      <c r="M663" s="11" t="s">
        <v>45</v>
      </c>
      <c r="N663" s="11">
        <v>15200</v>
      </c>
      <c r="O663" s="11">
        <v>3</v>
      </c>
      <c r="P663" s="17">
        <v>0.1</v>
      </c>
      <c r="Q663" s="11">
        <v>3560</v>
      </c>
      <c r="R663" s="11" t="s">
        <v>46</v>
      </c>
      <c r="S663" s="11" t="s">
        <v>33</v>
      </c>
      <c r="T663" s="11" t="s">
        <v>34</v>
      </c>
      <c r="U663" s="11">
        <v>4</v>
      </c>
      <c r="V663" s="11" t="str">
        <f>TEXT('E-Commerce Sales Data'!$B663,"mmmm")</f>
        <v>August</v>
      </c>
      <c r="W663" s="8">
        <f t="shared" si="40"/>
        <v>2904050</v>
      </c>
      <c r="X663">
        <f t="shared" si="41"/>
        <v>539</v>
      </c>
      <c r="Y663">
        <f t="shared" si="42"/>
        <v>30980.983302411874</v>
      </c>
      <c r="Z663">
        <f t="shared" si="43"/>
        <v>55</v>
      </c>
    </row>
    <row r="664" spans="1:26" x14ac:dyDescent="0.25">
      <c r="A664" s="5" t="s">
        <v>767</v>
      </c>
      <c r="B664" s="6">
        <v>50266</v>
      </c>
      <c r="C664" s="7" t="s">
        <v>49</v>
      </c>
      <c r="D664" s="7" t="s">
        <v>50</v>
      </c>
      <c r="E664" s="7">
        <v>41</v>
      </c>
      <c r="F664" s="7" t="s">
        <v>24</v>
      </c>
      <c r="G664" s="7" t="s">
        <v>51</v>
      </c>
      <c r="H664" s="7" t="s">
        <v>51</v>
      </c>
      <c r="I664" s="7" t="s">
        <v>52</v>
      </c>
      <c r="J664" s="7" t="s">
        <v>28</v>
      </c>
      <c r="K664" s="7" t="s">
        <v>29</v>
      </c>
      <c r="L664" s="7" t="s">
        <v>53</v>
      </c>
      <c r="M664" s="7" t="s">
        <v>54</v>
      </c>
      <c r="N664" s="7">
        <v>35500</v>
      </c>
      <c r="O664" s="7">
        <v>2</v>
      </c>
      <c r="P664" s="16">
        <v>0.05</v>
      </c>
      <c r="Q664" s="7">
        <v>6800</v>
      </c>
      <c r="R664" s="7" t="s">
        <v>55</v>
      </c>
      <c r="S664" s="7" t="s">
        <v>33</v>
      </c>
      <c r="T664" s="7" t="s">
        <v>34</v>
      </c>
      <c r="U664" s="7">
        <v>4</v>
      </c>
      <c r="V664" s="7" t="str">
        <f>TEXT('E-Commerce Sales Data'!$B664,"mmmm")</f>
        <v>August</v>
      </c>
      <c r="W664" s="8">
        <f t="shared" si="40"/>
        <v>2900490</v>
      </c>
      <c r="X664">
        <f t="shared" si="41"/>
        <v>538</v>
      </c>
      <c r="Y664">
        <f t="shared" si="42"/>
        <v>31010.31598513011</v>
      </c>
      <c r="Z664">
        <f t="shared" si="43"/>
        <v>55</v>
      </c>
    </row>
    <row r="665" spans="1:26" x14ac:dyDescent="0.25">
      <c r="A665" s="9" t="s">
        <v>768</v>
      </c>
      <c r="B665" s="10">
        <v>50273</v>
      </c>
      <c r="C665" s="11" t="s">
        <v>57</v>
      </c>
      <c r="D665" s="11" t="s">
        <v>58</v>
      </c>
      <c r="E665" s="11">
        <v>26</v>
      </c>
      <c r="F665" s="11" t="s">
        <v>38</v>
      </c>
      <c r="G665" s="11" t="s">
        <v>59</v>
      </c>
      <c r="H665" s="11" t="s">
        <v>26</v>
      </c>
      <c r="I665" s="11" t="s">
        <v>27</v>
      </c>
      <c r="J665" s="11" t="s">
        <v>28</v>
      </c>
      <c r="K665" s="11" t="s">
        <v>60</v>
      </c>
      <c r="L665" s="11" t="s">
        <v>61</v>
      </c>
      <c r="M665" s="11" t="s">
        <v>86</v>
      </c>
      <c r="N665" s="11">
        <v>1030</v>
      </c>
      <c r="O665" s="11">
        <v>20</v>
      </c>
      <c r="P665" s="17">
        <v>0.02</v>
      </c>
      <c r="Q665" s="11">
        <v>305</v>
      </c>
      <c r="R665" s="11" t="s">
        <v>32</v>
      </c>
      <c r="S665" s="11" t="s">
        <v>33</v>
      </c>
      <c r="T665" s="11" t="s">
        <v>34</v>
      </c>
      <c r="U665" s="11">
        <v>5</v>
      </c>
      <c r="V665" s="11" t="str">
        <f>TEXT('E-Commerce Sales Data'!$B665,"mmmm")</f>
        <v>August</v>
      </c>
      <c r="W665" s="8">
        <f t="shared" si="40"/>
        <v>2893690</v>
      </c>
      <c r="X665">
        <f t="shared" si="41"/>
        <v>537</v>
      </c>
      <c r="Y665">
        <f t="shared" si="42"/>
        <v>31001.955307262571</v>
      </c>
      <c r="Z665">
        <f t="shared" si="43"/>
        <v>55</v>
      </c>
    </row>
    <row r="666" spans="1:26" x14ac:dyDescent="0.25">
      <c r="A666" s="5" t="s">
        <v>769</v>
      </c>
      <c r="B666" s="6">
        <v>50280</v>
      </c>
      <c r="C666" s="7" t="s">
        <v>64</v>
      </c>
      <c r="D666" s="7" t="s">
        <v>65</v>
      </c>
      <c r="E666" s="7">
        <v>39</v>
      </c>
      <c r="F666" s="7" t="s">
        <v>24</v>
      </c>
      <c r="G666" s="7" t="s">
        <v>66</v>
      </c>
      <c r="H666" s="7" t="s">
        <v>67</v>
      </c>
      <c r="I666" s="7" t="s">
        <v>27</v>
      </c>
      <c r="J666" s="7" t="s">
        <v>42</v>
      </c>
      <c r="K666" s="7" t="s">
        <v>43</v>
      </c>
      <c r="L666" s="7" t="s">
        <v>68</v>
      </c>
      <c r="M666" s="7" t="s">
        <v>69</v>
      </c>
      <c r="N666" s="7">
        <v>36600</v>
      </c>
      <c r="O666" s="7">
        <v>2</v>
      </c>
      <c r="P666" s="16">
        <v>0.08</v>
      </c>
      <c r="Q666" s="7">
        <v>6300</v>
      </c>
      <c r="R666" s="7" t="s">
        <v>46</v>
      </c>
      <c r="S666" s="7" t="s">
        <v>47</v>
      </c>
      <c r="T666" s="7" t="s">
        <v>34</v>
      </c>
      <c r="U666" s="7">
        <v>4</v>
      </c>
      <c r="V666" s="7" t="str">
        <f>TEXT('E-Commerce Sales Data'!$B666,"mmmm")</f>
        <v>August</v>
      </c>
      <c r="W666" s="8">
        <f t="shared" si="40"/>
        <v>2893385</v>
      </c>
      <c r="X666">
        <f t="shared" si="41"/>
        <v>536</v>
      </c>
      <c r="Y666">
        <f t="shared" si="42"/>
        <v>31057.873134328358</v>
      </c>
      <c r="Z666">
        <f t="shared" si="43"/>
        <v>55</v>
      </c>
    </row>
    <row r="667" spans="1:26" x14ac:dyDescent="0.25">
      <c r="A667" s="9" t="s">
        <v>770</v>
      </c>
      <c r="B667" s="10">
        <v>50287</v>
      </c>
      <c r="C667" s="11" t="s">
        <v>71</v>
      </c>
      <c r="D667" s="11" t="s">
        <v>72</v>
      </c>
      <c r="E667" s="11">
        <v>31</v>
      </c>
      <c r="F667" s="11" t="s">
        <v>38</v>
      </c>
      <c r="G667" s="11" t="s">
        <v>73</v>
      </c>
      <c r="H667" s="11" t="s">
        <v>74</v>
      </c>
      <c r="I667" s="11" t="s">
        <v>41</v>
      </c>
      <c r="J667" s="11" t="s">
        <v>28</v>
      </c>
      <c r="K667" s="11" t="s">
        <v>29</v>
      </c>
      <c r="L667" s="11" t="s">
        <v>53</v>
      </c>
      <c r="M667" s="11" t="s">
        <v>75</v>
      </c>
      <c r="N667" s="11">
        <v>5350</v>
      </c>
      <c r="O667" s="11">
        <v>3</v>
      </c>
      <c r="P667" s="17">
        <v>0.05</v>
      </c>
      <c r="Q667" s="11">
        <v>1410</v>
      </c>
      <c r="R667" s="11" t="s">
        <v>32</v>
      </c>
      <c r="S667" s="11" t="s">
        <v>33</v>
      </c>
      <c r="T667" s="11" t="s">
        <v>34</v>
      </c>
      <c r="U667" s="11">
        <v>4</v>
      </c>
      <c r="V667" s="11" t="str">
        <f>TEXT('E-Commerce Sales Data'!$B667,"mmmm")</f>
        <v>September</v>
      </c>
      <c r="W667" s="8">
        <f t="shared" si="40"/>
        <v>2887085</v>
      </c>
      <c r="X667">
        <f t="shared" si="41"/>
        <v>535</v>
      </c>
      <c r="Y667">
        <f t="shared" si="42"/>
        <v>31047.514018691589</v>
      </c>
      <c r="Z667">
        <f t="shared" si="43"/>
        <v>55</v>
      </c>
    </row>
    <row r="668" spans="1:26" x14ac:dyDescent="0.25">
      <c r="A668" s="5" t="s">
        <v>771</v>
      </c>
      <c r="B668" s="6">
        <v>50294</v>
      </c>
      <c r="C668" s="7" t="s">
        <v>77</v>
      </c>
      <c r="D668" s="7" t="s">
        <v>23</v>
      </c>
      <c r="E668" s="7">
        <v>29</v>
      </c>
      <c r="F668" s="7" t="s">
        <v>24</v>
      </c>
      <c r="G668" s="7" t="s">
        <v>78</v>
      </c>
      <c r="H668" s="7" t="s">
        <v>26</v>
      </c>
      <c r="I668" s="7" t="s">
        <v>27</v>
      </c>
      <c r="J668" s="7" t="s">
        <v>28</v>
      </c>
      <c r="K668" s="7" t="s">
        <v>29</v>
      </c>
      <c r="L668" s="7" t="s">
        <v>53</v>
      </c>
      <c r="M668" s="7" t="s">
        <v>79</v>
      </c>
      <c r="N668" s="7">
        <v>5000</v>
      </c>
      <c r="O668" s="7">
        <v>6</v>
      </c>
      <c r="P668" s="16">
        <v>0</v>
      </c>
      <c r="Q668" s="7">
        <v>1500</v>
      </c>
      <c r="R668" s="7" t="s">
        <v>80</v>
      </c>
      <c r="S668" s="7" t="s">
        <v>33</v>
      </c>
      <c r="T668" s="7" t="s">
        <v>34</v>
      </c>
      <c r="U668" s="7">
        <v>3</v>
      </c>
      <c r="V668" s="7" t="str">
        <f>TEXT('E-Commerce Sales Data'!$B668,"mmmm")</f>
        <v>September</v>
      </c>
      <c r="W668" s="8">
        <f t="shared" si="40"/>
        <v>2885675</v>
      </c>
      <c r="X668">
        <f t="shared" si="41"/>
        <v>534</v>
      </c>
      <c r="Y668">
        <f t="shared" si="42"/>
        <v>31095.63670411985</v>
      </c>
      <c r="Z668">
        <f t="shared" si="43"/>
        <v>55</v>
      </c>
    </row>
    <row r="669" spans="1:26" x14ac:dyDescent="0.25">
      <c r="A669" s="9" t="s">
        <v>772</v>
      </c>
      <c r="B669" s="10">
        <v>50301</v>
      </c>
      <c r="C669" s="11" t="s">
        <v>82</v>
      </c>
      <c r="D669" s="11" t="s">
        <v>83</v>
      </c>
      <c r="E669" s="11">
        <v>37</v>
      </c>
      <c r="F669" s="11" t="s">
        <v>38</v>
      </c>
      <c r="G669" s="11" t="s">
        <v>84</v>
      </c>
      <c r="H669" s="11" t="s">
        <v>85</v>
      </c>
      <c r="I669" s="11" t="s">
        <v>52</v>
      </c>
      <c r="J669" s="11" t="s">
        <v>42</v>
      </c>
      <c r="K669" s="11" t="s">
        <v>60</v>
      </c>
      <c r="L669" s="11" t="s">
        <v>61</v>
      </c>
      <c r="M669" s="11" t="s">
        <v>62</v>
      </c>
      <c r="N669" s="11">
        <v>8800</v>
      </c>
      <c r="O669" s="11">
        <v>10</v>
      </c>
      <c r="P669" s="17">
        <v>0.02</v>
      </c>
      <c r="Q669" s="11">
        <v>2180</v>
      </c>
      <c r="R669" s="11" t="s">
        <v>32</v>
      </c>
      <c r="S669" s="11" t="s">
        <v>33</v>
      </c>
      <c r="T669" s="11" t="s">
        <v>34</v>
      </c>
      <c r="U669" s="11">
        <v>5</v>
      </c>
      <c r="V669" s="11" t="str">
        <f>TEXT('E-Commerce Sales Data'!$B669,"mmmm")</f>
        <v>September</v>
      </c>
      <c r="W669" s="8">
        <f t="shared" si="40"/>
        <v>2884175</v>
      </c>
      <c r="X669">
        <f t="shared" si="41"/>
        <v>533</v>
      </c>
      <c r="Y669">
        <f t="shared" si="42"/>
        <v>31144.596622889305</v>
      </c>
      <c r="Z669">
        <f t="shared" si="43"/>
        <v>55</v>
      </c>
    </row>
    <row r="670" spans="1:26" x14ac:dyDescent="0.25">
      <c r="A670" s="5" t="s">
        <v>773</v>
      </c>
      <c r="B670" s="6">
        <v>50308</v>
      </c>
      <c r="C670" s="7" t="s">
        <v>88</v>
      </c>
      <c r="D670" s="7" t="s">
        <v>37</v>
      </c>
      <c r="E670" s="7">
        <v>45</v>
      </c>
      <c r="F670" s="7" t="s">
        <v>24</v>
      </c>
      <c r="G670" s="7" t="s">
        <v>89</v>
      </c>
      <c r="H670" s="7" t="s">
        <v>90</v>
      </c>
      <c r="I670" s="7" t="s">
        <v>91</v>
      </c>
      <c r="J670" s="7" t="s">
        <v>42</v>
      </c>
      <c r="K670" s="7" t="s">
        <v>43</v>
      </c>
      <c r="L670" s="7" t="s">
        <v>92</v>
      </c>
      <c r="M670" s="7" t="s">
        <v>93</v>
      </c>
      <c r="N670" s="7">
        <v>23400</v>
      </c>
      <c r="O670" s="7">
        <v>1</v>
      </c>
      <c r="P670" s="16">
        <v>0.1</v>
      </c>
      <c r="Q670" s="7">
        <v>4220</v>
      </c>
      <c r="R670" s="7" t="s">
        <v>46</v>
      </c>
      <c r="S670" s="7" t="s">
        <v>47</v>
      </c>
      <c r="T670" s="7" t="s">
        <v>34</v>
      </c>
      <c r="U670" s="7">
        <v>4</v>
      </c>
      <c r="V670" s="7" t="str">
        <f>TEXT('E-Commerce Sales Data'!$B670,"mmmm")</f>
        <v>September</v>
      </c>
      <c r="W670" s="8">
        <f t="shared" si="40"/>
        <v>2881995</v>
      </c>
      <c r="X670">
        <f t="shared" si="41"/>
        <v>532</v>
      </c>
      <c r="Y670">
        <f t="shared" si="42"/>
        <v>31186.597744360901</v>
      </c>
      <c r="Z670">
        <f t="shared" si="43"/>
        <v>55</v>
      </c>
    </row>
    <row r="671" spans="1:26" x14ac:dyDescent="0.25">
      <c r="A671" s="9" t="s">
        <v>774</v>
      </c>
      <c r="B671" s="10">
        <v>50315</v>
      </c>
      <c r="C671" s="11" t="s">
        <v>95</v>
      </c>
      <c r="D671" s="11" t="s">
        <v>65</v>
      </c>
      <c r="E671" s="11">
        <v>25</v>
      </c>
      <c r="F671" s="11" t="s">
        <v>38</v>
      </c>
      <c r="G671" s="11" t="s">
        <v>25</v>
      </c>
      <c r="H671" s="11" t="s">
        <v>26</v>
      </c>
      <c r="I671" s="11" t="s">
        <v>27</v>
      </c>
      <c r="J671" s="11" t="s">
        <v>28</v>
      </c>
      <c r="K671" s="11" t="s">
        <v>29</v>
      </c>
      <c r="L671" s="11" t="s">
        <v>96</v>
      </c>
      <c r="M671" s="11" t="s">
        <v>97</v>
      </c>
      <c r="N671" s="11">
        <v>25600</v>
      </c>
      <c r="O671" s="11">
        <v>2</v>
      </c>
      <c r="P671" s="17">
        <v>0.05</v>
      </c>
      <c r="Q671" s="11">
        <v>4980</v>
      </c>
      <c r="R671" s="11" t="s">
        <v>32</v>
      </c>
      <c r="S671" s="11" t="s">
        <v>33</v>
      </c>
      <c r="T671" s="11" t="s">
        <v>34</v>
      </c>
      <c r="U671" s="11">
        <v>4</v>
      </c>
      <c r="V671" s="11" t="str">
        <f>TEXT('E-Commerce Sales Data'!$B671,"mmmm")</f>
        <v>October</v>
      </c>
      <c r="W671" s="8">
        <f t="shared" si="40"/>
        <v>2877775</v>
      </c>
      <c r="X671">
        <f t="shared" si="41"/>
        <v>531</v>
      </c>
      <c r="Y671">
        <f t="shared" si="42"/>
        <v>31201.261770244822</v>
      </c>
      <c r="Z671">
        <f t="shared" si="43"/>
        <v>55</v>
      </c>
    </row>
    <row r="672" spans="1:26" x14ac:dyDescent="0.25">
      <c r="A672" s="5" t="s">
        <v>775</v>
      </c>
      <c r="B672" s="6">
        <v>50322</v>
      </c>
      <c r="C672" s="7" t="s">
        <v>99</v>
      </c>
      <c r="D672" s="7" t="s">
        <v>100</v>
      </c>
      <c r="E672" s="7">
        <v>33</v>
      </c>
      <c r="F672" s="7" t="s">
        <v>24</v>
      </c>
      <c r="G672" s="7" t="s">
        <v>101</v>
      </c>
      <c r="H672" s="7" t="s">
        <v>102</v>
      </c>
      <c r="I672" s="7" t="s">
        <v>41</v>
      </c>
      <c r="J672" s="7" t="s">
        <v>28</v>
      </c>
      <c r="K672" s="7" t="s">
        <v>60</v>
      </c>
      <c r="L672" s="7" t="s">
        <v>53</v>
      </c>
      <c r="M672" s="7" t="s">
        <v>103</v>
      </c>
      <c r="N672" s="7">
        <v>1500</v>
      </c>
      <c r="O672" s="7">
        <v>25</v>
      </c>
      <c r="P672" s="16">
        <v>0</v>
      </c>
      <c r="Q672" s="7">
        <v>470</v>
      </c>
      <c r="R672" s="7" t="s">
        <v>55</v>
      </c>
      <c r="S672" s="7" t="s">
        <v>33</v>
      </c>
      <c r="T672" s="7" t="s">
        <v>34</v>
      </c>
      <c r="U672" s="7">
        <v>5</v>
      </c>
      <c r="V672" s="7" t="str">
        <f>TEXT('E-Commerce Sales Data'!$B672,"mmmm")</f>
        <v>October</v>
      </c>
      <c r="W672" s="8">
        <f t="shared" si="40"/>
        <v>2872795</v>
      </c>
      <c r="X672">
        <f t="shared" si="41"/>
        <v>530</v>
      </c>
      <c r="Y672">
        <f t="shared" si="42"/>
        <v>31211.830188679247</v>
      </c>
      <c r="Z672">
        <f t="shared" si="43"/>
        <v>55</v>
      </c>
    </row>
    <row r="673" spans="1:26" x14ac:dyDescent="0.25">
      <c r="A673" s="9" t="s">
        <v>776</v>
      </c>
      <c r="B673" s="10">
        <v>50329</v>
      </c>
      <c r="C673" s="11" t="s">
        <v>105</v>
      </c>
      <c r="D673" s="11" t="s">
        <v>58</v>
      </c>
      <c r="E673" s="11">
        <v>42</v>
      </c>
      <c r="F673" s="11" t="s">
        <v>38</v>
      </c>
      <c r="G673" s="11" t="s">
        <v>51</v>
      </c>
      <c r="H673" s="11" t="s">
        <v>51</v>
      </c>
      <c r="I673" s="11" t="s">
        <v>52</v>
      </c>
      <c r="J673" s="11" t="s">
        <v>42</v>
      </c>
      <c r="K673" s="11" t="s">
        <v>43</v>
      </c>
      <c r="L673" s="11" t="s">
        <v>68</v>
      </c>
      <c r="M673" s="11" t="s">
        <v>106</v>
      </c>
      <c r="N673" s="11">
        <v>38000</v>
      </c>
      <c r="O673" s="11">
        <v>1</v>
      </c>
      <c r="P673" s="17">
        <v>0.08</v>
      </c>
      <c r="Q673" s="11">
        <v>8000</v>
      </c>
      <c r="R673" s="11" t="s">
        <v>46</v>
      </c>
      <c r="S673" s="11" t="s">
        <v>47</v>
      </c>
      <c r="T673" s="11" t="s">
        <v>34</v>
      </c>
      <c r="U673" s="11">
        <v>4</v>
      </c>
      <c r="V673" s="11" t="str">
        <f>TEXT('E-Commerce Sales Data'!$B673,"mmmm")</f>
        <v>October</v>
      </c>
      <c r="W673" s="8">
        <f t="shared" si="40"/>
        <v>2872325</v>
      </c>
      <c r="X673">
        <f t="shared" si="41"/>
        <v>529</v>
      </c>
      <c r="Y673">
        <f t="shared" si="42"/>
        <v>31267.996219281664</v>
      </c>
      <c r="Z673">
        <f t="shared" si="43"/>
        <v>55</v>
      </c>
    </row>
    <row r="674" spans="1:26" x14ac:dyDescent="0.25">
      <c r="A674" s="5" t="s">
        <v>777</v>
      </c>
      <c r="B674" s="6">
        <v>50336</v>
      </c>
      <c r="C674" s="7" t="s">
        <v>108</v>
      </c>
      <c r="D674" s="7" t="s">
        <v>23</v>
      </c>
      <c r="E674" s="7">
        <v>30</v>
      </c>
      <c r="F674" s="7" t="s">
        <v>24</v>
      </c>
      <c r="G674" s="7" t="s">
        <v>59</v>
      </c>
      <c r="H674" s="7" t="s">
        <v>26</v>
      </c>
      <c r="I674" s="7" t="s">
        <v>27</v>
      </c>
      <c r="J674" s="7" t="s">
        <v>28</v>
      </c>
      <c r="K674" s="7" t="s">
        <v>29</v>
      </c>
      <c r="L674" s="7" t="s">
        <v>30</v>
      </c>
      <c r="M674" s="7" t="s">
        <v>31</v>
      </c>
      <c r="N674" s="7">
        <v>104000</v>
      </c>
      <c r="O674" s="7">
        <v>1</v>
      </c>
      <c r="P674" s="16">
        <v>0.1</v>
      </c>
      <c r="Q674" s="7">
        <v>12200</v>
      </c>
      <c r="R674" s="7" t="s">
        <v>32</v>
      </c>
      <c r="S674" s="7" t="s">
        <v>47</v>
      </c>
      <c r="T674" s="7" t="s">
        <v>34</v>
      </c>
      <c r="U674" s="7">
        <v>5</v>
      </c>
      <c r="V674" s="7" t="str">
        <f>TEXT('E-Commerce Sales Data'!$B674,"mmmm")</f>
        <v>October</v>
      </c>
      <c r="W674" s="8">
        <f t="shared" si="40"/>
        <v>2864325</v>
      </c>
      <c r="X674">
        <f t="shared" si="41"/>
        <v>528</v>
      </c>
      <c r="Y674">
        <f t="shared" si="42"/>
        <v>31255.246212121212</v>
      </c>
      <c r="Z674">
        <f t="shared" si="43"/>
        <v>55</v>
      </c>
    </row>
    <row r="675" spans="1:26" x14ac:dyDescent="0.25">
      <c r="A675" s="9" t="s">
        <v>778</v>
      </c>
      <c r="B675" s="10">
        <v>50343</v>
      </c>
      <c r="C675" s="11" t="s">
        <v>110</v>
      </c>
      <c r="D675" s="11" t="s">
        <v>37</v>
      </c>
      <c r="E675" s="11">
        <v>36</v>
      </c>
      <c r="F675" s="11" t="s">
        <v>38</v>
      </c>
      <c r="G675" s="11" t="s">
        <v>66</v>
      </c>
      <c r="H675" s="11" t="s">
        <v>67</v>
      </c>
      <c r="I675" s="11" t="s">
        <v>27</v>
      </c>
      <c r="J675" s="11" t="s">
        <v>28</v>
      </c>
      <c r="K675" s="11" t="s">
        <v>60</v>
      </c>
      <c r="L675" s="11" t="s">
        <v>92</v>
      </c>
      <c r="M675" s="11" t="s">
        <v>111</v>
      </c>
      <c r="N675" s="11">
        <v>1960</v>
      </c>
      <c r="O675" s="11">
        <v>15</v>
      </c>
      <c r="P675" s="17">
        <v>0.05</v>
      </c>
      <c r="Q675" s="11">
        <v>630</v>
      </c>
      <c r="R675" s="11" t="s">
        <v>80</v>
      </c>
      <c r="S675" s="11" t="s">
        <v>33</v>
      </c>
      <c r="T675" s="11" t="s">
        <v>34</v>
      </c>
      <c r="U675" s="11">
        <v>4</v>
      </c>
      <c r="V675" s="11" t="str">
        <f>TEXT('E-Commerce Sales Data'!$B675,"mmmm")</f>
        <v>October</v>
      </c>
      <c r="W675" s="8">
        <f t="shared" si="40"/>
        <v>2852125</v>
      </c>
      <c r="X675">
        <f t="shared" si="41"/>
        <v>527</v>
      </c>
      <c r="Y675">
        <f t="shared" si="42"/>
        <v>31117.210626185959</v>
      </c>
      <c r="Z675">
        <f t="shared" si="43"/>
        <v>55</v>
      </c>
    </row>
    <row r="676" spans="1:26" x14ac:dyDescent="0.25">
      <c r="A676" s="5" t="s">
        <v>779</v>
      </c>
      <c r="B676" s="6">
        <v>50350</v>
      </c>
      <c r="C676" s="7" t="s">
        <v>113</v>
      </c>
      <c r="D676" s="7" t="s">
        <v>114</v>
      </c>
      <c r="E676" s="7">
        <v>40</v>
      </c>
      <c r="F676" s="7" t="s">
        <v>24</v>
      </c>
      <c r="G676" s="7" t="s">
        <v>73</v>
      </c>
      <c r="H676" s="7" t="s">
        <v>74</v>
      </c>
      <c r="I676" s="7" t="s">
        <v>41</v>
      </c>
      <c r="J676" s="7" t="s">
        <v>42</v>
      </c>
      <c r="K676" s="7" t="s">
        <v>43</v>
      </c>
      <c r="L676" s="7" t="s">
        <v>44</v>
      </c>
      <c r="M676" s="7" t="s">
        <v>45</v>
      </c>
      <c r="N676" s="7">
        <v>18800</v>
      </c>
      <c r="O676" s="7">
        <v>4</v>
      </c>
      <c r="P676" s="16">
        <v>7.0000000000000007E-2</v>
      </c>
      <c r="Q676" s="7">
        <v>4300</v>
      </c>
      <c r="R676" s="7" t="s">
        <v>46</v>
      </c>
      <c r="S676" s="7" t="s">
        <v>33</v>
      </c>
      <c r="T676" s="7" t="s">
        <v>34</v>
      </c>
      <c r="U676" s="7">
        <v>4</v>
      </c>
      <c r="V676" s="7" t="str">
        <f>TEXT('E-Commerce Sales Data'!$B676,"mmmm")</f>
        <v>November</v>
      </c>
      <c r="W676" s="8">
        <f t="shared" si="40"/>
        <v>2851495</v>
      </c>
      <c r="X676">
        <f t="shared" si="41"/>
        <v>526</v>
      </c>
      <c r="Y676">
        <f t="shared" si="42"/>
        <v>31172.64258555133</v>
      </c>
      <c r="Z676">
        <f t="shared" si="43"/>
        <v>55</v>
      </c>
    </row>
    <row r="677" spans="1:26" x14ac:dyDescent="0.25">
      <c r="A677" s="9" t="s">
        <v>780</v>
      </c>
      <c r="B677" s="10">
        <v>50357</v>
      </c>
      <c r="C677" s="11" t="s">
        <v>116</v>
      </c>
      <c r="D677" s="11" t="s">
        <v>83</v>
      </c>
      <c r="E677" s="11">
        <v>27</v>
      </c>
      <c r="F677" s="11" t="s">
        <v>38</v>
      </c>
      <c r="G677" s="11" t="s">
        <v>39</v>
      </c>
      <c r="H677" s="11" t="s">
        <v>40</v>
      </c>
      <c r="I677" s="11" t="s">
        <v>41</v>
      </c>
      <c r="J677" s="11" t="s">
        <v>28</v>
      </c>
      <c r="K677" s="11" t="s">
        <v>29</v>
      </c>
      <c r="L677" s="11" t="s">
        <v>53</v>
      </c>
      <c r="M677" s="11" t="s">
        <v>54</v>
      </c>
      <c r="N677" s="11">
        <v>38300</v>
      </c>
      <c r="O677" s="11">
        <v>2</v>
      </c>
      <c r="P677" s="17">
        <v>0.05</v>
      </c>
      <c r="Q677" s="11">
        <v>7400</v>
      </c>
      <c r="R677" s="11" t="s">
        <v>32</v>
      </c>
      <c r="S677" s="11" t="s">
        <v>47</v>
      </c>
      <c r="T677" s="11" t="s">
        <v>34</v>
      </c>
      <c r="U677" s="11">
        <v>5</v>
      </c>
      <c r="V677" s="11" t="str">
        <f>TEXT('E-Commerce Sales Data'!$B677,"mmmm")</f>
        <v>November</v>
      </c>
      <c r="W677" s="8">
        <f t="shared" si="40"/>
        <v>2847195</v>
      </c>
      <c r="X677">
        <f t="shared" si="41"/>
        <v>525</v>
      </c>
      <c r="Y677">
        <f t="shared" si="42"/>
        <v>31196.209523809524</v>
      </c>
      <c r="Z677">
        <f t="shared" si="43"/>
        <v>55</v>
      </c>
    </row>
    <row r="678" spans="1:26" x14ac:dyDescent="0.25">
      <c r="A678" s="5" t="s">
        <v>781</v>
      </c>
      <c r="B678" s="6">
        <v>50364</v>
      </c>
      <c r="C678" s="7" t="s">
        <v>118</v>
      </c>
      <c r="D678" s="7" t="s">
        <v>72</v>
      </c>
      <c r="E678" s="7">
        <v>35</v>
      </c>
      <c r="F678" s="7" t="s">
        <v>24</v>
      </c>
      <c r="G678" s="7" t="s">
        <v>84</v>
      </c>
      <c r="H678" s="7" t="s">
        <v>85</v>
      </c>
      <c r="I678" s="7" t="s">
        <v>52</v>
      </c>
      <c r="J678" s="7" t="s">
        <v>42</v>
      </c>
      <c r="K678" s="7" t="s">
        <v>60</v>
      </c>
      <c r="L678" s="7" t="s">
        <v>61</v>
      </c>
      <c r="M678" s="7" t="s">
        <v>62</v>
      </c>
      <c r="N678" s="7">
        <v>8900</v>
      </c>
      <c r="O678" s="7">
        <v>10</v>
      </c>
      <c r="P678" s="16">
        <v>0.03</v>
      </c>
      <c r="Q678" s="7">
        <v>2210</v>
      </c>
      <c r="R678" s="7" t="s">
        <v>55</v>
      </c>
      <c r="S678" s="7" t="s">
        <v>33</v>
      </c>
      <c r="T678" s="7" t="s">
        <v>34</v>
      </c>
      <c r="U678" s="7">
        <v>4</v>
      </c>
      <c r="V678" s="7" t="str">
        <f>TEXT('E-Commerce Sales Data'!$B678,"mmmm")</f>
        <v>November</v>
      </c>
      <c r="W678" s="8">
        <f t="shared" si="40"/>
        <v>2839795</v>
      </c>
      <c r="X678">
        <f t="shared" si="41"/>
        <v>524</v>
      </c>
      <c r="Y678">
        <f t="shared" si="42"/>
        <v>31182.652671755724</v>
      </c>
      <c r="Z678">
        <f t="shared" si="43"/>
        <v>55</v>
      </c>
    </row>
    <row r="679" spans="1:26" x14ac:dyDescent="0.25">
      <c r="A679" s="9" t="s">
        <v>782</v>
      </c>
      <c r="B679" s="10">
        <v>50371</v>
      </c>
      <c r="C679" s="11" t="s">
        <v>120</v>
      </c>
      <c r="D679" s="11" t="s">
        <v>23</v>
      </c>
      <c r="E679" s="11">
        <v>24</v>
      </c>
      <c r="F679" s="11" t="s">
        <v>38</v>
      </c>
      <c r="G679" s="11" t="s">
        <v>25</v>
      </c>
      <c r="H679" s="11" t="s">
        <v>26</v>
      </c>
      <c r="I679" s="11" t="s">
        <v>27</v>
      </c>
      <c r="J679" s="11" t="s">
        <v>28</v>
      </c>
      <c r="K679" s="11" t="s">
        <v>43</v>
      </c>
      <c r="L679" s="11" t="s">
        <v>68</v>
      </c>
      <c r="M679" s="11" t="s">
        <v>69</v>
      </c>
      <c r="N679" s="11">
        <v>35600</v>
      </c>
      <c r="O679" s="11">
        <v>2</v>
      </c>
      <c r="P679" s="17">
        <v>0.1</v>
      </c>
      <c r="Q679" s="11">
        <v>5760</v>
      </c>
      <c r="R679" s="11" t="s">
        <v>32</v>
      </c>
      <c r="S679" s="11" t="s">
        <v>47</v>
      </c>
      <c r="T679" s="11" t="s">
        <v>34</v>
      </c>
      <c r="U679" s="11">
        <v>5</v>
      </c>
      <c r="V679" s="11" t="str">
        <f>TEXT('E-Commerce Sales Data'!$B679,"mmmm")</f>
        <v>November</v>
      </c>
      <c r="W679" s="8">
        <f t="shared" si="40"/>
        <v>2837585</v>
      </c>
      <c r="X679">
        <f t="shared" si="41"/>
        <v>523</v>
      </c>
      <c r="Y679">
        <f t="shared" si="42"/>
        <v>31225.258126195029</v>
      </c>
      <c r="Z679">
        <f t="shared" si="43"/>
        <v>55</v>
      </c>
    </row>
    <row r="680" spans="1:26" x14ac:dyDescent="0.25">
      <c r="A680" s="5" t="s">
        <v>783</v>
      </c>
      <c r="B680" s="6">
        <v>50378</v>
      </c>
      <c r="C680" s="7" t="s">
        <v>122</v>
      </c>
      <c r="D680" s="7" t="s">
        <v>50</v>
      </c>
      <c r="E680" s="7">
        <v>43</v>
      </c>
      <c r="F680" s="7" t="s">
        <v>24</v>
      </c>
      <c r="G680" s="7" t="s">
        <v>101</v>
      </c>
      <c r="H680" s="7" t="s">
        <v>102</v>
      </c>
      <c r="I680" s="7" t="s">
        <v>41</v>
      </c>
      <c r="J680" s="7" t="s">
        <v>42</v>
      </c>
      <c r="K680" s="7" t="s">
        <v>29</v>
      </c>
      <c r="L680" s="7" t="s">
        <v>53</v>
      </c>
      <c r="M680" s="7" t="s">
        <v>75</v>
      </c>
      <c r="N680" s="7">
        <v>5750</v>
      </c>
      <c r="O680" s="7">
        <v>4</v>
      </c>
      <c r="P680" s="16">
        <v>0.05</v>
      </c>
      <c r="Q680" s="7">
        <v>1500</v>
      </c>
      <c r="R680" s="7" t="s">
        <v>46</v>
      </c>
      <c r="S680" s="7" t="s">
        <v>33</v>
      </c>
      <c r="T680" s="7" t="s">
        <v>34</v>
      </c>
      <c r="U680" s="7">
        <v>3</v>
      </c>
      <c r="V680" s="7" t="str">
        <f>TEXT('E-Commerce Sales Data'!$B680,"mmmm")</f>
        <v>December</v>
      </c>
      <c r="W680" s="8">
        <f t="shared" si="40"/>
        <v>2831825</v>
      </c>
      <c r="X680">
        <f t="shared" si="41"/>
        <v>522</v>
      </c>
      <c r="Y680">
        <f t="shared" si="42"/>
        <v>31216.877394636016</v>
      </c>
      <c r="Z680">
        <f t="shared" si="43"/>
        <v>55</v>
      </c>
    </row>
    <row r="681" spans="1:26" x14ac:dyDescent="0.25">
      <c r="A681" s="9" t="s">
        <v>784</v>
      </c>
      <c r="B681" s="10">
        <v>50385</v>
      </c>
      <c r="C681" s="11" t="s">
        <v>124</v>
      </c>
      <c r="D681" s="11" t="s">
        <v>100</v>
      </c>
      <c r="E681" s="11">
        <v>32</v>
      </c>
      <c r="F681" s="11" t="s">
        <v>38</v>
      </c>
      <c r="G681" s="11" t="s">
        <v>78</v>
      </c>
      <c r="H681" s="11" t="s">
        <v>26</v>
      </c>
      <c r="I681" s="11" t="s">
        <v>27</v>
      </c>
      <c r="J681" s="11" t="s">
        <v>28</v>
      </c>
      <c r="K681" s="11" t="s">
        <v>29</v>
      </c>
      <c r="L681" s="11" t="s">
        <v>53</v>
      </c>
      <c r="M681" s="11" t="s">
        <v>79</v>
      </c>
      <c r="N681" s="11">
        <v>5100</v>
      </c>
      <c r="O681" s="11">
        <v>7</v>
      </c>
      <c r="P681" s="17">
        <v>0</v>
      </c>
      <c r="Q681" s="11">
        <v>1530</v>
      </c>
      <c r="R681" s="11" t="s">
        <v>32</v>
      </c>
      <c r="S681" s="11" t="s">
        <v>33</v>
      </c>
      <c r="T681" s="11" t="s">
        <v>34</v>
      </c>
      <c r="U681" s="11">
        <v>4</v>
      </c>
      <c r="V681" s="11" t="str">
        <f>TEXT('E-Commerce Sales Data'!$B681,"mmmm")</f>
        <v>December</v>
      </c>
      <c r="W681" s="8">
        <f t="shared" si="40"/>
        <v>2830325</v>
      </c>
      <c r="X681">
        <f t="shared" si="41"/>
        <v>521</v>
      </c>
      <c r="Y681">
        <f t="shared" si="42"/>
        <v>31265.758157389635</v>
      </c>
      <c r="Z681">
        <f t="shared" si="43"/>
        <v>55</v>
      </c>
    </row>
    <row r="682" spans="1:26" x14ac:dyDescent="0.25">
      <c r="A682" s="5" t="s">
        <v>785</v>
      </c>
      <c r="B682" s="6">
        <v>50392</v>
      </c>
      <c r="C682" s="7" t="s">
        <v>22</v>
      </c>
      <c r="D682" s="7" t="s">
        <v>23</v>
      </c>
      <c r="E682" s="7">
        <v>28</v>
      </c>
      <c r="F682" s="7" t="s">
        <v>24</v>
      </c>
      <c r="G682" s="7" t="s">
        <v>25</v>
      </c>
      <c r="H682" s="7" t="s">
        <v>26</v>
      </c>
      <c r="I682" s="7" t="s">
        <v>27</v>
      </c>
      <c r="J682" s="7" t="s">
        <v>28</v>
      </c>
      <c r="K682" s="7" t="s">
        <v>29</v>
      </c>
      <c r="L682" s="7" t="s">
        <v>30</v>
      </c>
      <c r="M682" s="7" t="s">
        <v>31</v>
      </c>
      <c r="N682" s="7">
        <v>100000</v>
      </c>
      <c r="O682" s="7">
        <v>1</v>
      </c>
      <c r="P682" s="16">
        <v>0.05</v>
      </c>
      <c r="Q682" s="7">
        <v>13300</v>
      </c>
      <c r="R682" s="7" t="s">
        <v>32</v>
      </c>
      <c r="S682" s="7" t="s">
        <v>47</v>
      </c>
      <c r="T682" s="7" t="s">
        <v>34</v>
      </c>
      <c r="U682" s="7">
        <v>5</v>
      </c>
      <c r="V682" s="7" t="str">
        <f>TEXT('E-Commerce Sales Data'!$B682,"mmmm")</f>
        <v>December</v>
      </c>
      <c r="W682" s="8">
        <f t="shared" si="40"/>
        <v>2828795</v>
      </c>
      <c r="X682">
        <f t="shared" si="41"/>
        <v>520</v>
      </c>
      <c r="Y682">
        <f t="shared" si="42"/>
        <v>31316.076923076922</v>
      </c>
      <c r="Z682">
        <f t="shared" si="43"/>
        <v>55</v>
      </c>
    </row>
    <row r="683" spans="1:26" x14ac:dyDescent="0.25">
      <c r="A683" s="9" t="s">
        <v>786</v>
      </c>
      <c r="B683" s="10">
        <v>50399</v>
      </c>
      <c r="C683" s="11" t="s">
        <v>36</v>
      </c>
      <c r="D683" s="11" t="s">
        <v>37</v>
      </c>
      <c r="E683" s="11">
        <v>34</v>
      </c>
      <c r="F683" s="11" t="s">
        <v>38</v>
      </c>
      <c r="G683" s="11" t="s">
        <v>39</v>
      </c>
      <c r="H683" s="11" t="s">
        <v>40</v>
      </c>
      <c r="I683" s="11" t="s">
        <v>41</v>
      </c>
      <c r="J683" s="11" t="s">
        <v>42</v>
      </c>
      <c r="K683" s="11" t="s">
        <v>43</v>
      </c>
      <c r="L683" s="11" t="s">
        <v>44</v>
      </c>
      <c r="M683" s="11" t="s">
        <v>45</v>
      </c>
      <c r="N683" s="11">
        <v>15500</v>
      </c>
      <c r="O683" s="11">
        <v>3</v>
      </c>
      <c r="P683" s="17">
        <v>0.1</v>
      </c>
      <c r="Q683" s="11">
        <v>3640</v>
      </c>
      <c r="R683" s="11" t="s">
        <v>46</v>
      </c>
      <c r="S683" s="11" t="s">
        <v>33</v>
      </c>
      <c r="T683" s="11" t="s">
        <v>34</v>
      </c>
      <c r="U683" s="11">
        <v>4</v>
      </c>
      <c r="V683" s="11" t="str">
        <f>TEXT('E-Commerce Sales Data'!$B683,"mmmm")</f>
        <v>December</v>
      </c>
      <c r="W683" s="8">
        <f t="shared" si="40"/>
        <v>2815495</v>
      </c>
      <c r="X683">
        <f t="shared" si="41"/>
        <v>519</v>
      </c>
      <c r="Y683">
        <f t="shared" si="42"/>
        <v>31183.737957610789</v>
      </c>
      <c r="Z683">
        <f t="shared" si="43"/>
        <v>55</v>
      </c>
    </row>
    <row r="684" spans="1:26" x14ac:dyDescent="0.25">
      <c r="A684" s="5" t="s">
        <v>787</v>
      </c>
      <c r="B684" s="6">
        <v>50406</v>
      </c>
      <c r="C684" s="7" t="s">
        <v>49</v>
      </c>
      <c r="D684" s="7" t="s">
        <v>50</v>
      </c>
      <c r="E684" s="7">
        <v>41</v>
      </c>
      <c r="F684" s="7" t="s">
        <v>24</v>
      </c>
      <c r="G684" s="7" t="s">
        <v>51</v>
      </c>
      <c r="H684" s="7" t="s">
        <v>51</v>
      </c>
      <c r="I684" s="7" t="s">
        <v>52</v>
      </c>
      <c r="J684" s="7" t="s">
        <v>28</v>
      </c>
      <c r="K684" s="7" t="s">
        <v>29</v>
      </c>
      <c r="L684" s="7" t="s">
        <v>53</v>
      </c>
      <c r="M684" s="7" t="s">
        <v>54</v>
      </c>
      <c r="N684" s="7">
        <v>36200</v>
      </c>
      <c r="O684" s="7">
        <v>2</v>
      </c>
      <c r="P684" s="16">
        <v>0.05</v>
      </c>
      <c r="Q684" s="7">
        <v>6950</v>
      </c>
      <c r="R684" s="7" t="s">
        <v>55</v>
      </c>
      <c r="S684" s="7" t="s">
        <v>33</v>
      </c>
      <c r="T684" s="7" t="s">
        <v>34</v>
      </c>
      <c r="U684" s="7">
        <v>4</v>
      </c>
      <c r="V684" s="7" t="str">
        <f>TEXT('E-Commerce Sales Data'!$B684,"mmmm")</f>
        <v>January</v>
      </c>
      <c r="W684" s="8">
        <f t="shared" si="40"/>
        <v>2811855</v>
      </c>
      <c r="X684">
        <f t="shared" si="41"/>
        <v>518</v>
      </c>
      <c r="Y684">
        <f t="shared" si="42"/>
        <v>31214.015444015444</v>
      </c>
      <c r="Z684">
        <f t="shared" si="43"/>
        <v>55</v>
      </c>
    </row>
    <row r="685" spans="1:26" x14ac:dyDescent="0.25">
      <c r="A685" s="9" t="s">
        <v>788</v>
      </c>
      <c r="B685" s="10">
        <v>50413</v>
      </c>
      <c r="C685" s="11" t="s">
        <v>57</v>
      </c>
      <c r="D685" s="11" t="s">
        <v>58</v>
      </c>
      <c r="E685" s="11">
        <v>26</v>
      </c>
      <c r="F685" s="11" t="s">
        <v>38</v>
      </c>
      <c r="G685" s="11" t="s">
        <v>59</v>
      </c>
      <c r="H685" s="11" t="s">
        <v>26</v>
      </c>
      <c r="I685" s="11" t="s">
        <v>27</v>
      </c>
      <c r="J685" s="11" t="s">
        <v>28</v>
      </c>
      <c r="K685" s="11" t="s">
        <v>60</v>
      </c>
      <c r="L685" s="11" t="s">
        <v>61</v>
      </c>
      <c r="M685" s="11" t="s">
        <v>86</v>
      </c>
      <c r="N685" s="11">
        <v>1050</v>
      </c>
      <c r="O685" s="11">
        <v>20</v>
      </c>
      <c r="P685" s="17">
        <v>0.02</v>
      </c>
      <c r="Q685" s="11">
        <v>310</v>
      </c>
      <c r="R685" s="11" t="s">
        <v>32</v>
      </c>
      <c r="S685" s="11" t="s">
        <v>33</v>
      </c>
      <c r="T685" s="11" t="s">
        <v>34</v>
      </c>
      <c r="U685" s="11">
        <v>5</v>
      </c>
      <c r="V685" s="11" t="str">
        <f>TEXT('E-Commerce Sales Data'!$B685,"mmmm")</f>
        <v>January</v>
      </c>
      <c r="W685" s="8">
        <f t="shared" si="40"/>
        <v>2804905</v>
      </c>
      <c r="X685">
        <f t="shared" si="41"/>
        <v>517</v>
      </c>
      <c r="Y685">
        <f t="shared" si="42"/>
        <v>31204.371373307542</v>
      </c>
      <c r="Z685">
        <f t="shared" si="43"/>
        <v>55</v>
      </c>
    </row>
    <row r="686" spans="1:26" x14ac:dyDescent="0.25">
      <c r="A686" s="5" t="s">
        <v>789</v>
      </c>
      <c r="B686" s="6">
        <v>50420</v>
      </c>
      <c r="C686" s="7" t="s">
        <v>64</v>
      </c>
      <c r="D686" s="7" t="s">
        <v>65</v>
      </c>
      <c r="E686" s="7">
        <v>39</v>
      </c>
      <c r="F686" s="7" t="s">
        <v>24</v>
      </c>
      <c r="G686" s="7" t="s">
        <v>66</v>
      </c>
      <c r="H686" s="7" t="s">
        <v>67</v>
      </c>
      <c r="I686" s="7" t="s">
        <v>27</v>
      </c>
      <c r="J686" s="7" t="s">
        <v>42</v>
      </c>
      <c r="K686" s="7" t="s">
        <v>43</v>
      </c>
      <c r="L686" s="7" t="s">
        <v>68</v>
      </c>
      <c r="M686" s="7" t="s">
        <v>69</v>
      </c>
      <c r="N686" s="7">
        <v>37400</v>
      </c>
      <c r="O686" s="7">
        <v>2</v>
      </c>
      <c r="P686" s="16">
        <v>0.08</v>
      </c>
      <c r="Q686" s="7">
        <v>6440</v>
      </c>
      <c r="R686" s="7" t="s">
        <v>46</v>
      </c>
      <c r="S686" s="7" t="s">
        <v>47</v>
      </c>
      <c r="T686" s="7" t="s">
        <v>34</v>
      </c>
      <c r="U686" s="7">
        <v>4</v>
      </c>
      <c r="V686" s="7" t="str">
        <f>TEXT('E-Commerce Sales Data'!$B686,"mmmm")</f>
        <v>January</v>
      </c>
      <c r="W686" s="8">
        <f t="shared" si="40"/>
        <v>2804595</v>
      </c>
      <c r="X686">
        <f t="shared" si="41"/>
        <v>516</v>
      </c>
      <c r="Y686">
        <f t="shared" si="42"/>
        <v>31262.810077519382</v>
      </c>
      <c r="Z686">
        <f t="shared" si="43"/>
        <v>55</v>
      </c>
    </row>
    <row r="687" spans="1:26" x14ac:dyDescent="0.25">
      <c r="A687" s="9" t="s">
        <v>790</v>
      </c>
      <c r="B687" s="10">
        <v>50427</v>
      </c>
      <c r="C687" s="11" t="s">
        <v>71</v>
      </c>
      <c r="D687" s="11" t="s">
        <v>72</v>
      </c>
      <c r="E687" s="11">
        <v>31</v>
      </c>
      <c r="F687" s="11" t="s">
        <v>38</v>
      </c>
      <c r="G687" s="11" t="s">
        <v>73</v>
      </c>
      <c r="H687" s="11" t="s">
        <v>74</v>
      </c>
      <c r="I687" s="11" t="s">
        <v>41</v>
      </c>
      <c r="J687" s="11" t="s">
        <v>28</v>
      </c>
      <c r="K687" s="11" t="s">
        <v>29</v>
      </c>
      <c r="L687" s="11" t="s">
        <v>53</v>
      </c>
      <c r="M687" s="11" t="s">
        <v>75</v>
      </c>
      <c r="N687" s="11">
        <v>5450</v>
      </c>
      <c r="O687" s="11">
        <v>3</v>
      </c>
      <c r="P687" s="17">
        <v>0.05</v>
      </c>
      <c r="Q687" s="11">
        <v>1440</v>
      </c>
      <c r="R687" s="11" t="s">
        <v>32</v>
      </c>
      <c r="S687" s="11" t="s">
        <v>33</v>
      </c>
      <c r="T687" s="11" t="s">
        <v>34</v>
      </c>
      <c r="U687" s="11">
        <v>4</v>
      </c>
      <c r="V687" s="11" t="str">
        <f>TEXT('E-Commerce Sales Data'!$B687,"mmmm")</f>
        <v>January</v>
      </c>
      <c r="W687" s="8">
        <f t="shared" si="40"/>
        <v>2798155</v>
      </c>
      <c r="X687">
        <f t="shared" si="41"/>
        <v>515</v>
      </c>
      <c r="Y687">
        <f t="shared" si="42"/>
        <v>31250.893203883494</v>
      </c>
      <c r="Z687">
        <f t="shared" si="43"/>
        <v>55</v>
      </c>
    </row>
    <row r="688" spans="1:26" x14ac:dyDescent="0.25">
      <c r="A688" s="5" t="s">
        <v>791</v>
      </c>
      <c r="B688" s="6">
        <v>50434</v>
      </c>
      <c r="C688" s="7" t="s">
        <v>77</v>
      </c>
      <c r="D688" s="7" t="s">
        <v>23</v>
      </c>
      <c r="E688" s="7">
        <v>29</v>
      </c>
      <c r="F688" s="7" t="s">
        <v>24</v>
      </c>
      <c r="G688" s="7" t="s">
        <v>78</v>
      </c>
      <c r="H688" s="7" t="s">
        <v>26</v>
      </c>
      <c r="I688" s="7" t="s">
        <v>27</v>
      </c>
      <c r="J688" s="7" t="s">
        <v>28</v>
      </c>
      <c r="K688" s="7" t="s">
        <v>29</v>
      </c>
      <c r="L688" s="7" t="s">
        <v>53</v>
      </c>
      <c r="M688" s="7" t="s">
        <v>79</v>
      </c>
      <c r="N688" s="7">
        <v>5200</v>
      </c>
      <c r="O688" s="7">
        <v>6</v>
      </c>
      <c r="P688" s="16">
        <v>0</v>
      </c>
      <c r="Q688" s="7">
        <v>1560</v>
      </c>
      <c r="R688" s="7" t="s">
        <v>80</v>
      </c>
      <c r="S688" s="7" t="s">
        <v>33</v>
      </c>
      <c r="T688" s="7" t="s">
        <v>34</v>
      </c>
      <c r="U688" s="7">
        <v>3</v>
      </c>
      <c r="V688" s="7" t="str">
        <f>TEXT('E-Commerce Sales Data'!$B688,"mmmm")</f>
        <v>January</v>
      </c>
      <c r="W688" s="8">
        <f t="shared" si="40"/>
        <v>2796715</v>
      </c>
      <c r="X688">
        <f t="shared" si="41"/>
        <v>514</v>
      </c>
      <c r="Y688">
        <f t="shared" si="42"/>
        <v>31301.089494163425</v>
      </c>
      <c r="Z688">
        <f t="shared" si="43"/>
        <v>55</v>
      </c>
    </row>
    <row r="689" spans="1:26" x14ac:dyDescent="0.25">
      <c r="A689" s="9" t="s">
        <v>792</v>
      </c>
      <c r="B689" s="10">
        <v>50441</v>
      </c>
      <c r="C689" s="11" t="s">
        <v>82</v>
      </c>
      <c r="D689" s="11" t="s">
        <v>83</v>
      </c>
      <c r="E689" s="11">
        <v>37</v>
      </c>
      <c r="F689" s="11" t="s">
        <v>38</v>
      </c>
      <c r="G689" s="11" t="s">
        <v>84</v>
      </c>
      <c r="H689" s="11" t="s">
        <v>85</v>
      </c>
      <c r="I689" s="11" t="s">
        <v>52</v>
      </c>
      <c r="J689" s="11" t="s">
        <v>42</v>
      </c>
      <c r="K689" s="11" t="s">
        <v>60</v>
      </c>
      <c r="L689" s="11" t="s">
        <v>61</v>
      </c>
      <c r="M689" s="11" t="s">
        <v>62</v>
      </c>
      <c r="N689" s="11">
        <v>9000</v>
      </c>
      <c r="O689" s="11">
        <v>10</v>
      </c>
      <c r="P689" s="17">
        <v>0.02</v>
      </c>
      <c r="Q689" s="11">
        <v>2230</v>
      </c>
      <c r="R689" s="11" t="s">
        <v>32</v>
      </c>
      <c r="S689" s="11" t="s">
        <v>33</v>
      </c>
      <c r="T689" s="11" t="s">
        <v>34</v>
      </c>
      <c r="U689" s="11">
        <v>5</v>
      </c>
      <c r="V689" s="11" t="str">
        <f>TEXT('E-Commerce Sales Data'!$B689,"mmmm")</f>
        <v>February</v>
      </c>
      <c r="W689" s="8">
        <f t="shared" si="40"/>
        <v>2795155</v>
      </c>
      <c r="X689">
        <f t="shared" si="41"/>
        <v>513</v>
      </c>
      <c r="Y689">
        <f t="shared" si="42"/>
        <v>31351.96881091618</v>
      </c>
      <c r="Z689">
        <f t="shared" si="43"/>
        <v>55</v>
      </c>
    </row>
    <row r="690" spans="1:26" x14ac:dyDescent="0.25">
      <c r="A690" s="5" t="s">
        <v>793</v>
      </c>
      <c r="B690" s="6">
        <v>50448</v>
      </c>
      <c r="C690" s="7" t="s">
        <v>88</v>
      </c>
      <c r="D690" s="7" t="s">
        <v>37</v>
      </c>
      <c r="E690" s="7">
        <v>45</v>
      </c>
      <c r="F690" s="7" t="s">
        <v>24</v>
      </c>
      <c r="G690" s="7" t="s">
        <v>89</v>
      </c>
      <c r="H690" s="7" t="s">
        <v>90</v>
      </c>
      <c r="I690" s="7" t="s">
        <v>91</v>
      </c>
      <c r="J690" s="7" t="s">
        <v>42</v>
      </c>
      <c r="K690" s="7" t="s">
        <v>43</v>
      </c>
      <c r="L690" s="7" t="s">
        <v>92</v>
      </c>
      <c r="M690" s="7" t="s">
        <v>93</v>
      </c>
      <c r="N690" s="7">
        <v>23800</v>
      </c>
      <c r="O690" s="7">
        <v>1</v>
      </c>
      <c r="P690" s="16">
        <v>0.1</v>
      </c>
      <c r="Q690" s="7">
        <v>4300</v>
      </c>
      <c r="R690" s="7" t="s">
        <v>46</v>
      </c>
      <c r="S690" s="7" t="s">
        <v>47</v>
      </c>
      <c r="T690" s="7" t="s">
        <v>34</v>
      </c>
      <c r="U690" s="7">
        <v>4</v>
      </c>
      <c r="V690" s="7" t="str">
        <f>TEXT('E-Commerce Sales Data'!$B690,"mmmm")</f>
        <v>February</v>
      </c>
      <c r="W690" s="8">
        <f t="shared" si="40"/>
        <v>2792925</v>
      </c>
      <c r="X690">
        <f t="shared" si="41"/>
        <v>512</v>
      </c>
      <c r="Y690">
        <f t="shared" si="42"/>
        <v>31395.625</v>
      </c>
      <c r="Z690">
        <f t="shared" si="43"/>
        <v>55</v>
      </c>
    </row>
    <row r="691" spans="1:26" x14ac:dyDescent="0.25">
      <c r="A691" s="9" t="s">
        <v>794</v>
      </c>
      <c r="B691" s="10">
        <v>50455</v>
      </c>
      <c r="C691" s="11" t="s">
        <v>95</v>
      </c>
      <c r="D691" s="11" t="s">
        <v>65</v>
      </c>
      <c r="E691" s="11">
        <v>25</v>
      </c>
      <c r="F691" s="11" t="s">
        <v>38</v>
      </c>
      <c r="G691" s="11" t="s">
        <v>25</v>
      </c>
      <c r="H691" s="11" t="s">
        <v>26</v>
      </c>
      <c r="I691" s="11" t="s">
        <v>27</v>
      </c>
      <c r="J691" s="11" t="s">
        <v>28</v>
      </c>
      <c r="K691" s="11" t="s">
        <v>29</v>
      </c>
      <c r="L691" s="11" t="s">
        <v>96</v>
      </c>
      <c r="M691" s="11" t="s">
        <v>97</v>
      </c>
      <c r="N691" s="11">
        <v>26000</v>
      </c>
      <c r="O691" s="11">
        <v>2</v>
      </c>
      <c r="P691" s="17">
        <v>0.05</v>
      </c>
      <c r="Q691" s="11">
        <v>5060</v>
      </c>
      <c r="R691" s="11" t="s">
        <v>32</v>
      </c>
      <c r="S691" s="11" t="s">
        <v>33</v>
      </c>
      <c r="T691" s="11" t="s">
        <v>34</v>
      </c>
      <c r="U691" s="11">
        <v>4</v>
      </c>
      <c r="V691" s="11" t="str">
        <f>TEXT('E-Commerce Sales Data'!$B691,"mmmm")</f>
        <v>February</v>
      </c>
      <c r="W691" s="8">
        <f t="shared" si="40"/>
        <v>2788625</v>
      </c>
      <c r="X691">
        <f t="shared" si="41"/>
        <v>511</v>
      </c>
      <c r="Y691">
        <f t="shared" si="42"/>
        <v>31410.489236790607</v>
      </c>
      <c r="Z691">
        <f t="shared" si="43"/>
        <v>55</v>
      </c>
    </row>
    <row r="692" spans="1:26" x14ac:dyDescent="0.25">
      <c r="A692" s="5" t="s">
        <v>795</v>
      </c>
      <c r="B692" s="6">
        <v>50462</v>
      </c>
      <c r="C692" s="7" t="s">
        <v>99</v>
      </c>
      <c r="D692" s="7" t="s">
        <v>100</v>
      </c>
      <c r="E692" s="7">
        <v>33</v>
      </c>
      <c r="F692" s="7" t="s">
        <v>24</v>
      </c>
      <c r="G692" s="7" t="s">
        <v>101</v>
      </c>
      <c r="H692" s="7" t="s">
        <v>102</v>
      </c>
      <c r="I692" s="7" t="s">
        <v>41</v>
      </c>
      <c r="J692" s="7" t="s">
        <v>28</v>
      </c>
      <c r="K692" s="7" t="s">
        <v>60</v>
      </c>
      <c r="L692" s="7" t="s">
        <v>53</v>
      </c>
      <c r="M692" s="7" t="s">
        <v>103</v>
      </c>
      <c r="N692" s="7">
        <v>1530</v>
      </c>
      <c r="O692" s="7">
        <v>25</v>
      </c>
      <c r="P692" s="16">
        <v>0</v>
      </c>
      <c r="Q692" s="7">
        <v>480</v>
      </c>
      <c r="R692" s="7" t="s">
        <v>55</v>
      </c>
      <c r="S692" s="7" t="s">
        <v>33</v>
      </c>
      <c r="T692" s="7" t="s">
        <v>34</v>
      </c>
      <c r="U692" s="7">
        <v>5</v>
      </c>
      <c r="V692" s="7" t="str">
        <f>TEXT('E-Commerce Sales Data'!$B692,"mmmm")</f>
        <v>February</v>
      </c>
      <c r="W692" s="8">
        <f t="shared" si="40"/>
        <v>2783565</v>
      </c>
      <c r="X692">
        <f t="shared" si="41"/>
        <v>510</v>
      </c>
      <c r="Y692">
        <f t="shared" si="42"/>
        <v>31421.098039215685</v>
      </c>
      <c r="Z692">
        <f t="shared" si="43"/>
        <v>55</v>
      </c>
    </row>
    <row r="693" spans="1:26" x14ac:dyDescent="0.25">
      <c r="A693" s="9" t="s">
        <v>796</v>
      </c>
      <c r="B693" s="10">
        <v>50469</v>
      </c>
      <c r="C693" s="11" t="s">
        <v>105</v>
      </c>
      <c r="D693" s="11" t="s">
        <v>58</v>
      </c>
      <c r="E693" s="11">
        <v>42</v>
      </c>
      <c r="F693" s="11" t="s">
        <v>38</v>
      </c>
      <c r="G693" s="11" t="s">
        <v>51</v>
      </c>
      <c r="H693" s="11" t="s">
        <v>51</v>
      </c>
      <c r="I693" s="11" t="s">
        <v>52</v>
      </c>
      <c r="J693" s="11" t="s">
        <v>42</v>
      </c>
      <c r="K693" s="11" t="s">
        <v>43</v>
      </c>
      <c r="L693" s="11" t="s">
        <v>68</v>
      </c>
      <c r="M693" s="11" t="s">
        <v>106</v>
      </c>
      <c r="N693" s="11">
        <v>38600</v>
      </c>
      <c r="O693" s="11">
        <v>1</v>
      </c>
      <c r="P693" s="17">
        <v>0.08</v>
      </c>
      <c r="Q693" s="11">
        <v>8150</v>
      </c>
      <c r="R693" s="11" t="s">
        <v>46</v>
      </c>
      <c r="S693" s="11" t="s">
        <v>47</v>
      </c>
      <c r="T693" s="11" t="s">
        <v>34</v>
      </c>
      <c r="U693" s="11">
        <v>4</v>
      </c>
      <c r="V693" s="11" t="str">
        <f>TEXT('E-Commerce Sales Data'!$B693,"mmmm")</f>
        <v>March</v>
      </c>
      <c r="W693" s="8">
        <f t="shared" si="40"/>
        <v>2783085</v>
      </c>
      <c r="X693">
        <f t="shared" si="41"/>
        <v>509</v>
      </c>
      <c r="Y693">
        <f t="shared" si="42"/>
        <v>31479.823182711199</v>
      </c>
      <c r="Z693">
        <f t="shared" si="43"/>
        <v>55</v>
      </c>
    </row>
    <row r="694" spans="1:26" x14ac:dyDescent="0.25">
      <c r="A694" s="5" t="s">
        <v>797</v>
      </c>
      <c r="B694" s="6">
        <v>50476</v>
      </c>
      <c r="C694" s="7" t="s">
        <v>108</v>
      </c>
      <c r="D694" s="7" t="s">
        <v>23</v>
      </c>
      <c r="E694" s="7">
        <v>30</v>
      </c>
      <c r="F694" s="7" t="s">
        <v>24</v>
      </c>
      <c r="G694" s="7" t="s">
        <v>59</v>
      </c>
      <c r="H694" s="7" t="s">
        <v>26</v>
      </c>
      <c r="I694" s="7" t="s">
        <v>27</v>
      </c>
      <c r="J694" s="7" t="s">
        <v>28</v>
      </c>
      <c r="K694" s="7" t="s">
        <v>29</v>
      </c>
      <c r="L694" s="7" t="s">
        <v>30</v>
      </c>
      <c r="M694" s="7" t="s">
        <v>31</v>
      </c>
      <c r="N694" s="7">
        <v>105500</v>
      </c>
      <c r="O694" s="7">
        <v>1</v>
      </c>
      <c r="P694" s="16">
        <v>0.1</v>
      </c>
      <c r="Q694" s="7">
        <v>12400</v>
      </c>
      <c r="R694" s="7" t="s">
        <v>32</v>
      </c>
      <c r="S694" s="7" t="s">
        <v>47</v>
      </c>
      <c r="T694" s="7" t="s">
        <v>34</v>
      </c>
      <c r="U694" s="7">
        <v>5</v>
      </c>
      <c r="V694" s="7" t="str">
        <f>TEXT('E-Commerce Sales Data'!$B694,"mmmm")</f>
        <v>March</v>
      </c>
      <c r="W694" s="8">
        <f t="shared" si="40"/>
        <v>2774935</v>
      </c>
      <c r="X694">
        <f t="shared" si="41"/>
        <v>508</v>
      </c>
      <c r="Y694">
        <f t="shared" si="42"/>
        <v>31465.807086614172</v>
      </c>
      <c r="Z694">
        <f t="shared" si="43"/>
        <v>55</v>
      </c>
    </row>
    <row r="695" spans="1:26" x14ac:dyDescent="0.25">
      <c r="A695" s="9" t="s">
        <v>798</v>
      </c>
      <c r="B695" s="10">
        <v>50483</v>
      </c>
      <c r="C695" s="11" t="s">
        <v>110</v>
      </c>
      <c r="D695" s="11" t="s">
        <v>37</v>
      </c>
      <c r="E695" s="11">
        <v>36</v>
      </c>
      <c r="F695" s="11" t="s">
        <v>38</v>
      </c>
      <c r="G695" s="11" t="s">
        <v>66</v>
      </c>
      <c r="H695" s="11" t="s">
        <v>67</v>
      </c>
      <c r="I695" s="11" t="s">
        <v>27</v>
      </c>
      <c r="J695" s="11" t="s">
        <v>28</v>
      </c>
      <c r="K695" s="11" t="s">
        <v>60</v>
      </c>
      <c r="L695" s="11" t="s">
        <v>92</v>
      </c>
      <c r="M695" s="11" t="s">
        <v>111</v>
      </c>
      <c r="N695" s="11">
        <v>2000</v>
      </c>
      <c r="O695" s="11">
        <v>15</v>
      </c>
      <c r="P695" s="17">
        <v>0.05</v>
      </c>
      <c r="Q695" s="11">
        <v>645</v>
      </c>
      <c r="R695" s="11" t="s">
        <v>80</v>
      </c>
      <c r="S695" s="11" t="s">
        <v>33</v>
      </c>
      <c r="T695" s="11" t="s">
        <v>34</v>
      </c>
      <c r="U695" s="11">
        <v>4</v>
      </c>
      <c r="V695" s="11" t="str">
        <f>TEXT('E-Commerce Sales Data'!$B695,"mmmm")</f>
        <v>March</v>
      </c>
      <c r="W695" s="8">
        <f t="shared" si="40"/>
        <v>2762535</v>
      </c>
      <c r="X695">
        <f t="shared" si="41"/>
        <v>507</v>
      </c>
      <c r="Y695">
        <f t="shared" si="42"/>
        <v>31319.783037475347</v>
      </c>
      <c r="Z695">
        <f t="shared" si="43"/>
        <v>55</v>
      </c>
    </row>
    <row r="696" spans="1:26" x14ac:dyDescent="0.25">
      <c r="A696" s="5" t="s">
        <v>799</v>
      </c>
      <c r="B696" s="6">
        <v>50490</v>
      </c>
      <c r="C696" s="7" t="s">
        <v>113</v>
      </c>
      <c r="D696" s="7" t="s">
        <v>114</v>
      </c>
      <c r="E696" s="7">
        <v>40</v>
      </c>
      <c r="F696" s="7" t="s">
        <v>24</v>
      </c>
      <c r="G696" s="7" t="s">
        <v>73</v>
      </c>
      <c r="H696" s="7" t="s">
        <v>74</v>
      </c>
      <c r="I696" s="7" t="s">
        <v>41</v>
      </c>
      <c r="J696" s="7" t="s">
        <v>42</v>
      </c>
      <c r="K696" s="7" t="s">
        <v>43</v>
      </c>
      <c r="L696" s="7" t="s">
        <v>44</v>
      </c>
      <c r="M696" s="7" t="s">
        <v>45</v>
      </c>
      <c r="N696" s="7">
        <v>19200</v>
      </c>
      <c r="O696" s="7">
        <v>4</v>
      </c>
      <c r="P696" s="16">
        <v>7.0000000000000007E-2</v>
      </c>
      <c r="Q696" s="7">
        <v>4400</v>
      </c>
      <c r="R696" s="7" t="s">
        <v>46</v>
      </c>
      <c r="S696" s="7" t="s">
        <v>33</v>
      </c>
      <c r="T696" s="7" t="s">
        <v>34</v>
      </c>
      <c r="U696" s="7">
        <v>4</v>
      </c>
      <c r="V696" s="7" t="str">
        <f>TEXT('E-Commerce Sales Data'!$B696,"mmmm")</f>
        <v>March</v>
      </c>
      <c r="W696" s="8">
        <f t="shared" si="40"/>
        <v>2761890</v>
      </c>
      <c r="X696">
        <f t="shared" si="41"/>
        <v>506</v>
      </c>
      <c r="Y696">
        <f t="shared" si="42"/>
        <v>31377.727272727272</v>
      </c>
      <c r="Z696">
        <f t="shared" si="43"/>
        <v>55</v>
      </c>
    </row>
    <row r="697" spans="1:26" x14ac:dyDescent="0.25">
      <c r="A697" s="9" t="s">
        <v>800</v>
      </c>
      <c r="B697" s="10">
        <v>50497</v>
      </c>
      <c r="C697" s="11" t="s">
        <v>116</v>
      </c>
      <c r="D697" s="11" t="s">
        <v>83</v>
      </c>
      <c r="E697" s="11">
        <v>27</v>
      </c>
      <c r="F697" s="11" t="s">
        <v>38</v>
      </c>
      <c r="G697" s="11" t="s">
        <v>39</v>
      </c>
      <c r="H697" s="11" t="s">
        <v>40</v>
      </c>
      <c r="I697" s="11" t="s">
        <v>41</v>
      </c>
      <c r="J697" s="11" t="s">
        <v>28</v>
      </c>
      <c r="K697" s="11" t="s">
        <v>29</v>
      </c>
      <c r="L697" s="11" t="s">
        <v>53</v>
      </c>
      <c r="M697" s="11" t="s">
        <v>54</v>
      </c>
      <c r="N697" s="11">
        <v>39000</v>
      </c>
      <c r="O697" s="11">
        <v>2</v>
      </c>
      <c r="P697" s="17">
        <v>0.05</v>
      </c>
      <c r="Q697" s="11">
        <v>7550</v>
      </c>
      <c r="R697" s="11" t="s">
        <v>32</v>
      </c>
      <c r="S697" s="11" t="s">
        <v>47</v>
      </c>
      <c r="T697" s="11" t="s">
        <v>34</v>
      </c>
      <c r="U697" s="11">
        <v>5</v>
      </c>
      <c r="V697" s="11" t="str">
        <f>TEXT('E-Commerce Sales Data'!$B697,"mmmm")</f>
        <v>April</v>
      </c>
      <c r="W697" s="8">
        <f t="shared" si="40"/>
        <v>2757490</v>
      </c>
      <c r="X697">
        <f t="shared" si="41"/>
        <v>505</v>
      </c>
      <c r="Y697">
        <f t="shared" si="42"/>
        <v>31401.841584158417</v>
      </c>
      <c r="Z697">
        <f t="shared" si="43"/>
        <v>55</v>
      </c>
    </row>
    <row r="698" spans="1:26" x14ac:dyDescent="0.25">
      <c r="A698" s="5" t="s">
        <v>801</v>
      </c>
      <c r="B698" s="6">
        <v>50504</v>
      </c>
      <c r="C698" s="7" t="s">
        <v>118</v>
      </c>
      <c r="D698" s="7" t="s">
        <v>72</v>
      </c>
      <c r="E698" s="7">
        <v>35</v>
      </c>
      <c r="F698" s="7" t="s">
        <v>24</v>
      </c>
      <c r="G698" s="7" t="s">
        <v>84</v>
      </c>
      <c r="H698" s="7" t="s">
        <v>85</v>
      </c>
      <c r="I698" s="7" t="s">
        <v>52</v>
      </c>
      <c r="J698" s="7" t="s">
        <v>42</v>
      </c>
      <c r="K698" s="7" t="s">
        <v>60</v>
      </c>
      <c r="L698" s="7" t="s">
        <v>61</v>
      </c>
      <c r="M698" s="7" t="s">
        <v>62</v>
      </c>
      <c r="N698" s="7">
        <v>9100</v>
      </c>
      <c r="O698" s="7">
        <v>10</v>
      </c>
      <c r="P698" s="16">
        <v>0.03</v>
      </c>
      <c r="Q698" s="7">
        <v>2260</v>
      </c>
      <c r="R698" s="7" t="s">
        <v>55</v>
      </c>
      <c r="S698" s="7" t="s">
        <v>33</v>
      </c>
      <c r="T698" s="7" t="s">
        <v>34</v>
      </c>
      <c r="U698" s="7">
        <v>4</v>
      </c>
      <c r="V698" s="7" t="str">
        <f>TEXT('E-Commerce Sales Data'!$B698,"mmmm")</f>
        <v>April</v>
      </c>
      <c r="W698" s="8">
        <f t="shared" si="40"/>
        <v>2749940</v>
      </c>
      <c r="X698">
        <f t="shared" si="41"/>
        <v>504</v>
      </c>
      <c r="Y698">
        <f t="shared" si="42"/>
        <v>31386.765873015873</v>
      </c>
      <c r="Z698">
        <f t="shared" si="43"/>
        <v>55</v>
      </c>
    </row>
    <row r="699" spans="1:26" x14ac:dyDescent="0.25">
      <c r="A699" s="9" t="s">
        <v>802</v>
      </c>
      <c r="B699" s="10">
        <v>50511</v>
      </c>
      <c r="C699" s="11" t="s">
        <v>120</v>
      </c>
      <c r="D699" s="11" t="s">
        <v>23</v>
      </c>
      <c r="E699" s="11">
        <v>24</v>
      </c>
      <c r="F699" s="11" t="s">
        <v>38</v>
      </c>
      <c r="G699" s="11" t="s">
        <v>25</v>
      </c>
      <c r="H699" s="11" t="s">
        <v>26</v>
      </c>
      <c r="I699" s="11" t="s">
        <v>27</v>
      </c>
      <c r="J699" s="11" t="s">
        <v>28</v>
      </c>
      <c r="K699" s="11" t="s">
        <v>43</v>
      </c>
      <c r="L699" s="11" t="s">
        <v>68</v>
      </c>
      <c r="M699" s="11" t="s">
        <v>69</v>
      </c>
      <c r="N699" s="11">
        <v>36300</v>
      </c>
      <c r="O699" s="11">
        <v>2</v>
      </c>
      <c r="P699" s="17">
        <v>0.1</v>
      </c>
      <c r="Q699" s="11">
        <v>5880</v>
      </c>
      <c r="R699" s="11" t="s">
        <v>32</v>
      </c>
      <c r="S699" s="11" t="s">
        <v>47</v>
      </c>
      <c r="T699" s="11" t="s">
        <v>34</v>
      </c>
      <c r="U699" s="11">
        <v>5</v>
      </c>
      <c r="V699" s="11" t="str">
        <f>TEXT('E-Commerce Sales Data'!$B699,"mmmm")</f>
        <v>April</v>
      </c>
      <c r="W699" s="8">
        <f t="shared" si="40"/>
        <v>2747680</v>
      </c>
      <c r="X699">
        <f t="shared" si="41"/>
        <v>503</v>
      </c>
      <c r="Y699">
        <f t="shared" si="42"/>
        <v>31431.07355864811</v>
      </c>
      <c r="Z699">
        <f t="shared" si="43"/>
        <v>55</v>
      </c>
    </row>
    <row r="700" spans="1:26" x14ac:dyDescent="0.25">
      <c r="A700" s="5" t="s">
        <v>803</v>
      </c>
      <c r="B700" s="6">
        <v>50518</v>
      </c>
      <c r="C700" s="7" t="s">
        <v>122</v>
      </c>
      <c r="D700" s="7" t="s">
        <v>50</v>
      </c>
      <c r="E700" s="7">
        <v>43</v>
      </c>
      <c r="F700" s="7" t="s">
        <v>24</v>
      </c>
      <c r="G700" s="7" t="s">
        <v>101</v>
      </c>
      <c r="H700" s="7" t="s">
        <v>102</v>
      </c>
      <c r="I700" s="7" t="s">
        <v>41</v>
      </c>
      <c r="J700" s="7" t="s">
        <v>42</v>
      </c>
      <c r="K700" s="7" t="s">
        <v>29</v>
      </c>
      <c r="L700" s="7" t="s">
        <v>53</v>
      </c>
      <c r="M700" s="7" t="s">
        <v>75</v>
      </c>
      <c r="N700" s="7">
        <v>5850</v>
      </c>
      <c r="O700" s="7">
        <v>4</v>
      </c>
      <c r="P700" s="16">
        <v>0.05</v>
      </c>
      <c r="Q700" s="7">
        <v>1530</v>
      </c>
      <c r="R700" s="7" t="s">
        <v>46</v>
      </c>
      <c r="S700" s="7" t="s">
        <v>33</v>
      </c>
      <c r="T700" s="7" t="s">
        <v>34</v>
      </c>
      <c r="U700" s="7">
        <v>3</v>
      </c>
      <c r="V700" s="7" t="str">
        <f>TEXT('E-Commerce Sales Data'!$B700,"mmmm")</f>
        <v>April</v>
      </c>
      <c r="W700" s="8">
        <f t="shared" si="40"/>
        <v>2741800</v>
      </c>
      <c r="X700">
        <f t="shared" si="41"/>
        <v>502</v>
      </c>
      <c r="Y700">
        <f t="shared" si="42"/>
        <v>31421.374501992032</v>
      </c>
      <c r="Z700">
        <f t="shared" si="43"/>
        <v>55</v>
      </c>
    </row>
    <row r="701" spans="1:26" x14ac:dyDescent="0.25">
      <c r="A701" s="9" t="s">
        <v>804</v>
      </c>
      <c r="B701" s="10">
        <v>50525</v>
      </c>
      <c r="C701" s="11" t="s">
        <v>124</v>
      </c>
      <c r="D701" s="11" t="s">
        <v>100</v>
      </c>
      <c r="E701" s="11">
        <v>32</v>
      </c>
      <c r="F701" s="11" t="s">
        <v>38</v>
      </c>
      <c r="G701" s="11" t="s">
        <v>78</v>
      </c>
      <c r="H701" s="11" t="s">
        <v>26</v>
      </c>
      <c r="I701" s="11" t="s">
        <v>27</v>
      </c>
      <c r="J701" s="11" t="s">
        <v>28</v>
      </c>
      <c r="K701" s="11" t="s">
        <v>29</v>
      </c>
      <c r="L701" s="11" t="s">
        <v>53</v>
      </c>
      <c r="M701" s="11" t="s">
        <v>79</v>
      </c>
      <c r="N701" s="11">
        <v>5300</v>
      </c>
      <c r="O701" s="11">
        <v>7</v>
      </c>
      <c r="P701" s="17">
        <v>0</v>
      </c>
      <c r="Q701" s="11">
        <v>1590</v>
      </c>
      <c r="R701" s="11" t="s">
        <v>32</v>
      </c>
      <c r="S701" s="11" t="s">
        <v>33</v>
      </c>
      <c r="T701" s="11" t="s">
        <v>34</v>
      </c>
      <c r="U701" s="11">
        <v>4</v>
      </c>
      <c r="V701" s="11" t="str">
        <f>TEXT('E-Commerce Sales Data'!$B701,"mmmm")</f>
        <v>April</v>
      </c>
      <c r="W701" s="8">
        <f t="shared" si="40"/>
        <v>2740270</v>
      </c>
      <c r="X701">
        <f t="shared" si="41"/>
        <v>501</v>
      </c>
      <c r="Y701">
        <f t="shared" si="42"/>
        <v>31472.415169660679</v>
      </c>
      <c r="Z701">
        <f t="shared" si="43"/>
        <v>55</v>
      </c>
    </row>
    <row r="702" spans="1:26" x14ac:dyDescent="0.25">
      <c r="A702" s="5" t="s">
        <v>805</v>
      </c>
      <c r="B702" s="6">
        <v>50532</v>
      </c>
      <c r="C702" s="7" t="s">
        <v>22</v>
      </c>
      <c r="D702" s="7" t="s">
        <v>23</v>
      </c>
      <c r="E702" s="7">
        <v>28</v>
      </c>
      <c r="F702" s="7" t="s">
        <v>24</v>
      </c>
      <c r="G702" s="7" t="s">
        <v>25</v>
      </c>
      <c r="H702" s="7" t="s">
        <v>26</v>
      </c>
      <c r="I702" s="7" t="s">
        <v>27</v>
      </c>
      <c r="J702" s="7" t="s">
        <v>28</v>
      </c>
      <c r="K702" s="7" t="s">
        <v>29</v>
      </c>
      <c r="L702" s="7" t="s">
        <v>30</v>
      </c>
      <c r="M702" s="7" t="s">
        <v>31</v>
      </c>
      <c r="N702" s="7">
        <v>101500</v>
      </c>
      <c r="O702" s="7">
        <v>1</v>
      </c>
      <c r="P702" s="16">
        <v>0.05</v>
      </c>
      <c r="Q702" s="7">
        <v>13500</v>
      </c>
      <c r="R702" s="7" t="s">
        <v>32</v>
      </c>
      <c r="S702" s="7" t="s">
        <v>47</v>
      </c>
      <c r="T702" s="7" t="s">
        <v>34</v>
      </c>
      <c r="U702" s="7">
        <v>5</v>
      </c>
      <c r="V702" s="7" t="str">
        <f>TEXT('E-Commerce Sales Data'!$B702,"mmmm")</f>
        <v>May</v>
      </c>
      <c r="W702" s="8">
        <f t="shared" si="40"/>
        <v>2738680</v>
      </c>
      <c r="X702">
        <f t="shared" si="41"/>
        <v>500</v>
      </c>
      <c r="Y702">
        <f t="shared" si="42"/>
        <v>31524.76</v>
      </c>
      <c r="Z702">
        <f t="shared" si="43"/>
        <v>55</v>
      </c>
    </row>
    <row r="703" spans="1:26" x14ac:dyDescent="0.25">
      <c r="A703" s="9" t="s">
        <v>806</v>
      </c>
      <c r="B703" s="10">
        <v>50539</v>
      </c>
      <c r="C703" s="11" t="s">
        <v>36</v>
      </c>
      <c r="D703" s="11" t="s">
        <v>37</v>
      </c>
      <c r="E703" s="11">
        <v>34</v>
      </c>
      <c r="F703" s="11" t="s">
        <v>38</v>
      </c>
      <c r="G703" s="11" t="s">
        <v>39</v>
      </c>
      <c r="H703" s="11" t="s">
        <v>40</v>
      </c>
      <c r="I703" s="11" t="s">
        <v>41</v>
      </c>
      <c r="J703" s="11" t="s">
        <v>42</v>
      </c>
      <c r="K703" s="11" t="s">
        <v>43</v>
      </c>
      <c r="L703" s="11" t="s">
        <v>44</v>
      </c>
      <c r="M703" s="11" t="s">
        <v>45</v>
      </c>
      <c r="N703" s="11">
        <v>15800</v>
      </c>
      <c r="O703" s="11">
        <v>3</v>
      </c>
      <c r="P703" s="17">
        <v>0.1</v>
      </c>
      <c r="Q703" s="11">
        <v>3720</v>
      </c>
      <c r="R703" s="11" t="s">
        <v>46</v>
      </c>
      <c r="S703" s="11" t="s">
        <v>33</v>
      </c>
      <c r="T703" s="11" t="s">
        <v>34</v>
      </c>
      <c r="U703" s="11">
        <v>4</v>
      </c>
      <c r="V703" s="11" t="str">
        <f>TEXT('E-Commerce Sales Data'!$B703,"mmmm")</f>
        <v>May</v>
      </c>
      <c r="W703" s="8">
        <f t="shared" si="40"/>
        <v>2725180</v>
      </c>
      <c r="X703">
        <f t="shared" si="41"/>
        <v>499</v>
      </c>
      <c r="Y703">
        <f t="shared" si="42"/>
        <v>31384.529058116234</v>
      </c>
      <c r="Z703">
        <f t="shared" si="43"/>
        <v>55</v>
      </c>
    </row>
    <row r="704" spans="1:26" x14ac:dyDescent="0.25">
      <c r="A704" s="5" t="s">
        <v>807</v>
      </c>
      <c r="B704" s="6">
        <v>50546</v>
      </c>
      <c r="C704" s="7" t="s">
        <v>49</v>
      </c>
      <c r="D704" s="7" t="s">
        <v>50</v>
      </c>
      <c r="E704" s="7">
        <v>41</v>
      </c>
      <c r="F704" s="7" t="s">
        <v>24</v>
      </c>
      <c r="G704" s="7" t="s">
        <v>51</v>
      </c>
      <c r="H704" s="7" t="s">
        <v>51</v>
      </c>
      <c r="I704" s="7" t="s">
        <v>52</v>
      </c>
      <c r="J704" s="7" t="s">
        <v>28</v>
      </c>
      <c r="K704" s="7" t="s">
        <v>29</v>
      </c>
      <c r="L704" s="7" t="s">
        <v>53</v>
      </c>
      <c r="M704" s="7" t="s">
        <v>54</v>
      </c>
      <c r="N704" s="7">
        <v>36900</v>
      </c>
      <c r="O704" s="7">
        <v>2</v>
      </c>
      <c r="P704" s="16">
        <v>0.05</v>
      </c>
      <c r="Q704" s="7">
        <v>7100</v>
      </c>
      <c r="R704" s="7" t="s">
        <v>55</v>
      </c>
      <c r="S704" s="7" t="s">
        <v>33</v>
      </c>
      <c r="T704" s="7" t="s">
        <v>34</v>
      </c>
      <c r="U704" s="7">
        <v>4</v>
      </c>
      <c r="V704" s="7" t="str">
        <f>TEXT('E-Commerce Sales Data'!$B704,"mmmm")</f>
        <v>May</v>
      </c>
      <c r="W704" s="8">
        <f t="shared" si="40"/>
        <v>2721460</v>
      </c>
      <c r="X704">
        <f t="shared" si="41"/>
        <v>498</v>
      </c>
      <c r="Y704">
        <f t="shared" si="42"/>
        <v>31415.823293172693</v>
      </c>
      <c r="Z704">
        <f t="shared" si="43"/>
        <v>55</v>
      </c>
    </row>
    <row r="705" spans="1:26" x14ac:dyDescent="0.25">
      <c r="A705" s="9" t="s">
        <v>808</v>
      </c>
      <c r="B705" s="10">
        <v>50553</v>
      </c>
      <c r="C705" s="11" t="s">
        <v>57</v>
      </c>
      <c r="D705" s="11" t="s">
        <v>58</v>
      </c>
      <c r="E705" s="11">
        <v>26</v>
      </c>
      <c r="F705" s="11" t="s">
        <v>38</v>
      </c>
      <c r="G705" s="11" t="s">
        <v>59</v>
      </c>
      <c r="H705" s="11" t="s">
        <v>26</v>
      </c>
      <c r="I705" s="11" t="s">
        <v>27</v>
      </c>
      <c r="J705" s="11" t="s">
        <v>28</v>
      </c>
      <c r="K705" s="11" t="s">
        <v>60</v>
      </c>
      <c r="L705" s="11" t="s">
        <v>61</v>
      </c>
      <c r="M705" s="11" t="s">
        <v>86</v>
      </c>
      <c r="N705" s="11">
        <v>1070</v>
      </c>
      <c r="O705" s="11">
        <v>20</v>
      </c>
      <c r="P705" s="17">
        <v>0.02</v>
      </c>
      <c r="Q705" s="11">
        <v>315</v>
      </c>
      <c r="R705" s="11" t="s">
        <v>32</v>
      </c>
      <c r="S705" s="11" t="s">
        <v>33</v>
      </c>
      <c r="T705" s="11" t="s">
        <v>34</v>
      </c>
      <c r="U705" s="11">
        <v>5</v>
      </c>
      <c r="V705" s="11" t="str">
        <f>TEXT('E-Commerce Sales Data'!$B705,"mmmm")</f>
        <v>May</v>
      </c>
      <c r="W705" s="8">
        <f t="shared" si="40"/>
        <v>2714360</v>
      </c>
      <c r="X705">
        <f t="shared" si="41"/>
        <v>497</v>
      </c>
      <c r="Y705">
        <f t="shared" si="42"/>
        <v>31404.788732394365</v>
      </c>
      <c r="Z705">
        <f t="shared" si="43"/>
        <v>55</v>
      </c>
    </row>
    <row r="706" spans="1:26" x14ac:dyDescent="0.25">
      <c r="A706" s="5" t="s">
        <v>809</v>
      </c>
      <c r="B706" s="6">
        <v>50560</v>
      </c>
      <c r="C706" s="7" t="s">
        <v>64</v>
      </c>
      <c r="D706" s="7" t="s">
        <v>65</v>
      </c>
      <c r="E706" s="7">
        <v>39</v>
      </c>
      <c r="F706" s="7" t="s">
        <v>24</v>
      </c>
      <c r="G706" s="7" t="s">
        <v>66</v>
      </c>
      <c r="H706" s="7" t="s">
        <v>67</v>
      </c>
      <c r="I706" s="7" t="s">
        <v>27</v>
      </c>
      <c r="J706" s="7" t="s">
        <v>42</v>
      </c>
      <c r="K706" s="7" t="s">
        <v>43</v>
      </c>
      <c r="L706" s="7" t="s">
        <v>68</v>
      </c>
      <c r="M706" s="7" t="s">
        <v>69</v>
      </c>
      <c r="N706" s="7">
        <v>38200</v>
      </c>
      <c r="O706" s="7">
        <v>2</v>
      </c>
      <c r="P706" s="16">
        <v>0.08</v>
      </c>
      <c r="Q706" s="7">
        <v>6580</v>
      </c>
      <c r="R706" s="7" t="s">
        <v>46</v>
      </c>
      <c r="S706" s="7" t="s">
        <v>47</v>
      </c>
      <c r="T706" s="7" t="s">
        <v>34</v>
      </c>
      <c r="U706" s="7">
        <v>4</v>
      </c>
      <c r="V706" s="7" t="str">
        <f>TEXT('E-Commerce Sales Data'!$B706,"mmmm")</f>
        <v>June</v>
      </c>
      <c r="W706" s="8">
        <f t="shared" si="40"/>
        <v>2714045</v>
      </c>
      <c r="X706">
        <f t="shared" si="41"/>
        <v>496</v>
      </c>
      <c r="Y706">
        <f t="shared" si="42"/>
        <v>31465.947580645163</v>
      </c>
      <c r="Z706">
        <f t="shared" si="43"/>
        <v>55</v>
      </c>
    </row>
    <row r="707" spans="1:26" x14ac:dyDescent="0.25">
      <c r="A707" s="9" t="s">
        <v>810</v>
      </c>
      <c r="B707" s="10">
        <v>50567</v>
      </c>
      <c r="C707" s="11" t="s">
        <v>71</v>
      </c>
      <c r="D707" s="11" t="s">
        <v>72</v>
      </c>
      <c r="E707" s="11">
        <v>31</v>
      </c>
      <c r="F707" s="11" t="s">
        <v>38</v>
      </c>
      <c r="G707" s="11" t="s">
        <v>73</v>
      </c>
      <c r="H707" s="11" t="s">
        <v>74</v>
      </c>
      <c r="I707" s="11" t="s">
        <v>41</v>
      </c>
      <c r="J707" s="11" t="s">
        <v>28</v>
      </c>
      <c r="K707" s="11" t="s">
        <v>29</v>
      </c>
      <c r="L707" s="11" t="s">
        <v>53</v>
      </c>
      <c r="M707" s="11" t="s">
        <v>75</v>
      </c>
      <c r="N707" s="11">
        <v>5550</v>
      </c>
      <c r="O707" s="11">
        <v>3</v>
      </c>
      <c r="P707" s="17">
        <v>0.05</v>
      </c>
      <c r="Q707" s="11">
        <v>1470</v>
      </c>
      <c r="R707" s="11" t="s">
        <v>32</v>
      </c>
      <c r="S707" s="11" t="s">
        <v>33</v>
      </c>
      <c r="T707" s="11" t="s">
        <v>34</v>
      </c>
      <c r="U707" s="11">
        <v>4</v>
      </c>
      <c r="V707" s="11" t="str">
        <f>TEXT('E-Commerce Sales Data'!$B707,"mmmm")</f>
        <v>June</v>
      </c>
      <c r="W707" s="8">
        <f t="shared" ref="W707:W770" si="44">SUM(Q707:Q1906)</f>
        <v>2707465</v>
      </c>
      <c r="X707">
        <f t="shared" ref="X707:X770" si="45">COUNT(E707:E1906)</f>
        <v>495</v>
      </c>
      <c r="Y707">
        <f t="shared" ref="Y707:Y770" si="46">AVERAGE(N707:N1906)</f>
        <v>31452.343434343435</v>
      </c>
      <c r="Z707">
        <f t="shared" ref="Z707:Z770" si="47">MAX(E707:E1906)</f>
        <v>55</v>
      </c>
    </row>
    <row r="708" spans="1:26" x14ac:dyDescent="0.25">
      <c r="A708" s="5" t="s">
        <v>811</v>
      </c>
      <c r="B708" s="6">
        <v>50574</v>
      </c>
      <c r="C708" s="7" t="s">
        <v>77</v>
      </c>
      <c r="D708" s="7" t="s">
        <v>23</v>
      </c>
      <c r="E708" s="7">
        <v>29</v>
      </c>
      <c r="F708" s="7" t="s">
        <v>24</v>
      </c>
      <c r="G708" s="7" t="s">
        <v>78</v>
      </c>
      <c r="H708" s="7" t="s">
        <v>26</v>
      </c>
      <c r="I708" s="7" t="s">
        <v>27</v>
      </c>
      <c r="J708" s="7" t="s">
        <v>28</v>
      </c>
      <c r="K708" s="7" t="s">
        <v>29</v>
      </c>
      <c r="L708" s="7" t="s">
        <v>53</v>
      </c>
      <c r="M708" s="7" t="s">
        <v>79</v>
      </c>
      <c r="N708" s="7">
        <v>5400</v>
      </c>
      <c r="O708" s="7">
        <v>6</v>
      </c>
      <c r="P708" s="16">
        <v>0</v>
      </c>
      <c r="Q708" s="7">
        <v>1620</v>
      </c>
      <c r="R708" s="7" t="s">
        <v>80</v>
      </c>
      <c r="S708" s="7" t="s">
        <v>33</v>
      </c>
      <c r="T708" s="7" t="s">
        <v>34</v>
      </c>
      <c r="U708" s="7">
        <v>3</v>
      </c>
      <c r="V708" s="7" t="str">
        <f>TEXT('E-Commerce Sales Data'!$B708,"mmmm")</f>
        <v>June</v>
      </c>
      <c r="W708" s="8">
        <f t="shared" si="44"/>
        <v>2705995</v>
      </c>
      <c r="X708">
        <f t="shared" si="45"/>
        <v>494</v>
      </c>
      <c r="Y708">
        <f t="shared" si="46"/>
        <v>31504.777327935222</v>
      </c>
      <c r="Z708">
        <f t="shared" si="47"/>
        <v>55</v>
      </c>
    </row>
    <row r="709" spans="1:26" x14ac:dyDescent="0.25">
      <c r="A709" s="9" t="s">
        <v>812</v>
      </c>
      <c r="B709" s="10">
        <v>50581</v>
      </c>
      <c r="C709" s="11" t="s">
        <v>82</v>
      </c>
      <c r="D709" s="11" t="s">
        <v>83</v>
      </c>
      <c r="E709" s="11">
        <v>37</v>
      </c>
      <c r="F709" s="11" t="s">
        <v>38</v>
      </c>
      <c r="G709" s="11" t="s">
        <v>84</v>
      </c>
      <c r="H709" s="11" t="s">
        <v>85</v>
      </c>
      <c r="I709" s="11" t="s">
        <v>52</v>
      </c>
      <c r="J709" s="11" t="s">
        <v>42</v>
      </c>
      <c r="K709" s="11" t="s">
        <v>60</v>
      </c>
      <c r="L709" s="11" t="s">
        <v>61</v>
      </c>
      <c r="M709" s="11" t="s">
        <v>62</v>
      </c>
      <c r="N709" s="11">
        <v>9200</v>
      </c>
      <c r="O709" s="11">
        <v>10</v>
      </c>
      <c r="P709" s="17">
        <v>0.02</v>
      </c>
      <c r="Q709" s="11">
        <v>2280</v>
      </c>
      <c r="R709" s="11" t="s">
        <v>32</v>
      </c>
      <c r="S709" s="11" t="s">
        <v>33</v>
      </c>
      <c r="T709" s="11" t="s">
        <v>34</v>
      </c>
      <c r="U709" s="11">
        <v>5</v>
      </c>
      <c r="V709" s="11" t="str">
        <f>TEXT('E-Commerce Sales Data'!$B709,"mmmm")</f>
        <v>June</v>
      </c>
      <c r="W709" s="8">
        <f t="shared" si="44"/>
        <v>2704375</v>
      </c>
      <c r="X709">
        <f t="shared" si="45"/>
        <v>493</v>
      </c>
      <c r="Y709">
        <f t="shared" si="46"/>
        <v>31557.728194726165</v>
      </c>
      <c r="Z709">
        <f t="shared" si="47"/>
        <v>55</v>
      </c>
    </row>
    <row r="710" spans="1:26" x14ac:dyDescent="0.25">
      <c r="A710" s="5" t="s">
        <v>813</v>
      </c>
      <c r="B710" s="6">
        <v>50588</v>
      </c>
      <c r="C710" s="7" t="s">
        <v>88</v>
      </c>
      <c r="D710" s="7" t="s">
        <v>37</v>
      </c>
      <c r="E710" s="7">
        <v>45</v>
      </c>
      <c r="F710" s="7" t="s">
        <v>24</v>
      </c>
      <c r="G710" s="7" t="s">
        <v>89</v>
      </c>
      <c r="H710" s="7" t="s">
        <v>90</v>
      </c>
      <c r="I710" s="7" t="s">
        <v>91</v>
      </c>
      <c r="J710" s="7" t="s">
        <v>42</v>
      </c>
      <c r="K710" s="7" t="s">
        <v>43</v>
      </c>
      <c r="L710" s="7" t="s">
        <v>92</v>
      </c>
      <c r="M710" s="7" t="s">
        <v>93</v>
      </c>
      <c r="N710" s="7">
        <v>24200</v>
      </c>
      <c r="O710" s="7">
        <v>1</v>
      </c>
      <c r="P710" s="16">
        <v>0.1</v>
      </c>
      <c r="Q710" s="7">
        <v>4380</v>
      </c>
      <c r="R710" s="7" t="s">
        <v>46</v>
      </c>
      <c r="S710" s="7" t="s">
        <v>47</v>
      </c>
      <c r="T710" s="7" t="s">
        <v>34</v>
      </c>
      <c r="U710" s="7">
        <v>4</v>
      </c>
      <c r="V710" s="7" t="str">
        <f>TEXT('E-Commerce Sales Data'!$B710,"mmmm")</f>
        <v>July</v>
      </c>
      <c r="W710" s="8">
        <f t="shared" si="44"/>
        <v>2702095</v>
      </c>
      <c r="X710">
        <f t="shared" si="45"/>
        <v>492</v>
      </c>
      <c r="Y710">
        <f t="shared" si="46"/>
        <v>31603.170731707316</v>
      </c>
      <c r="Z710">
        <f t="shared" si="47"/>
        <v>55</v>
      </c>
    </row>
    <row r="711" spans="1:26" x14ac:dyDescent="0.25">
      <c r="A711" s="9" t="s">
        <v>814</v>
      </c>
      <c r="B711" s="10">
        <v>50595</v>
      </c>
      <c r="C711" s="11" t="s">
        <v>95</v>
      </c>
      <c r="D711" s="11" t="s">
        <v>65</v>
      </c>
      <c r="E711" s="11">
        <v>25</v>
      </c>
      <c r="F711" s="11" t="s">
        <v>38</v>
      </c>
      <c r="G711" s="11" t="s">
        <v>25</v>
      </c>
      <c r="H711" s="11" t="s">
        <v>26</v>
      </c>
      <c r="I711" s="11" t="s">
        <v>27</v>
      </c>
      <c r="J711" s="11" t="s">
        <v>28</v>
      </c>
      <c r="K711" s="11" t="s">
        <v>29</v>
      </c>
      <c r="L711" s="11" t="s">
        <v>96</v>
      </c>
      <c r="M711" s="11" t="s">
        <v>97</v>
      </c>
      <c r="N711" s="11">
        <v>26400</v>
      </c>
      <c r="O711" s="11">
        <v>2</v>
      </c>
      <c r="P711" s="17">
        <v>0.05</v>
      </c>
      <c r="Q711" s="11">
        <v>5140</v>
      </c>
      <c r="R711" s="11" t="s">
        <v>32</v>
      </c>
      <c r="S711" s="11" t="s">
        <v>33</v>
      </c>
      <c r="T711" s="11" t="s">
        <v>34</v>
      </c>
      <c r="U711" s="11">
        <v>4</v>
      </c>
      <c r="V711" s="11" t="str">
        <f>TEXT('E-Commerce Sales Data'!$B711,"mmmm")</f>
        <v>July</v>
      </c>
      <c r="W711" s="8">
        <f t="shared" si="44"/>
        <v>2697715</v>
      </c>
      <c r="X711">
        <f t="shared" si="45"/>
        <v>491</v>
      </c>
      <c r="Y711">
        <f t="shared" si="46"/>
        <v>31618.248472505093</v>
      </c>
      <c r="Z711">
        <f t="shared" si="47"/>
        <v>55</v>
      </c>
    </row>
    <row r="712" spans="1:26" x14ac:dyDescent="0.25">
      <c r="A712" s="5" t="s">
        <v>815</v>
      </c>
      <c r="B712" s="6">
        <v>50602</v>
      </c>
      <c r="C712" s="7" t="s">
        <v>99</v>
      </c>
      <c r="D712" s="7" t="s">
        <v>100</v>
      </c>
      <c r="E712" s="7">
        <v>33</v>
      </c>
      <c r="F712" s="7" t="s">
        <v>24</v>
      </c>
      <c r="G712" s="7" t="s">
        <v>101</v>
      </c>
      <c r="H712" s="7" t="s">
        <v>102</v>
      </c>
      <c r="I712" s="7" t="s">
        <v>41</v>
      </c>
      <c r="J712" s="7" t="s">
        <v>28</v>
      </c>
      <c r="K712" s="7" t="s">
        <v>60</v>
      </c>
      <c r="L712" s="7" t="s">
        <v>53</v>
      </c>
      <c r="M712" s="7" t="s">
        <v>103</v>
      </c>
      <c r="N712" s="7">
        <v>1560</v>
      </c>
      <c r="O712" s="7">
        <v>25</v>
      </c>
      <c r="P712" s="16">
        <v>0</v>
      </c>
      <c r="Q712" s="7">
        <v>490</v>
      </c>
      <c r="R712" s="7" t="s">
        <v>55</v>
      </c>
      <c r="S712" s="7" t="s">
        <v>33</v>
      </c>
      <c r="T712" s="7" t="s">
        <v>34</v>
      </c>
      <c r="U712" s="7">
        <v>5</v>
      </c>
      <c r="V712" s="7" t="str">
        <f>TEXT('E-Commerce Sales Data'!$B712,"mmmm")</f>
        <v>July</v>
      </c>
      <c r="W712" s="8">
        <f t="shared" si="44"/>
        <v>2692575</v>
      </c>
      <c r="X712">
        <f t="shared" si="45"/>
        <v>490</v>
      </c>
      <c r="Y712">
        <f t="shared" si="46"/>
        <v>31628.897959183672</v>
      </c>
      <c r="Z712">
        <f t="shared" si="47"/>
        <v>55</v>
      </c>
    </row>
    <row r="713" spans="1:26" x14ac:dyDescent="0.25">
      <c r="A713" s="9" t="s">
        <v>816</v>
      </c>
      <c r="B713" s="10">
        <v>50609</v>
      </c>
      <c r="C713" s="11" t="s">
        <v>105</v>
      </c>
      <c r="D713" s="11" t="s">
        <v>58</v>
      </c>
      <c r="E713" s="11">
        <v>42</v>
      </c>
      <c r="F713" s="11" t="s">
        <v>38</v>
      </c>
      <c r="G713" s="11" t="s">
        <v>51</v>
      </c>
      <c r="H713" s="11" t="s">
        <v>51</v>
      </c>
      <c r="I713" s="11" t="s">
        <v>52</v>
      </c>
      <c r="J713" s="11" t="s">
        <v>42</v>
      </c>
      <c r="K713" s="11" t="s">
        <v>43</v>
      </c>
      <c r="L713" s="11" t="s">
        <v>68</v>
      </c>
      <c r="M713" s="11" t="s">
        <v>106</v>
      </c>
      <c r="N713" s="11">
        <v>39200</v>
      </c>
      <c r="O713" s="11">
        <v>1</v>
      </c>
      <c r="P713" s="17">
        <v>0.08</v>
      </c>
      <c r="Q713" s="11">
        <v>8300</v>
      </c>
      <c r="R713" s="11" t="s">
        <v>46</v>
      </c>
      <c r="S713" s="11" t="s">
        <v>47</v>
      </c>
      <c r="T713" s="11" t="s">
        <v>34</v>
      </c>
      <c r="U713" s="11">
        <v>4</v>
      </c>
      <c r="V713" s="11" t="str">
        <f>TEXT('E-Commerce Sales Data'!$B713,"mmmm")</f>
        <v>July</v>
      </c>
      <c r="W713" s="8">
        <f t="shared" si="44"/>
        <v>2692085</v>
      </c>
      <c r="X713">
        <f t="shared" si="45"/>
        <v>489</v>
      </c>
      <c r="Y713">
        <f t="shared" si="46"/>
        <v>31690.388548057261</v>
      </c>
      <c r="Z713">
        <f t="shared" si="47"/>
        <v>55</v>
      </c>
    </row>
    <row r="714" spans="1:26" x14ac:dyDescent="0.25">
      <c r="A714" s="5" t="s">
        <v>817</v>
      </c>
      <c r="B714" s="6">
        <v>50616</v>
      </c>
      <c r="C714" s="7" t="s">
        <v>108</v>
      </c>
      <c r="D714" s="7" t="s">
        <v>23</v>
      </c>
      <c r="E714" s="7">
        <v>30</v>
      </c>
      <c r="F714" s="7" t="s">
        <v>24</v>
      </c>
      <c r="G714" s="7" t="s">
        <v>59</v>
      </c>
      <c r="H714" s="7" t="s">
        <v>26</v>
      </c>
      <c r="I714" s="7" t="s">
        <v>27</v>
      </c>
      <c r="J714" s="7" t="s">
        <v>28</v>
      </c>
      <c r="K714" s="7" t="s">
        <v>29</v>
      </c>
      <c r="L714" s="7" t="s">
        <v>30</v>
      </c>
      <c r="M714" s="7" t="s">
        <v>31</v>
      </c>
      <c r="N714" s="7">
        <v>107000</v>
      </c>
      <c r="O714" s="7">
        <v>1</v>
      </c>
      <c r="P714" s="16">
        <v>0.1</v>
      </c>
      <c r="Q714" s="7">
        <v>12600</v>
      </c>
      <c r="R714" s="7" t="s">
        <v>32</v>
      </c>
      <c r="S714" s="7" t="s">
        <v>47</v>
      </c>
      <c r="T714" s="7" t="s">
        <v>34</v>
      </c>
      <c r="U714" s="7">
        <v>5</v>
      </c>
      <c r="V714" s="7" t="str">
        <f>TEXT('E-Commerce Sales Data'!$B714,"mmmm")</f>
        <v>July</v>
      </c>
      <c r="W714" s="8">
        <f t="shared" si="44"/>
        <v>2683785</v>
      </c>
      <c r="X714">
        <f t="shared" si="45"/>
        <v>488</v>
      </c>
      <c r="Y714">
        <f t="shared" si="46"/>
        <v>31675</v>
      </c>
      <c r="Z714">
        <f t="shared" si="47"/>
        <v>55</v>
      </c>
    </row>
    <row r="715" spans="1:26" x14ac:dyDescent="0.25">
      <c r="A715" s="9" t="s">
        <v>818</v>
      </c>
      <c r="B715" s="10">
        <v>50623</v>
      </c>
      <c r="C715" s="11" t="s">
        <v>110</v>
      </c>
      <c r="D715" s="11" t="s">
        <v>37</v>
      </c>
      <c r="E715" s="11">
        <v>36</v>
      </c>
      <c r="F715" s="11" t="s">
        <v>38</v>
      </c>
      <c r="G715" s="11" t="s">
        <v>66</v>
      </c>
      <c r="H715" s="11" t="s">
        <v>67</v>
      </c>
      <c r="I715" s="11" t="s">
        <v>27</v>
      </c>
      <c r="J715" s="11" t="s">
        <v>28</v>
      </c>
      <c r="K715" s="11" t="s">
        <v>60</v>
      </c>
      <c r="L715" s="11" t="s">
        <v>92</v>
      </c>
      <c r="M715" s="11" t="s">
        <v>111</v>
      </c>
      <c r="N715" s="11">
        <v>2040</v>
      </c>
      <c r="O715" s="11">
        <v>15</v>
      </c>
      <c r="P715" s="17">
        <v>0.05</v>
      </c>
      <c r="Q715" s="11">
        <v>660</v>
      </c>
      <c r="R715" s="11" t="s">
        <v>80</v>
      </c>
      <c r="S715" s="11" t="s">
        <v>33</v>
      </c>
      <c r="T715" s="11" t="s">
        <v>34</v>
      </c>
      <c r="U715" s="11">
        <v>4</v>
      </c>
      <c r="V715" s="11" t="str">
        <f>TEXT('E-Commerce Sales Data'!$B715,"mmmm")</f>
        <v>August</v>
      </c>
      <c r="W715" s="8">
        <f t="shared" si="44"/>
        <v>2671185</v>
      </c>
      <c r="X715">
        <f t="shared" si="45"/>
        <v>487</v>
      </c>
      <c r="Y715">
        <f t="shared" si="46"/>
        <v>31520.328542094456</v>
      </c>
      <c r="Z715">
        <f t="shared" si="47"/>
        <v>55</v>
      </c>
    </row>
    <row r="716" spans="1:26" x14ac:dyDescent="0.25">
      <c r="A716" s="5" t="s">
        <v>819</v>
      </c>
      <c r="B716" s="6">
        <v>50630</v>
      </c>
      <c r="C716" s="7" t="s">
        <v>113</v>
      </c>
      <c r="D716" s="7" t="s">
        <v>114</v>
      </c>
      <c r="E716" s="7">
        <v>40</v>
      </c>
      <c r="F716" s="7" t="s">
        <v>24</v>
      </c>
      <c r="G716" s="7" t="s">
        <v>73</v>
      </c>
      <c r="H716" s="7" t="s">
        <v>74</v>
      </c>
      <c r="I716" s="7" t="s">
        <v>41</v>
      </c>
      <c r="J716" s="7" t="s">
        <v>42</v>
      </c>
      <c r="K716" s="7" t="s">
        <v>43</v>
      </c>
      <c r="L716" s="7" t="s">
        <v>44</v>
      </c>
      <c r="M716" s="7" t="s">
        <v>45</v>
      </c>
      <c r="N716" s="7">
        <v>19600</v>
      </c>
      <c r="O716" s="7">
        <v>4</v>
      </c>
      <c r="P716" s="16">
        <v>7.0000000000000007E-2</v>
      </c>
      <c r="Q716" s="7">
        <v>4500</v>
      </c>
      <c r="R716" s="7" t="s">
        <v>46</v>
      </c>
      <c r="S716" s="7" t="s">
        <v>33</v>
      </c>
      <c r="T716" s="7" t="s">
        <v>34</v>
      </c>
      <c r="U716" s="7">
        <v>4</v>
      </c>
      <c r="V716" s="7" t="str">
        <f>TEXT('E-Commerce Sales Data'!$B716,"mmmm")</f>
        <v>August</v>
      </c>
      <c r="W716" s="8">
        <f t="shared" si="44"/>
        <v>2670525</v>
      </c>
      <c r="X716">
        <f t="shared" si="45"/>
        <v>486</v>
      </c>
      <c r="Y716">
        <f t="shared" si="46"/>
        <v>31580.987654320987</v>
      </c>
      <c r="Z716">
        <f t="shared" si="47"/>
        <v>55</v>
      </c>
    </row>
    <row r="717" spans="1:26" x14ac:dyDescent="0.25">
      <c r="A717" s="9" t="s">
        <v>820</v>
      </c>
      <c r="B717" s="10">
        <v>50637</v>
      </c>
      <c r="C717" s="11" t="s">
        <v>116</v>
      </c>
      <c r="D717" s="11" t="s">
        <v>83</v>
      </c>
      <c r="E717" s="11">
        <v>27</v>
      </c>
      <c r="F717" s="11" t="s">
        <v>38</v>
      </c>
      <c r="G717" s="11" t="s">
        <v>39</v>
      </c>
      <c r="H717" s="11" t="s">
        <v>40</v>
      </c>
      <c r="I717" s="11" t="s">
        <v>41</v>
      </c>
      <c r="J717" s="11" t="s">
        <v>28</v>
      </c>
      <c r="K717" s="11" t="s">
        <v>29</v>
      </c>
      <c r="L717" s="11" t="s">
        <v>53</v>
      </c>
      <c r="M717" s="11" t="s">
        <v>54</v>
      </c>
      <c r="N717" s="11">
        <v>39700</v>
      </c>
      <c r="O717" s="11">
        <v>2</v>
      </c>
      <c r="P717" s="17">
        <v>0.05</v>
      </c>
      <c r="Q717" s="11">
        <v>7700</v>
      </c>
      <c r="R717" s="11" t="s">
        <v>32</v>
      </c>
      <c r="S717" s="11" t="s">
        <v>47</v>
      </c>
      <c r="T717" s="11" t="s">
        <v>34</v>
      </c>
      <c r="U717" s="11">
        <v>5</v>
      </c>
      <c r="V717" s="11" t="str">
        <f>TEXT('E-Commerce Sales Data'!$B717,"mmmm")</f>
        <v>August</v>
      </c>
      <c r="W717" s="8">
        <f t="shared" si="44"/>
        <v>2666025</v>
      </c>
      <c r="X717">
        <f t="shared" si="45"/>
        <v>485</v>
      </c>
      <c r="Y717">
        <f t="shared" si="46"/>
        <v>31605.690721649484</v>
      </c>
      <c r="Z717">
        <f t="shared" si="47"/>
        <v>55</v>
      </c>
    </row>
    <row r="718" spans="1:26" x14ac:dyDescent="0.25">
      <c r="A718" s="5" t="s">
        <v>821</v>
      </c>
      <c r="B718" s="6">
        <v>50644</v>
      </c>
      <c r="C718" s="7" t="s">
        <v>118</v>
      </c>
      <c r="D718" s="7" t="s">
        <v>72</v>
      </c>
      <c r="E718" s="7">
        <v>35</v>
      </c>
      <c r="F718" s="7" t="s">
        <v>24</v>
      </c>
      <c r="G718" s="7" t="s">
        <v>84</v>
      </c>
      <c r="H718" s="7" t="s">
        <v>85</v>
      </c>
      <c r="I718" s="7" t="s">
        <v>52</v>
      </c>
      <c r="J718" s="7" t="s">
        <v>42</v>
      </c>
      <c r="K718" s="7" t="s">
        <v>60</v>
      </c>
      <c r="L718" s="7" t="s">
        <v>61</v>
      </c>
      <c r="M718" s="7" t="s">
        <v>62</v>
      </c>
      <c r="N718" s="7">
        <v>9300</v>
      </c>
      <c r="O718" s="7">
        <v>10</v>
      </c>
      <c r="P718" s="16">
        <v>0.03</v>
      </c>
      <c r="Q718" s="7">
        <v>2310</v>
      </c>
      <c r="R718" s="7" t="s">
        <v>55</v>
      </c>
      <c r="S718" s="7" t="s">
        <v>33</v>
      </c>
      <c r="T718" s="7" t="s">
        <v>34</v>
      </c>
      <c r="U718" s="7">
        <v>4</v>
      </c>
      <c r="V718" s="7" t="str">
        <f>TEXT('E-Commerce Sales Data'!$B718,"mmmm")</f>
        <v>August</v>
      </c>
      <c r="W718" s="8">
        <f t="shared" si="44"/>
        <v>2658325</v>
      </c>
      <c r="X718">
        <f t="shared" si="45"/>
        <v>484</v>
      </c>
      <c r="Y718">
        <f t="shared" si="46"/>
        <v>31588.96694214876</v>
      </c>
      <c r="Z718">
        <f t="shared" si="47"/>
        <v>55</v>
      </c>
    </row>
    <row r="719" spans="1:26" x14ac:dyDescent="0.25">
      <c r="A719" s="9" t="s">
        <v>822</v>
      </c>
      <c r="B719" s="10">
        <v>50651</v>
      </c>
      <c r="C719" s="11" t="s">
        <v>120</v>
      </c>
      <c r="D719" s="11" t="s">
        <v>23</v>
      </c>
      <c r="E719" s="11">
        <v>24</v>
      </c>
      <c r="F719" s="11" t="s">
        <v>38</v>
      </c>
      <c r="G719" s="11" t="s">
        <v>25</v>
      </c>
      <c r="H719" s="11" t="s">
        <v>26</v>
      </c>
      <c r="I719" s="11" t="s">
        <v>27</v>
      </c>
      <c r="J719" s="11" t="s">
        <v>28</v>
      </c>
      <c r="K719" s="11" t="s">
        <v>43</v>
      </c>
      <c r="L719" s="11" t="s">
        <v>68</v>
      </c>
      <c r="M719" s="11" t="s">
        <v>69</v>
      </c>
      <c r="N719" s="11">
        <v>37000</v>
      </c>
      <c r="O719" s="11">
        <v>2</v>
      </c>
      <c r="P719" s="17">
        <v>0.1</v>
      </c>
      <c r="Q719" s="11">
        <v>6000</v>
      </c>
      <c r="R719" s="11" t="s">
        <v>32</v>
      </c>
      <c r="S719" s="11" t="s">
        <v>47</v>
      </c>
      <c r="T719" s="11" t="s">
        <v>34</v>
      </c>
      <c r="U719" s="11">
        <v>5</v>
      </c>
      <c r="V719" s="11" t="str">
        <f>TEXT('E-Commerce Sales Data'!$B719,"mmmm")</f>
        <v>September</v>
      </c>
      <c r="W719" s="8">
        <f t="shared" si="44"/>
        <v>2656015</v>
      </c>
      <c r="X719">
        <f t="shared" si="45"/>
        <v>483</v>
      </c>
      <c r="Y719">
        <f t="shared" si="46"/>
        <v>31635.113871635611</v>
      </c>
      <c r="Z719">
        <f t="shared" si="47"/>
        <v>55</v>
      </c>
    </row>
    <row r="720" spans="1:26" x14ac:dyDescent="0.25">
      <c r="A720" s="5" t="s">
        <v>823</v>
      </c>
      <c r="B720" s="6">
        <v>50658</v>
      </c>
      <c r="C720" s="7" t="s">
        <v>122</v>
      </c>
      <c r="D720" s="7" t="s">
        <v>50</v>
      </c>
      <c r="E720" s="7">
        <v>43</v>
      </c>
      <c r="F720" s="7" t="s">
        <v>24</v>
      </c>
      <c r="G720" s="7" t="s">
        <v>101</v>
      </c>
      <c r="H720" s="7" t="s">
        <v>102</v>
      </c>
      <c r="I720" s="7" t="s">
        <v>41</v>
      </c>
      <c r="J720" s="7" t="s">
        <v>42</v>
      </c>
      <c r="K720" s="7" t="s">
        <v>29</v>
      </c>
      <c r="L720" s="7" t="s">
        <v>53</v>
      </c>
      <c r="M720" s="7" t="s">
        <v>75</v>
      </c>
      <c r="N720" s="7">
        <v>5950</v>
      </c>
      <c r="O720" s="7">
        <v>4</v>
      </c>
      <c r="P720" s="16">
        <v>0.05</v>
      </c>
      <c r="Q720" s="7">
        <v>1560</v>
      </c>
      <c r="R720" s="7" t="s">
        <v>46</v>
      </c>
      <c r="S720" s="7" t="s">
        <v>33</v>
      </c>
      <c r="T720" s="7" t="s">
        <v>34</v>
      </c>
      <c r="U720" s="7">
        <v>3</v>
      </c>
      <c r="V720" s="7" t="str">
        <f>TEXT('E-Commerce Sales Data'!$B720,"mmmm")</f>
        <v>September</v>
      </c>
      <c r="W720" s="8">
        <f t="shared" si="44"/>
        <v>2650015</v>
      </c>
      <c r="X720">
        <f t="shared" si="45"/>
        <v>482</v>
      </c>
      <c r="Y720">
        <f t="shared" si="46"/>
        <v>31623.983402489626</v>
      </c>
      <c r="Z720">
        <f t="shared" si="47"/>
        <v>55</v>
      </c>
    </row>
    <row r="721" spans="1:26" x14ac:dyDescent="0.25">
      <c r="A721" s="9" t="s">
        <v>824</v>
      </c>
      <c r="B721" s="10">
        <v>50665</v>
      </c>
      <c r="C721" s="11" t="s">
        <v>124</v>
      </c>
      <c r="D721" s="11" t="s">
        <v>100</v>
      </c>
      <c r="E721" s="11">
        <v>32</v>
      </c>
      <c r="F721" s="11" t="s">
        <v>38</v>
      </c>
      <c r="G721" s="11" t="s">
        <v>78</v>
      </c>
      <c r="H721" s="11" t="s">
        <v>26</v>
      </c>
      <c r="I721" s="11" t="s">
        <v>27</v>
      </c>
      <c r="J721" s="11" t="s">
        <v>28</v>
      </c>
      <c r="K721" s="11" t="s">
        <v>29</v>
      </c>
      <c r="L721" s="11" t="s">
        <v>53</v>
      </c>
      <c r="M721" s="11" t="s">
        <v>79</v>
      </c>
      <c r="N721" s="11">
        <v>5500</v>
      </c>
      <c r="O721" s="11">
        <v>7</v>
      </c>
      <c r="P721" s="17">
        <v>0</v>
      </c>
      <c r="Q721" s="11">
        <v>1650</v>
      </c>
      <c r="R721" s="11" t="s">
        <v>32</v>
      </c>
      <c r="S721" s="11" t="s">
        <v>33</v>
      </c>
      <c r="T721" s="11" t="s">
        <v>34</v>
      </c>
      <c r="U721" s="11">
        <v>4</v>
      </c>
      <c r="V721" s="11" t="str">
        <f>TEXT('E-Commerce Sales Data'!$B721,"mmmm")</f>
        <v>September</v>
      </c>
      <c r="W721" s="8">
        <f t="shared" si="44"/>
        <v>2648455</v>
      </c>
      <c r="X721">
        <f t="shared" si="45"/>
        <v>481</v>
      </c>
      <c r="Y721">
        <f t="shared" si="46"/>
        <v>31677.359667359666</v>
      </c>
      <c r="Z721">
        <f t="shared" si="47"/>
        <v>55</v>
      </c>
    </row>
    <row r="722" spans="1:26" x14ac:dyDescent="0.25">
      <c r="A722" s="5" t="s">
        <v>825</v>
      </c>
      <c r="B722" s="6">
        <v>50672</v>
      </c>
      <c r="C722" s="7" t="s">
        <v>22</v>
      </c>
      <c r="D722" s="7" t="s">
        <v>23</v>
      </c>
      <c r="E722" s="7">
        <v>28</v>
      </c>
      <c r="F722" s="7" t="s">
        <v>24</v>
      </c>
      <c r="G722" s="7" t="s">
        <v>25</v>
      </c>
      <c r="H722" s="7" t="s">
        <v>26</v>
      </c>
      <c r="I722" s="7" t="s">
        <v>27</v>
      </c>
      <c r="J722" s="7" t="s">
        <v>28</v>
      </c>
      <c r="K722" s="7" t="s">
        <v>29</v>
      </c>
      <c r="L722" s="7" t="s">
        <v>30</v>
      </c>
      <c r="M722" s="7" t="s">
        <v>31</v>
      </c>
      <c r="N722" s="7">
        <v>103000</v>
      </c>
      <c r="O722" s="7">
        <v>1</v>
      </c>
      <c r="P722" s="16">
        <v>0.05</v>
      </c>
      <c r="Q722" s="7">
        <v>13700</v>
      </c>
      <c r="R722" s="7" t="s">
        <v>32</v>
      </c>
      <c r="S722" s="7" t="s">
        <v>47</v>
      </c>
      <c r="T722" s="7" t="s">
        <v>34</v>
      </c>
      <c r="U722" s="7">
        <v>5</v>
      </c>
      <c r="V722" s="7" t="str">
        <f>TEXT('E-Commerce Sales Data'!$B722,"mmmm")</f>
        <v>September</v>
      </c>
      <c r="W722" s="8">
        <f t="shared" si="44"/>
        <v>2646805</v>
      </c>
      <c r="X722">
        <f t="shared" si="45"/>
        <v>480</v>
      </c>
      <c r="Y722">
        <f t="shared" si="46"/>
        <v>31731.895833333332</v>
      </c>
      <c r="Z722">
        <f t="shared" si="47"/>
        <v>55</v>
      </c>
    </row>
    <row r="723" spans="1:26" x14ac:dyDescent="0.25">
      <c r="A723" s="9" t="s">
        <v>826</v>
      </c>
      <c r="B723" s="10">
        <v>50679</v>
      </c>
      <c r="C723" s="11" t="s">
        <v>36</v>
      </c>
      <c r="D723" s="11" t="s">
        <v>37</v>
      </c>
      <c r="E723" s="11">
        <v>34</v>
      </c>
      <c r="F723" s="11" t="s">
        <v>38</v>
      </c>
      <c r="G723" s="11" t="s">
        <v>39</v>
      </c>
      <c r="H723" s="11" t="s">
        <v>40</v>
      </c>
      <c r="I723" s="11" t="s">
        <v>41</v>
      </c>
      <c r="J723" s="11" t="s">
        <v>42</v>
      </c>
      <c r="K723" s="11" t="s">
        <v>43</v>
      </c>
      <c r="L723" s="11" t="s">
        <v>44</v>
      </c>
      <c r="M723" s="11" t="s">
        <v>45</v>
      </c>
      <c r="N723" s="11">
        <v>16100</v>
      </c>
      <c r="O723" s="11">
        <v>3</v>
      </c>
      <c r="P723" s="17">
        <v>0.1</v>
      </c>
      <c r="Q723" s="11">
        <v>3800</v>
      </c>
      <c r="R723" s="11" t="s">
        <v>46</v>
      </c>
      <c r="S723" s="11" t="s">
        <v>33</v>
      </c>
      <c r="T723" s="11" t="s">
        <v>34</v>
      </c>
      <c r="U723" s="11">
        <v>4</v>
      </c>
      <c r="V723" s="11" t="str">
        <f>TEXT('E-Commerce Sales Data'!$B723,"mmmm")</f>
        <v>October</v>
      </c>
      <c r="W723" s="8">
        <f t="shared" si="44"/>
        <v>2633105</v>
      </c>
      <c r="X723">
        <f t="shared" si="45"/>
        <v>479</v>
      </c>
      <c r="Y723">
        <f t="shared" si="46"/>
        <v>31583.110647181627</v>
      </c>
      <c r="Z723">
        <f t="shared" si="47"/>
        <v>55</v>
      </c>
    </row>
    <row r="724" spans="1:26" x14ac:dyDescent="0.25">
      <c r="A724" s="5" t="s">
        <v>827</v>
      </c>
      <c r="B724" s="6">
        <v>50686</v>
      </c>
      <c r="C724" s="7" t="s">
        <v>49</v>
      </c>
      <c r="D724" s="7" t="s">
        <v>50</v>
      </c>
      <c r="E724" s="7">
        <v>41</v>
      </c>
      <c r="F724" s="7" t="s">
        <v>24</v>
      </c>
      <c r="G724" s="7" t="s">
        <v>51</v>
      </c>
      <c r="H724" s="7" t="s">
        <v>51</v>
      </c>
      <c r="I724" s="7" t="s">
        <v>52</v>
      </c>
      <c r="J724" s="7" t="s">
        <v>28</v>
      </c>
      <c r="K724" s="7" t="s">
        <v>29</v>
      </c>
      <c r="L724" s="7" t="s">
        <v>53</v>
      </c>
      <c r="M724" s="7" t="s">
        <v>54</v>
      </c>
      <c r="N724" s="7">
        <v>37600</v>
      </c>
      <c r="O724" s="7">
        <v>2</v>
      </c>
      <c r="P724" s="16">
        <v>0.05</v>
      </c>
      <c r="Q724" s="7">
        <v>7250</v>
      </c>
      <c r="R724" s="7" t="s">
        <v>55</v>
      </c>
      <c r="S724" s="7" t="s">
        <v>33</v>
      </c>
      <c r="T724" s="7" t="s">
        <v>34</v>
      </c>
      <c r="U724" s="7">
        <v>4</v>
      </c>
      <c r="V724" s="7" t="str">
        <f>TEXT('E-Commerce Sales Data'!$B724,"mmmm")</f>
        <v>October</v>
      </c>
      <c r="W724" s="8">
        <f t="shared" si="44"/>
        <v>2629305</v>
      </c>
      <c r="X724">
        <f t="shared" si="45"/>
        <v>478</v>
      </c>
      <c r="Y724">
        <f t="shared" si="46"/>
        <v>31615.50209205021</v>
      </c>
      <c r="Z724">
        <f t="shared" si="47"/>
        <v>55</v>
      </c>
    </row>
    <row r="725" spans="1:26" x14ac:dyDescent="0.25">
      <c r="A725" s="9" t="s">
        <v>828</v>
      </c>
      <c r="B725" s="10">
        <v>50693</v>
      </c>
      <c r="C725" s="11" t="s">
        <v>57</v>
      </c>
      <c r="D725" s="11" t="s">
        <v>58</v>
      </c>
      <c r="E725" s="11">
        <v>26</v>
      </c>
      <c r="F725" s="11" t="s">
        <v>38</v>
      </c>
      <c r="G725" s="11" t="s">
        <v>59</v>
      </c>
      <c r="H725" s="11" t="s">
        <v>26</v>
      </c>
      <c r="I725" s="11" t="s">
        <v>27</v>
      </c>
      <c r="J725" s="11" t="s">
        <v>28</v>
      </c>
      <c r="K725" s="11" t="s">
        <v>60</v>
      </c>
      <c r="L725" s="11" t="s">
        <v>61</v>
      </c>
      <c r="M725" s="11" t="s">
        <v>86</v>
      </c>
      <c r="N725" s="11">
        <v>1090</v>
      </c>
      <c r="O725" s="11">
        <v>20</v>
      </c>
      <c r="P725" s="17">
        <v>0.02</v>
      </c>
      <c r="Q725" s="11">
        <v>320</v>
      </c>
      <c r="R725" s="11" t="s">
        <v>32</v>
      </c>
      <c r="S725" s="11" t="s">
        <v>33</v>
      </c>
      <c r="T725" s="11" t="s">
        <v>34</v>
      </c>
      <c r="U725" s="11">
        <v>5</v>
      </c>
      <c r="V725" s="11" t="str">
        <f>TEXT('E-Commerce Sales Data'!$B725,"mmmm")</f>
        <v>October</v>
      </c>
      <c r="W725" s="8">
        <f t="shared" si="44"/>
        <v>2622055</v>
      </c>
      <c r="X725">
        <f t="shared" si="45"/>
        <v>477</v>
      </c>
      <c r="Y725">
        <f t="shared" si="46"/>
        <v>31602.955974842767</v>
      </c>
      <c r="Z725">
        <f t="shared" si="47"/>
        <v>55</v>
      </c>
    </row>
    <row r="726" spans="1:26" x14ac:dyDescent="0.25">
      <c r="A726" s="5" t="s">
        <v>829</v>
      </c>
      <c r="B726" s="6">
        <v>50700</v>
      </c>
      <c r="C726" s="7" t="s">
        <v>64</v>
      </c>
      <c r="D726" s="7" t="s">
        <v>65</v>
      </c>
      <c r="E726" s="7">
        <v>39</v>
      </c>
      <c r="F726" s="7" t="s">
        <v>24</v>
      </c>
      <c r="G726" s="7" t="s">
        <v>66</v>
      </c>
      <c r="H726" s="7" t="s">
        <v>67</v>
      </c>
      <c r="I726" s="7" t="s">
        <v>27</v>
      </c>
      <c r="J726" s="7" t="s">
        <v>42</v>
      </c>
      <c r="K726" s="7" t="s">
        <v>43</v>
      </c>
      <c r="L726" s="7" t="s">
        <v>68</v>
      </c>
      <c r="M726" s="7" t="s">
        <v>69</v>
      </c>
      <c r="N726" s="7">
        <v>39000</v>
      </c>
      <c r="O726" s="7">
        <v>2</v>
      </c>
      <c r="P726" s="16">
        <v>0.08</v>
      </c>
      <c r="Q726" s="7">
        <v>6720</v>
      </c>
      <c r="R726" s="7" t="s">
        <v>46</v>
      </c>
      <c r="S726" s="7" t="s">
        <v>47</v>
      </c>
      <c r="T726" s="7" t="s">
        <v>34</v>
      </c>
      <c r="U726" s="7">
        <v>4</v>
      </c>
      <c r="V726" s="7" t="str">
        <f>TEXT('E-Commerce Sales Data'!$B726,"mmmm")</f>
        <v>October</v>
      </c>
      <c r="W726" s="8">
        <f t="shared" si="44"/>
        <v>2621735</v>
      </c>
      <c r="X726">
        <f t="shared" si="45"/>
        <v>476</v>
      </c>
      <c r="Y726">
        <f t="shared" si="46"/>
        <v>31667.058823529413</v>
      </c>
      <c r="Z726">
        <f t="shared" si="47"/>
        <v>55</v>
      </c>
    </row>
    <row r="727" spans="1:26" x14ac:dyDescent="0.25">
      <c r="A727" s="9" t="s">
        <v>830</v>
      </c>
      <c r="B727" s="10">
        <v>50707</v>
      </c>
      <c r="C727" s="11" t="s">
        <v>71</v>
      </c>
      <c r="D727" s="11" t="s">
        <v>72</v>
      </c>
      <c r="E727" s="11">
        <v>31</v>
      </c>
      <c r="F727" s="11" t="s">
        <v>38</v>
      </c>
      <c r="G727" s="11" t="s">
        <v>73</v>
      </c>
      <c r="H727" s="11" t="s">
        <v>74</v>
      </c>
      <c r="I727" s="11" t="s">
        <v>41</v>
      </c>
      <c r="J727" s="11" t="s">
        <v>28</v>
      </c>
      <c r="K727" s="11" t="s">
        <v>29</v>
      </c>
      <c r="L727" s="11" t="s">
        <v>53</v>
      </c>
      <c r="M727" s="11" t="s">
        <v>75</v>
      </c>
      <c r="N727" s="11">
        <v>5650</v>
      </c>
      <c r="O727" s="11">
        <v>3</v>
      </c>
      <c r="P727" s="17">
        <v>0.05</v>
      </c>
      <c r="Q727" s="11">
        <v>1500</v>
      </c>
      <c r="R727" s="11" t="s">
        <v>32</v>
      </c>
      <c r="S727" s="11" t="s">
        <v>33</v>
      </c>
      <c r="T727" s="11" t="s">
        <v>34</v>
      </c>
      <c r="U727" s="11">
        <v>4</v>
      </c>
      <c r="V727" s="11" t="str">
        <f>TEXT('E-Commerce Sales Data'!$B727,"mmmm")</f>
        <v>October</v>
      </c>
      <c r="W727" s="8">
        <f t="shared" si="44"/>
        <v>2615015</v>
      </c>
      <c r="X727">
        <f t="shared" si="45"/>
        <v>475</v>
      </c>
      <c r="Y727">
        <f t="shared" si="46"/>
        <v>31651.621052631577</v>
      </c>
      <c r="Z727">
        <f t="shared" si="47"/>
        <v>55</v>
      </c>
    </row>
    <row r="728" spans="1:26" x14ac:dyDescent="0.25">
      <c r="A728" s="5" t="s">
        <v>831</v>
      </c>
      <c r="B728" s="6">
        <v>50714</v>
      </c>
      <c r="C728" s="7" t="s">
        <v>77</v>
      </c>
      <c r="D728" s="7" t="s">
        <v>23</v>
      </c>
      <c r="E728" s="7">
        <v>29</v>
      </c>
      <c r="F728" s="7" t="s">
        <v>24</v>
      </c>
      <c r="G728" s="7" t="s">
        <v>78</v>
      </c>
      <c r="H728" s="7" t="s">
        <v>26</v>
      </c>
      <c r="I728" s="7" t="s">
        <v>27</v>
      </c>
      <c r="J728" s="7" t="s">
        <v>28</v>
      </c>
      <c r="K728" s="7" t="s">
        <v>29</v>
      </c>
      <c r="L728" s="7" t="s">
        <v>53</v>
      </c>
      <c r="M728" s="7" t="s">
        <v>79</v>
      </c>
      <c r="N728" s="7">
        <v>5600</v>
      </c>
      <c r="O728" s="7">
        <v>6</v>
      </c>
      <c r="P728" s="16">
        <v>0</v>
      </c>
      <c r="Q728" s="7">
        <v>1680</v>
      </c>
      <c r="R728" s="7" t="s">
        <v>80</v>
      </c>
      <c r="S728" s="7" t="s">
        <v>33</v>
      </c>
      <c r="T728" s="7" t="s">
        <v>34</v>
      </c>
      <c r="U728" s="7">
        <v>3</v>
      </c>
      <c r="V728" s="7" t="str">
        <f>TEXT('E-Commerce Sales Data'!$B728,"mmmm")</f>
        <v>November</v>
      </c>
      <c r="W728" s="8">
        <f t="shared" si="44"/>
        <v>2613515</v>
      </c>
      <c r="X728">
        <f t="shared" si="45"/>
        <v>474</v>
      </c>
      <c r="Y728">
        <f t="shared" si="46"/>
        <v>31706.476793248945</v>
      </c>
      <c r="Z728">
        <f t="shared" si="47"/>
        <v>55</v>
      </c>
    </row>
    <row r="729" spans="1:26" x14ac:dyDescent="0.25">
      <c r="A729" s="9" t="s">
        <v>832</v>
      </c>
      <c r="B729" s="10">
        <v>50721</v>
      </c>
      <c r="C729" s="11" t="s">
        <v>82</v>
      </c>
      <c r="D729" s="11" t="s">
        <v>83</v>
      </c>
      <c r="E729" s="11">
        <v>37</v>
      </c>
      <c r="F729" s="11" t="s">
        <v>38</v>
      </c>
      <c r="G729" s="11" t="s">
        <v>84</v>
      </c>
      <c r="H729" s="11" t="s">
        <v>85</v>
      </c>
      <c r="I729" s="11" t="s">
        <v>52</v>
      </c>
      <c r="J729" s="11" t="s">
        <v>42</v>
      </c>
      <c r="K729" s="11" t="s">
        <v>60</v>
      </c>
      <c r="L729" s="11" t="s">
        <v>61</v>
      </c>
      <c r="M729" s="11" t="s">
        <v>62</v>
      </c>
      <c r="N729" s="11">
        <v>9400</v>
      </c>
      <c r="O729" s="11">
        <v>10</v>
      </c>
      <c r="P729" s="17">
        <v>0.02</v>
      </c>
      <c r="Q729" s="11">
        <v>2330</v>
      </c>
      <c r="R729" s="11" t="s">
        <v>32</v>
      </c>
      <c r="S729" s="11" t="s">
        <v>33</v>
      </c>
      <c r="T729" s="11" t="s">
        <v>34</v>
      </c>
      <c r="U729" s="11">
        <v>5</v>
      </c>
      <c r="V729" s="11" t="str">
        <f>TEXT('E-Commerce Sales Data'!$B729,"mmmm")</f>
        <v>November</v>
      </c>
      <c r="W729" s="8">
        <f t="shared" si="44"/>
        <v>2611835</v>
      </c>
      <c r="X729">
        <f t="shared" si="45"/>
        <v>473</v>
      </c>
      <c r="Y729">
        <f t="shared" si="46"/>
        <v>31761.670190274843</v>
      </c>
      <c r="Z729">
        <f t="shared" si="47"/>
        <v>55</v>
      </c>
    </row>
    <row r="730" spans="1:26" x14ac:dyDescent="0.25">
      <c r="A730" s="5" t="s">
        <v>833</v>
      </c>
      <c r="B730" s="6">
        <v>50728</v>
      </c>
      <c r="C730" s="7" t="s">
        <v>88</v>
      </c>
      <c r="D730" s="7" t="s">
        <v>37</v>
      </c>
      <c r="E730" s="7">
        <v>45</v>
      </c>
      <c r="F730" s="7" t="s">
        <v>24</v>
      </c>
      <c r="G730" s="7" t="s">
        <v>89</v>
      </c>
      <c r="H730" s="7" t="s">
        <v>90</v>
      </c>
      <c r="I730" s="7" t="s">
        <v>91</v>
      </c>
      <c r="J730" s="7" t="s">
        <v>42</v>
      </c>
      <c r="K730" s="7" t="s">
        <v>43</v>
      </c>
      <c r="L730" s="7" t="s">
        <v>92</v>
      </c>
      <c r="M730" s="7" t="s">
        <v>93</v>
      </c>
      <c r="N730" s="7">
        <v>24600</v>
      </c>
      <c r="O730" s="7">
        <v>1</v>
      </c>
      <c r="P730" s="16">
        <v>0.1</v>
      </c>
      <c r="Q730" s="7">
        <v>4460</v>
      </c>
      <c r="R730" s="7" t="s">
        <v>46</v>
      </c>
      <c r="S730" s="7" t="s">
        <v>47</v>
      </c>
      <c r="T730" s="7" t="s">
        <v>34</v>
      </c>
      <c r="U730" s="7">
        <v>4</v>
      </c>
      <c r="V730" s="7" t="str">
        <f>TEXT('E-Commerce Sales Data'!$B730,"mmmm")</f>
        <v>November</v>
      </c>
      <c r="W730" s="8">
        <f t="shared" si="44"/>
        <v>2609505</v>
      </c>
      <c r="X730">
        <f t="shared" si="45"/>
        <v>472</v>
      </c>
      <c r="Y730">
        <f t="shared" si="46"/>
        <v>31809.046610169491</v>
      </c>
      <c r="Z730">
        <f t="shared" si="47"/>
        <v>55</v>
      </c>
    </row>
    <row r="731" spans="1:26" x14ac:dyDescent="0.25">
      <c r="A731" s="9" t="s">
        <v>834</v>
      </c>
      <c r="B731" s="10">
        <v>50735</v>
      </c>
      <c r="C731" s="11" t="s">
        <v>95</v>
      </c>
      <c r="D731" s="11" t="s">
        <v>65</v>
      </c>
      <c r="E731" s="11">
        <v>25</v>
      </c>
      <c r="F731" s="11" t="s">
        <v>38</v>
      </c>
      <c r="G731" s="11" t="s">
        <v>25</v>
      </c>
      <c r="H731" s="11" t="s">
        <v>26</v>
      </c>
      <c r="I731" s="11" t="s">
        <v>27</v>
      </c>
      <c r="J731" s="11" t="s">
        <v>28</v>
      </c>
      <c r="K731" s="11" t="s">
        <v>29</v>
      </c>
      <c r="L731" s="11" t="s">
        <v>96</v>
      </c>
      <c r="M731" s="11" t="s">
        <v>97</v>
      </c>
      <c r="N731" s="11">
        <v>26800</v>
      </c>
      <c r="O731" s="11">
        <v>2</v>
      </c>
      <c r="P731" s="17">
        <v>0.05</v>
      </c>
      <c r="Q731" s="11">
        <v>5220</v>
      </c>
      <c r="R731" s="11" t="s">
        <v>32</v>
      </c>
      <c r="S731" s="11" t="s">
        <v>33</v>
      </c>
      <c r="T731" s="11" t="s">
        <v>34</v>
      </c>
      <c r="U731" s="11">
        <v>4</v>
      </c>
      <c r="V731" s="11" t="str">
        <f>TEXT('E-Commerce Sales Data'!$B731,"mmmm")</f>
        <v>November</v>
      </c>
      <c r="W731" s="8">
        <f t="shared" si="44"/>
        <v>2605045</v>
      </c>
      <c r="X731">
        <f t="shared" si="45"/>
        <v>471</v>
      </c>
      <c r="Y731">
        <f t="shared" si="46"/>
        <v>31824.352441613588</v>
      </c>
      <c r="Z731">
        <f t="shared" si="47"/>
        <v>55</v>
      </c>
    </row>
    <row r="732" spans="1:26" x14ac:dyDescent="0.25">
      <c r="A732" s="5" t="s">
        <v>835</v>
      </c>
      <c r="B732" s="6">
        <v>50742</v>
      </c>
      <c r="C732" s="7" t="s">
        <v>99</v>
      </c>
      <c r="D732" s="7" t="s">
        <v>100</v>
      </c>
      <c r="E732" s="7">
        <v>33</v>
      </c>
      <c r="F732" s="7" t="s">
        <v>24</v>
      </c>
      <c r="G732" s="7" t="s">
        <v>101</v>
      </c>
      <c r="H732" s="7" t="s">
        <v>102</v>
      </c>
      <c r="I732" s="7" t="s">
        <v>41</v>
      </c>
      <c r="J732" s="7" t="s">
        <v>28</v>
      </c>
      <c r="K732" s="7" t="s">
        <v>60</v>
      </c>
      <c r="L732" s="7" t="s">
        <v>53</v>
      </c>
      <c r="M732" s="7" t="s">
        <v>103</v>
      </c>
      <c r="N732" s="7">
        <v>1590</v>
      </c>
      <c r="O732" s="7">
        <v>25</v>
      </c>
      <c r="P732" s="16">
        <v>0</v>
      </c>
      <c r="Q732" s="7">
        <v>500</v>
      </c>
      <c r="R732" s="7" t="s">
        <v>55</v>
      </c>
      <c r="S732" s="7" t="s">
        <v>33</v>
      </c>
      <c r="T732" s="7" t="s">
        <v>34</v>
      </c>
      <c r="U732" s="7">
        <v>5</v>
      </c>
      <c r="V732" s="7" t="str">
        <f>TEXT('E-Commerce Sales Data'!$B732,"mmmm")</f>
        <v>December</v>
      </c>
      <c r="W732" s="8">
        <f t="shared" si="44"/>
        <v>2599825</v>
      </c>
      <c r="X732">
        <f t="shared" si="45"/>
        <v>470</v>
      </c>
      <c r="Y732">
        <f t="shared" si="46"/>
        <v>31835.042553191488</v>
      </c>
      <c r="Z732">
        <f t="shared" si="47"/>
        <v>55</v>
      </c>
    </row>
    <row r="733" spans="1:26" x14ac:dyDescent="0.25">
      <c r="A733" s="9" t="s">
        <v>836</v>
      </c>
      <c r="B733" s="10">
        <v>50749</v>
      </c>
      <c r="C733" s="11" t="s">
        <v>105</v>
      </c>
      <c r="D733" s="11" t="s">
        <v>58</v>
      </c>
      <c r="E733" s="11">
        <v>42</v>
      </c>
      <c r="F733" s="11" t="s">
        <v>38</v>
      </c>
      <c r="G733" s="11" t="s">
        <v>51</v>
      </c>
      <c r="H733" s="11" t="s">
        <v>51</v>
      </c>
      <c r="I733" s="11" t="s">
        <v>52</v>
      </c>
      <c r="J733" s="11" t="s">
        <v>42</v>
      </c>
      <c r="K733" s="11" t="s">
        <v>43</v>
      </c>
      <c r="L733" s="11" t="s">
        <v>68</v>
      </c>
      <c r="M733" s="11" t="s">
        <v>106</v>
      </c>
      <c r="N733" s="11">
        <v>39800</v>
      </c>
      <c r="O733" s="11">
        <v>1</v>
      </c>
      <c r="P733" s="17">
        <v>0.08</v>
      </c>
      <c r="Q733" s="11">
        <v>8450</v>
      </c>
      <c r="R733" s="11" t="s">
        <v>46</v>
      </c>
      <c r="S733" s="11" t="s">
        <v>47</v>
      </c>
      <c r="T733" s="11" t="s">
        <v>34</v>
      </c>
      <c r="U733" s="11">
        <v>4</v>
      </c>
      <c r="V733" s="11" t="str">
        <f>TEXT('E-Commerce Sales Data'!$B733,"mmmm")</f>
        <v>December</v>
      </c>
      <c r="W733" s="8">
        <f t="shared" si="44"/>
        <v>2599325</v>
      </c>
      <c r="X733">
        <f t="shared" si="45"/>
        <v>469</v>
      </c>
      <c r="Y733">
        <f t="shared" si="46"/>
        <v>31899.530916844349</v>
      </c>
      <c r="Z733">
        <f t="shared" si="47"/>
        <v>55</v>
      </c>
    </row>
    <row r="734" spans="1:26" x14ac:dyDescent="0.25">
      <c r="A734" s="5" t="s">
        <v>837</v>
      </c>
      <c r="B734" s="6">
        <v>50756</v>
      </c>
      <c r="C734" s="7" t="s">
        <v>108</v>
      </c>
      <c r="D734" s="7" t="s">
        <v>23</v>
      </c>
      <c r="E734" s="7">
        <v>30</v>
      </c>
      <c r="F734" s="7" t="s">
        <v>24</v>
      </c>
      <c r="G734" s="7" t="s">
        <v>59</v>
      </c>
      <c r="H734" s="7" t="s">
        <v>26</v>
      </c>
      <c r="I734" s="7" t="s">
        <v>27</v>
      </c>
      <c r="J734" s="7" t="s">
        <v>28</v>
      </c>
      <c r="K734" s="7" t="s">
        <v>29</v>
      </c>
      <c r="L734" s="7" t="s">
        <v>30</v>
      </c>
      <c r="M734" s="7" t="s">
        <v>31</v>
      </c>
      <c r="N734" s="7">
        <v>108500</v>
      </c>
      <c r="O734" s="7">
        <v>1</v>
      </c>
      <c r="P734" s="16">
        <v>0.1</v>
      </c>
      <c r="Q734" s="7">
        <v>12800</v>
      </c>
      <c r="R734" s="7" t="s">
        <v>32</v>
      </c>
      <c r="S734" s="7" t="s">
        <v>47</v>
      </c>
      <c r="T734" s="7" t="s">
        <v>34</v>
      </c>
      <c r="U734" s="7">
        <v>5</v>
      </c>
      <c r="V734" s="7" t="str">
        <f>TEXT('E-Commerce Sales Data'!$B734,"mmmm")</f>
        <v>December</v>
      </c>
      <c r="W734" s="8">
        <f t="shared" si="44"/>
        <v>2590875</v>
      </c>
      <c r="X734">
        <f t="shared" si="45"/>
        <v>468</v>
      </c>
      <c r="Y734">
        <f t="shared" si="46"/>
        <v>31882.649572649574</v>
      </c>
      <c r="Z734">
        <f t="shared" si="47"/>
        <v>55</v>
      </c>
    </row>
    <row r="735" spans="1:26" x14ac:dyDescent="0.25">
      <c r="A735" s="9" t="s">
        <v>838</v>
      </c>
      <c r="B735" s="10">
        <v>50763</v>
      </c>
      <c r="C735" s="11" t="s">
        <v>110</v>
      </c>
      <c r="D735" s="11" t="s">
        <v>37</v>
      </c>
      <c r="E735" s="11">
        <v>36</v>
      </c>
      <c r="F735" s="11" t="s">
        <v>38</v>
      </c>
      <c r="G735" s="11" t="s">
        <v>66</v>
      </c>
      <c r="H735" s="11" t="s">
        <v>67</v>
      </c>
      <c r="I735" s="11" t="s">
        <v>27</v>
      </c>
      <c r="J735" s="11" t="s">
        <v>28</v>
      </c>
      <c r="K735" s="11" t="s">
        <v>60</v>
      </c>
      <c r="L735" s="11" t="s">
        <v>92</v>
      </c>
      <c r="M735" s="11" t="s">
        <v>111</v>
      </c>
      <c r="N735" s="11">
        <v>2080</v>
      </c>
      <c r="O735" s="11">
        <v>15</v>
      </c>
      <c r="P735" s="17">
        <v>0.05</v>
      </c>
      <c r="Q735" s="11">
        <v>675</v>
      </c>
      <c r="R735" s="11" t="s">
        <v>80</v>
      </c>
      <c r="S735" s="11" t="s">
        <v>33</v>
      </c>
      <c r="T735" s="11" t="s">
        <v>34</v>
      </c>
      <c r="U735" s="11">
        <v>4</v>
      </c>
      <c r="V735" s="11" t="str">
        <f>TEXT('E-Commerce Sales Data'!$B735,"mmmm")</f>
        <v>December</v>
      </c>
      <c r="W735" s="8">
        <f t="shared" si="44"/>
        <v>2578075</v>
      </c>
      <c r="X735">
        <f t="shared" si="45"/>
        <v>467</v>
      </c>
      <c r="Y735">
        <f t="shared" si="46"/>
        <v>31718.586723768738</v>
      </c>
      <c r="Z735">
        <f t="shared" si="47"/>
        <v>55</v>
      </c>
    </row>
    <row r="736" spans="1:26" x14ac:dyDescent="0.25">
      <c r="A736" s="5" t="s">
        <v>839</v>
      </c>
      <c r="B736" s="6">
        <v>50770</v>
      </c>
      <c r="C736" s="7" t="s">
        <v>113</v>
      </c>
      <c r="D736" s="7" t="s">
        <v>114</v>
      </c>
      <c r="E736" s="7">
        <v>40</v>
      </c>
      <c r="F736" s="7" t="s">
        <v>24</v>
      </c>
      <c r="G736" s="7" t="s">
        <v>73</v>
      </c>
      <c r="H736" s="7" t="s">
        <v>74</v>
      </c>
      <c r="I736" s="7" t="s">
        <v>41</v>
      </c>
      <c r="J736" s="7" t="s">
        <v>42</v>
      </c>
      <c r="K736" s="7" t="s">
        <v>43</v>
      </c>
      <c r="L736" s="7" t="s">
        <v>44</v>
      </c>
      <c r="M736" s="7" t="s">
        <v>45</v>
      </c>
      <c r="N736" s="7">
        <v>20000</v>
      </c>
      <c r="O736" s="7">
        <v>4</v>
      </c>
      <c r="P736" s="16">
        <v>7.0000000000000007E-2</v>
      </c>
      <c r="Q736" s="7">
        <v>4600</v>
      </c>
      <c r="R736" s="7" t="s">
        <v>46</v>
      </c>
      <c r="S736" s="7" t="s">
        <v>33</v>
      </c>
      <c r="T736" s="7" t="s">
        <v>34</v>
      </c>
      <c r="U736" s="7">
        <v>4</v>
      </c>
      <c r="V736" s="7" t="str">
        <f>TEXT('E-Commerce Sales Data'!$B736,"mmmm")</f>
        <v>December</v>
      </c>
      <c r="W736" s="8">
        <f t="shared" si="44"/>
        <v>2577400</v>
      </c>
      <c r="X736">
        <f t="shared" si="45"/>
        <v>466</v>
      </c>
      <c r="Y736">
        <f t="shared" si="46"/>
        <v>31782.188841201718</v>
      </c>
      <c r="Z736">
        <f t="shared" si="47"/>
        <v>55</v>
      </c>
    </row>
    <row r="737" spans="1:26" x14ac:dyDescent="0.25">
      <c r="A737" s="9" t="s">
        <v>840</v>
      </c>
      <c r="B737" s="10">
        <v>50777</v>
      </c>
      <c r="C737" s="11" t="s">
        <v>116</v>
      </c>
      <c r="D737" s="11" t="s">
        <v>83</v>
      </c>
      <c r="E737" s="11">
        <v>27</v>
      </c>
      <c r="F737" s="11" t="s">
        <v>38</v>
      </c>
      <c r="G737" s="11" t="s">
        <v>39</v>
      </c>
      <c r="H737" s="11" t="s">
        <v>40</v>
      </c>
      <c r="I737" s="11" t="s">
        <v>41</v>
      </c>
      <c r="J737" s="11" t="s">
        <v>28</v>
      </c>
      <c r="K737" s="11" t="s">
        <v>29</v>
      </c>
      <c r="L737" s="11" t="s">
        <v>53</v>
      </c>
      <c r="M737" s="11" t="s">
        <v>54</v>
      </c>
      <c r="N737" s="11">
        <v>40400</v>
      </c>
      <c r="O737" s="11">
        <v>2</v>
      </c>
      <c r="P737" s="17">
        <v>0.05</v>
      </c>
      <c r="Q737" s="11">
        <v>7850</v>
      </c>
      <c r="R737" s="11" t="s">
        <v>32</v>
      </c>
      <c r="S737" s="11" t="s">
        <v>47</v>
      </c>
      <c r="T737" s="11" t="s">
        <v>34</v>
      </c>
      <c r="U737" s="11">
        <v>5</v>
      </c>
      <c r="V737" s="11" t="str">
        <f>TEXT('E-Commerce Sales Data'!$B737,"mmmm")</f>
        <v>January</v>
      </c>
      <c r="W737" s="8">
        <f t="shared" si="44"/>
        <v>2572800</v>
      </c>
      <c r="X737">
        <f t="shared" si="45"/>
        <v>465</v>
      </c>
      <c r="Y737">
        <f t="shared" si="46"/>
        <v>31807.526881720431</v>
      </c>
      <c r="Z737">
        <f t="shared" si="47"/>
        <v>55</v>
      </c>
    </row>
    <row r="738" spans="1:26" x14ac:dyDescent="0.25">
      <c r="A738" s="5" t="s">
        <v>841</v>
      </c>
      <c r="B738" s="6">
        <v>50784</v>
      </c>
      <c r="C738" s="7" t="s">
        <v>118</v>
      </c>
      <c r="D738" s="7" t="s">
        <v>72</v>
      </c>
      <c r="E738" s="7">
        <v>35</v>
      </c>
      <c r="F738" s="7" t="s">
        <v>24</v>
      </c>
      <c r="G738" s="7" t="s">
        <v>84</v>
      </c>
      <c r="H738" s="7" t="s">
        <v>85</v>
      </c>
      <c r="I738" s="7" t="s">
        <v>52</v>
      </c>
      <c r="J738" s="7" t="s">
        <v>42</v>
      </c>
      <c r="K738" s="7" t="s">
        <v>60</v>
      </c>
      <c r="L738" s="7" t="s">
        <v>61</v>
      </c>
      <c r="M738" s="7" t="s">
        <v>62</v>
      </c>
      <c r="N738" s="7">
        <v>9500</v>
      </c>
      <c r="O738" s="7">
        <v>10</v>
      </c>
      <c r="P738" s="16">
        <v>0.03</v>
      </c>
      <c r="Q738" s="7">
        <v>2360</v>
      </c>
      <c r="R738" s="7" t="s">
        <v>55</v>
      </c>
      <c r="S738" s="7" t="s">
        <v>33</v>
      </c>
      <c r="T738" s="7" t="s">
        <v>34</v>
      </c>
      <c r="U738" s="7">
        <v>4</v>
      </c>
      <c r="V738" s="7" t="str">
        <f>TEXT('E-Commerce Sales Data'!$B738,"mmmm")</f>
        <v>January</v>
      </c>
      <c r="W738" s="8">
        <f t="shared" si="44"/>
        <v>2564950</v>
      </c>
      <c r="X738">
        <f t="shared" si="45"/>
        <v>464</v>
      </c>
      <c r="Y738">
        <f t="shared" si="46"/>
        <v>31789.008620689656</v>
      </c>
      <c r="Z738">
        <f t="shared" si="47"/>
        <v>55</v>
      </c>
    </row>
    <row r="739" spans="1:26" x14ac:dyDescent="0.25">
      <c r="A739" s="9" t="s">
        <v>842</v>
      </c>
      <c r="B739" s="10">
        <v>50791</v>
      </c>
      <c r="C739" s="11" t="s">
        <v>120</v>
      </c>
      <c r="D739" s="11" t="s">
        <v>23</v>
      </c>
      <c r="E739" s="11">
        <v>24</v>
      </c>
      <c r="F739" s="11" t="s">
        <v>38</v>
      </c>
      <c r="G739" s="11" t="s">
        <v>25</v>
      </c>
      <c r="H739" s="11" t="s">
        <v>26</v>
      </c>
      <c r="I739" s="11" t="s">
        <v>27</v>
      </c>
      <c r="J739" s="11" t="s">
        <v>28</v>
      </c>
      <c r="K739" s="11" t="s">
        <v>43</v>
      </c>
      <c r="L739" s="11" t="s">
        <v>68</v>
      </c>
      <c r="M739" s="11" t="s">
        <v>69</v>
      </c>
      <c r="N739" s="11">
        <v>37700</v>
      </c>
      <c r="O739" s="11">
        <v>2</v>
      </c>
      <c r="P739" s="17">
        <v>0.1</v>
      </c>
      <c r="Q739" s="11">
        <v>6120</v>
      </c>
      <c r="R739" s="11" t="s">
        <v>32</v>
      </c>
      <c r="S739" s="11" t="s">
        <v>47</v>
      </c>
      <c r="T739" s="11" t="s">
        <v>34</v>
      </c>
      <c r="U739" s="11">
        <v>5</v>
      </c>
      <c r="V739" s="11" t="str">
        <f>TEXT('E-Commerce Sales Data'!$B739,"mmmm")</f>
        <v>January</v>
      </c>
      <c r="W739" s="8">
        <f t="shared" si="44"/>
        <v>2562590</v>
      </c>
      <c r="X739">
        <f t="shared" si="45"/>
        <v>463</v>
      </c>
      <c r="Y739">
        <f t="shared" si="46"/>
        <v>31837.149028077754</v>
      </c>
      <c r="Z739">
        <f t="shared" si="47"/>
        <v>55</v>
      </c>
    </row>
    <row r="740" spans="1:26" x14ac:dyDescent="0.25">
      <c r="A740" s="5" t="s">
        <v>843</v>
      </c>
      <c r="B740" s="6">
        <v>50798</v>
      </c>
      <c r="C740" s="7" t="s">
        <v>122</v>
      </c>
      <c r="D740" s="7" t="s">
        <v>50</v>
      </c>
      <c r="E740" s="7">
        <v>43</v>
      </c>
      <c r="F740" s="7" t="s">
        <v>24</v>
      </c>
      <c r="G740" s="7" t="s">
        <v>101</v>
      </c>
      <c r="H740" s="7" t="s">
        <v>102</v>
      </c>
      <c r="I740" s="7" t="s">
        <v>41</v>
      </c>
      <c r="J740" s="7" t="s">
        <v>42</v>
      </c>
      <c r="K740" s="7" t="s">
        <v>29</v>
      </c>
      <c r="L740" s="7" t="s">
        <v>53</v>
      </c>
      <c r="M740" s="7" t="s">
        <v>75</v>
      </c>
      <c r="N740" s="7">
        <v>6050</v>
      </c>
      <c r="O740" s="7">
        <v>4</v>
      </c>
      <c r="P740" s="16">
        <v>0.05</v>
      </c>
      <c r="Q740" s="7">
        <v>1590</v>
      </c>
      <c r="R740" s="7" t="s">
        <v>46</v>
      </c>
      <c r="S740" s="7" t="s">
        <v>33</v>
      </c>
      <c r="T740" s="7" t="s">
        <v>34</v>
      </c>
      <c r="U740" s="7">
        <v>3</v>
      </c>
      <c r="V740" s="7" t="str">
        <f>TEXT('E-Commerce Sales Data'!$B740,"mmmm")</f>
        <v>January</v>
      </c>
      <c r="W740" s="8">
        <f t="shared" si="44"/>
        <v>2556470</v>
      </c>
      <c r="X740">
        <f t="shared" si="45"/>
        <v>462</v>
      </c>
      <c r="Y740">
        <f t="shared" si="46"/>
        <v>31824.458874458873</v>
      </c>
      <c r="Z740">
        <f t="shared" si="47"/>
        <v>55</v>
      </c>
    </row>
    <row r="741" spans="1:26" x14ac:dyDescent="0.25">
      <c r="A741" s="9" t="s">
        <v>844</v>
      </c>
      <c r="B741" s="10">
        <v>50805</v>
      </c>
      <c r="C741" s="11" t="s">
        <v>124</v>
      </c>
      <c r="D741" s="11" t="s">
        <v>100</v>
      </c>
      <c r="E741" s="11">
        <v>32</v>
      </c>
      <c r="F741" s="11" t="s">
        <v>38</v>
      </c>
      <c r="G741" s="11" t="s">
        <v>78</v>
      </c>
      <c r="H741" s="11" t="s">
        <v>26</v>
      </c>
      <c r="I741" s="11" t="s">
        <v>27</v>
      </c>
      <c r="J741" s="11" t="s">
        <v>28</v>
      </c>
      <c r="K741" s="11" t="s">
        <v>29</v>
      </c>
      <c r="L741" s="11" t="s">
        <v>53</v>
      </c>
      <c r="M741" s="11" t="s">
        <v>79</v>
      </c>
      <c r="N741" s="11">
        <v>5700</v>
      </c>
      <c r="O741" s="11">
        <v>7</v>
      </c>
      <c r="P741" s="17">
        <v>0</v>
      </c>
      <c r="Q741" s="11">
        <v>1710</v>
      </c>
      <c r="R741" s="11" t="s">
        <v>32</v>
      </c>
      <c r="S741" s="11" t="s">
        <v>33</v>
      </c>
      <c r="T741" s="11" t="s">
        <v>34</v>
      </c>
      <c r="U741" s="11">
        <v>4</v>
      </c>
      <c r="V741" s="11" t="str">
        <f>TEXT('E-Commerce Sales Data'!$B741,"mmmm")</f>
        <v>February</v>
      </c>
      <c r="W741" s="8">
        <f t="shared" si="44"/>
        <v>2554880</v>
      </c>
      <c r="X741">
        <f t="shared" si="45"/>
        <v>461</v>
      </c>
      <c r="Y741">
        <f t="shared" si="46"/>
        <v>31880.368763557482</v>
      </c>
      <c r="Z741">
        <f t="shared" si="47"/>
        <v>55</v>
      </c>
    </row>
    <row r="742" spans="1:26" x14ac:dyDescent="0.25">
      <c r="A742" s="5" t="s">
        <v>845</v>
      </c>
      <c r="B742" s="6">
        <v>50812</v>
      </c>
      <c r="C742" s="7" t="s">
        <v>22</v>
      </c>
      <c r="D742" s="7" t="s">
        <v>23</v>
      </c>
      <c r="E742" s="7">
        <v>28</v>
      </c>
      <c r="F742" s="7" t="s">
        <v>24</v>
      </c>
      <c r="G742" s="7" t="s">
        <v>25</v>
      </c>
      <c r="H742" s="7" t="s">
        <v>26</v>
      </c>
      <c r="I742" s="7" t="s">
        <v>27</v>
      </c>
      <c r="J742" s="7" t="s">
        <v>28</v>
      </c>
      <c r="K742" s="7" t="s">
        <v>29</v>
      </c>
      <c r="L742" s="7" t="s">
        <v>30</v>
      </c>
      <c r="M742" s="7" t="s">
        <v>31</v>
      </c>
      <c r="N742" s="7">
        <v>104500</v>
      </c>
      <c r="O742" s="7">
        <v>1</v>
      </c>
      <c r="P742" s="16">
        <v>0.05</v>
      </c>
      <c r="Q742" s="7">
        <v>13900</v>
      </c>
      <c r="R742" s="7" t="s">
        <v>32</v>
      </c>
      <c r="S742" s="7" t="s">
        <v>47</v>
      </c>
      <c r="T742" s="7" t="s">
        <v>34</v>
      </c>
      <c r="U742" s="7">
        <v>5</v>
      </c>
      <c r="V742" s="7" t="str">
        <f>TEXT('E-Commerce Sales Data'!$B742,"mmmm")</f>
        <v>February</v>
      </c>
      <c r="W742" s="8">
        <f t="shared" si="44"/>
        <v>2553170</v>
      </c>
      <c r="X742">
        <f t="shared" si="45"/>
        <v>460</v>
      </c>
      <c r="Y742">
        <f t="shared" si="46"/>
        <v>31937.282608695652</v>
      </c>
      <c r="Z742">
        <f t="shared" si="47"/>
        <v>55</v>
      </c>
    </row>
    <row r="743" spans="1:26" x14ac:dyDescent="0.25">
      <c r="A743" s="9" t="s">
        <v>846</v>
      </c>
      <c r="B743" s="10">
        <v>50819</v>
      </c>
      <c r="C743" s="11" t="s">
        <v>36</v>
      </c>
      <c r="D743" s="11" t="s">
        <v>37</v>
      </c>
      <c r="E743" s="11">
        <v>34</v>
      </c>
      <c r="F743" s="11" t="s">
        <v>38</v>
      </c>
      <c r="G743" s="11" t="s">
        <v>39</v>
      </c>
      <c r="H743" s="11" t="s">
        <v>40</v>
      </c>
      <c r="I743" s="11" t="s">
        <v>41</v>
      </c>
      <c r="J743" s="11" t="s">
        <v>42</v>
      </c>
      <c r="K743" s="11" t="s">
        <v>43</v>
      </c>
      <c r="L743" s="11" t="s">
        <v>44</v>
      </c>
      <c r="M743" s="11" t="s">
        <v>45</v>
      </c>
      <c r="N743" s="11">
        <v>16400</v>
      </c>
      <c r="O743" s="11">
        <v>3</v>
      </c>
      <c r="P743" s="17">
        <v>0.1</v>
      </c>
      <c r="Q743" s="11">
        <v>3880</v>
      </c>
      <c r="R743" s="11" t="s">
        <v>46</v>
      </c>
      <c r="S743" s="11" t="s">
        <v>33</v>
      </c>
      <c r="T743" s="11" t="s">
        <v>34</v>
      </c>
      <c r="U743" s="11">
        <v>4</v>
      </c>
      <c r="V743" s="11" t="str">
        <f>TEXT('E-Commerce Sales Data'!$B743,"mmmm")</f>
        <v>February</v>
      </c>
      <c r="W743" s="8">
        <f t="shared" si="44"/>
        <v>2539270</v>
      </c>
      <c r="X743">
        <f t="shared" si="45"/>
        <v>459</v>
      </c>
      <c r="Y743">
        <f t="shared" si="46"/>
        <v>31779.193899782134</v>
      </c>
      <c r="Z743">
        <f t="shared" si="47"/>
        <v>55</v>
      </c>
    </row>
    <row r="744" spans="1:26" x14ac:dyDescent="0.25">
      <c r="A744" s="5" t="s">
        <v>847</v>
      </c>
      <c r="B744" s="6">
        <v>50826</v>
      </c>
      <c r="C744" s="7" t="s">
        <v>49</v>
      </c>
      <c r="D744" s="7" t="s">
        <v>50</v>
      </c>
      <c r="E744" s="7">
        <v>41</v>
      </c>
      <c r="F744" s="7" t="s">
        <v>24</v>
      </c>
      <c r="G744" s="7" t="s">
        <v>51</v>
      </c>
      <c r="H744" s="7" t="s">
        <v>51</v>
      </c>
      <c r="I744" s="7" t="s">
        <v>52</v>
      </c>
      <c r="J744" s="7" t="s">
        <v>28</v>
      </c>
      <c r="K744" s="7" t="s">
        <v>29</v>
      </c>
      <c r="L744" s="7" t="s">
        <v>53</v>
      </c>
      <c r="M744" s="7" t="s">
        <v>54</v>
      </c>
      <c r="N744" s="7">
        <v>38300</v>
      </c>
      <c r="O744" s="7">
        <v>2</v>
      </c>
      <c r="P744" s="16">
        <v>0.05</v>
      </c>
      <c r="Q744" s="7">
        <v>7400</v>
      </c>
      <c r="R744" s="7" t="s">
        <v>55</v>
      </c>
      <c r="S744" s="7" t="s">
        <v>33</v>
      </c>
      <c r="T744" s="7" t="s">
        <v>34</v>
      </c>
      <c r="U744" s="7">
        <v>4</v>
      </c>
      <c r="V744" s="7" t="str">
        <f>TEXT('E-Commerce Sales Data'!$B744,"mmmm")</f>
        <v>February</v>
      </c>
      <c r="W744" s="8">
        <f t="shared" si="44"/>
        <v>2535390</v>
      </c>
      <c r="X744">
        <f t="shared" si="45"/>
        <v>458</v>
      </c>
      <c r="Y744">
        <f t="shared" si="46"/>
        <v>31812.772925764191</v>
      </c>
      <c r="Z744">
        <f t="shared" si="47"/>
        <v>55</v>
      </c>
    </row>
    <row r="745" spans="1:26" x14ac:dyDescent="0.25">
      <c r="A745" s="9" t="s">
        <v>848</v>
      </c>
      <c r="B745" s="10">
        <v>50833</v>
      </c>
      <c r="C745" s="11" t="s">
        <v>57</v>
      </c>
      <c r="D745" s="11" t="s">
        <v>58</v>
      </c>
      <c r="E745" s="11">
        <v>26</v>
      </c>
      <c r="F745" s="11" t="s">
        <v>38</v>
      </c>
      <c r="G745" s="11" t="s">
        <v>59</v>
      </c>
      <c r="H745" s="11" t="s">
        <v>26</v>
      </c>
      <c r="I745" s="11" t="s">
        <v>27</v>
      </c>
      <c r="J745" s="11" t="s">
        <v>28</v>
      </c>
      <c r="K745" s="11" t="s">
        <v>60</v>
      </c>
      <c r="L745" s="11" t="s">
        <v>61</v>
      </c>
      <c r="M745" s="11" t="s">
        <v>86</v>
      </c>
      <c r="N745" s="11">
        <v>1110</v>
      </c>
      <c r="O745" s="11">
        <v>20</v>
      </c>
      <c r="P745" s="17">
        <v>0.02</v>
      </c>
      <c r="Q745" s="11">
        <v>325</v>
      </c>
      <c r="R745" s="11" t="s">
        <v>32</v>
      </c>
      <c r="S745" s="11" t="s">
        <v>33</v>
      </c>
      <c r="T745" s="11" t="s">
        <v>34</v>
      </c>
      <c r="U745" s="11">
        <v>5</v>
      </c>
      <c r="V745" s="11" t="str">
        <f>TEXT('E-Commerce Sales Data'!$B745,"mmmm")</f>
        <v>March</v>
      </c>
      <c r="W745" s="8">
        <f t="shared" si="44"/>
        <v>2527990</v>
      </c>
      <c r="X745">
        <f t="shared" si="45"/>
        <v>457</v>
      </c>
      <c r="Y745">
        <f t="shared" si="46"/>
        <v>31798.577680525163</v>
      </c>
      <c r="Z745">
        <f t="shared" si="47"/>
        <v>55</v>
      </c>
    </row>
    <row r="746" spans="1:26" x14ac:dyDescent="0.25">
      <c r="A746" s="5" t="s">
        <v>849</v>
      </c>
      <c r="B746" s="6">
        <v>50840</v>
      </c>
      <c r="C746" s="7" t="s">
        <v>64</v>
      </c>
      <c r="D746" s="7" t="s">
        <v>65</v>
      </c>
      <c r="E746" s="7">
        <v>39</v>
      </c>
      <c r="F746" s="7" t="s">
        <v>24</v>
      </c>
      <c r="G746" s="7" t="s">
        <v>66</v>
      </c>
      <c r="H746" s="7" t="s">
        <v>67</v>
      </c>
      <c r="I746" s="7" t="s">
        <v>27</v>
      </c>
      <c r="J746" s="7" t="s">
        <v>42</v>
      </c>
      <c r="K746" s="7" t="s">
        <v>43</v>
      </c>
      <c r="L746" s="7" t="s">
        <v>68</v>
      </c>
      <c r="M746" s="7" t="s">
        <v>69</v>
      </c>
      <c r="N746" s="7">
        <v>39800</v>
      </c>
      <c r="O746" s="7">
        <v>2</v>
      </c>
      <c r="P746" s="16">
        <v>0.08</v>
      </c>
      <c r="Q746" s="7">
        <v>6860</v>
      </c>
      <c r="R746" s="7" t="s">
        <v>46</v>
      </c>
      <c r="S746" s="7" t="s">
        <v>47</v>
      </c>
      <c r="T746" s="7" t="s">
        <v>34</v>
      </c>
      <c r="U746" s="7">
        <v>4</v>
      </c>
      <c r="V746" s="7" t="str">
        <f>TEXT('E-Commerce Sales Data'!$B746,"mmmm")</f>
        <v>March</v>
      </c>
      <c r="W746" s="8">
        <f t="shared" si="44"/>
        <v>2527665</v>
      </c>
      <c r="X746">
        <f t="shared" si="45"/>
        <v>456</v>
      </c>
      <c r="Y746">
        <f t="shared" si="46"/>
        <v>31865.877192982458</v>
      </c>
      <c r="Z746">
        <f t="shared" si="47"/>
        <v>55</v>
      </c>
    </row>
    <row r="747" spans="1:26" x14ac:dyDescent="0.25">
      <c r="A747" s="9" t="s">
        <v>850</v>
      </c>
      <c r="B747" s="10">
        <v>50847</v>
      </c>
      <c r="C747" s="11" t="s">
        <v>71</v>
      </c>
      <c r="D747" s="11" t="s">
        <v>72</v>
      </c>
      <c r="E747" s="11">
        <v>31</v>
      </c>
      <c r="F747" s="11" t="s">
        <v>38</v>
      </c>
      <c r="G747" s="11" t="s">
        <v>73</v>
      </c>
      <c r="H747" s="11" t="s">
        <v>74</v>
      </c>
      <c r="I747" s="11" t="s">
        <v>41</v>
      </c>
      <c r="J747" s="11" t="s">
        <v>28</v>
      </c>
      <c r="K747" s="11" t="s">
        <v>29</v>
      </c>
      <c r="L747" s="11" t="s">
        <v>53</v>
      </c>
      <c r="M747" s="11" t="s">
        <v>75</v>
      </c>
      <c r="N747" s="11">
        <v>5750</v>
      </c>
      <c r="O747" s="11">
        <v>3</v>
      </c>
      <c r="P747" s="17">
        <v>0.05</v>
      </c>
      <c r="Q747" s="11">
        <v>1530</v>
      </c>
      <c r="R747" s="11" t="s">
        <v>32</v>
      </c>
      <c r="S747" s="11" t="s">
        <v>33</v>
      </c>
      <c r="T747" s="11" t="s">
        <v>34</v>
      </c>
      <c r="U747" s="11">
        <v>4</v>
      </c>
      <c r="V747" s="11" t="str">
        <f>TEXT('E-Commerce Sales Data'!$B747,"mmmm")</f>
        <v>March</v>
      </c>
      <c r="W747" s="8">
        <f t="shared" si="44"/>
        <v>2520805</v>
      </c>
      <c r="X747">
        <f t="shared" si="45"/>
        <v>455</v>
      </c>
      <c r="Y747">
        <f t="shared" si="46"/>
        <v>31848.439560439561</v>
      </c>
      <c r="Z747">
        <f t="shared" si="47"/>
        <v>55</v>
      </c>
    </row>
    <row r="748" spans="1:26" x14ac:dyDescent="0.25">
      <c r="A748" s="5" t="s">
        <v>851</v>
      </c>
      <c r="B748" s="6">
        <v>50854</v>
      </c>
      <c r="C748" s="7" t="s">
        <v>77</v>
      </c>
      <c r="D748" s="7" t="s">
        <v>23</v>
      </c>
      <c r="E748" s="7">
        <v>29</v>
      </c>
      <c r="F748" s="7" t="s">
        <v>24</v>
      </c>
      <c r="G748" s="7" t="s">
        <v>78</v>
      </c>
      <c r="H748" s="7" t="s">
        <v>26</v>
      </c>
      <c r="I748" s="7" t="s">
        <v>27</v>
      </c>
      <c r="J748" s="7" t="s">
        <v>28</v>
      </c>
      <c r="K748" s="7" t="s">
        <v>29</v>
      </c>
      <c r="L748" s="7" t="s">
        <v>53</v>
      </c>
      <c r="M748" s="7" t="s">
        <v>79</v>
      </c>
      <c r="N748" s="7">
        <v>5800</v>
      </c>
      <c r="O748" s="7">
        <v>6</v>
      </c>
      <c r="P748" s="16">
        <v>0</v>
      </c>
      <c r="Q748" s="7">
        <v>1740</v>
      </c>
      <c r="R748" s="7" t="s">
        <v>80</v>
      </c>
      <c r="S748" s="7" t="s">
        <v>33</v>
      </c>
      <c r="T748" s="7" t="s">
        <v>34</v>
      </c>
      <c r="U748" s="7">
        <v>3</v>
      </c>
      <c r="V748" s="7" t="str">
        <f>TEXT('E-Commerce Sales Data'!$B748,"mmmm")</f>
        <v>March</v>
      </c>
      <c r="W748" s="8">
        <f t="shared" si="44"/>
        <v>2519275</v>
      </c>
      <c r="X748">
        <f t="shared" si="45"/>
        <v>454</v>
      </c>
      <c r="Y748">
        <f t="shared" si="46"/>
        <v>31905.925110132157</v>
      </c>
      <c r="Z748">
        <f t="shared" si="47"/>
        <v>55</v>
      </c>
    </row>
    <row r="749" spans="1:26" x14ac:dyDescent="0.25">
      <c r="A749" s="9" t="s">
        <v>852</v>
      </c>
      <c r="B749" s="10">
        <v>50861</v>
      </c>
      <c r="C749" s="11" t="s">
        <v>82</v>
      </c>
      <c r="D749" s="11" t="s">
        <v>83</v>
      </c>
      <c r="E749" s="11">
        <v>37</v>
      </c>
      <c r="F749" s="11" t="s">
        <v>38</v>
      </c>
      <c r="G749" s="11" t="s">
        <v>84</v>
      </c>
      <c r="H749" s="11" t="s">
        <v>85</v>
      </c>
      <c r="I749" s="11" t="s">
        <v>52</v>
      </c>
      <c r="J749" s="11" t="s">
        <v>42</v>
      </c>
      <c r="K749" s="11" t="s">
        <v>60</v>
      </c>
      <c r="L749" s="11" t="s">
        <v>61</v>
      </c>
      <c r="M749" s="11" t="s">
        <v>62</v>
      </c>
      <c r="N749" s="11">
        <v>9600</v>
      </c>
      <c r="O749" s="11">
        <v>10</v>
      </c>
      <c r="P749" s="17">
        <v>0.02</v>
      </c>
      <c r="Q749" s="11">
        <v>2380</v>
      </c>
      <c r="R749" s="11" t="s">
        <v>32</v>
      </c>
      <c r="S749" s="11" t="s">
        <v>33</v>
      </c>
      <c r="T749" s="11" t="s">
        <v>34</v>
      </c>
      <c r="U749" s="11">
        <v>5</v>
      </c>
      <c r="V749" s="11" t="str">
        <f>TEXT('E-Commerce Sales Data'!$B749,"mmmm")</f>
        <v>April</v>
      </c>
      <c r="W749" s="8">
        <f t="shared" si="44"/>
        <v>2517535</v>
      </c>
      <c r="X749">
        <f t="shared" si="45"/>
        <v>453</v>
      </c>
      <c r="Y749">
        <f t="shared" si="46"/>
        <v>31963.55408388521</v>
      </c>
      <c r="Z749">
        <f t="shared" si="47"/>
        <v>55</v>
      </c>
    </row>
    <row r="750" spans="1:26" x14ac:dyDescent="0.25">
      <c r="A750" s="5" t="s">
        <v>853</v>
      </c>
      <c r="B750" s="6">
        <v>50868</v>
      </c>
      <c r="C750" s="7" t="s">
        <v>88</v>
      </c>
      <c r="D750" s="7" t="s">
        <v>37</v>
      </c>
      <c r="E750" s="7">
        <v>45</v>
      </c>
      <c r="F750" s="7" t="s">
        <v>24</v>
      </c>
      <c r="G750" s="7" t="s">
        <v>89</v>
      </c>
      <c r="H750" s="7" t="s">
        <v>90</v>
      </c>
      <c r="I750" s="7" t="s">
        <v>91</v>
      </c>
      <c r="J750" s="7" t="s">
        <v>42</v>
      </c>
      <c r="K750" s="7" t="s">
        <v>43</v>
      </c>
      <c r="L750" s="7" t="s">
        <v>92</v>
      </c>
      <c r="M750" s="7" t="s">
        <v>93</v>
      </c>
      <c r="N750" s="7">
        <v>25000</v>
      </c>
      <c r="O750" s="7">
        <v>1</v>
      </c>
      <c r="P750" s="16">
        <v>0.1</v>
      </c>
      <c r="Q750" s="7">
        <v>4540</v>
      </c>
      <c r="R750" s="7" t="s">
        <v>46</v>
      </c>
      <c r="S750" s="7" t="s">
        <v>47</v>
      </c>
      <c r="T750" s="7" t="s">
        <v>34</v>
      </c>
      <c r="U750" s="7">
        <v>4</v>
      </c>
      <c r="V750" s="7" t="str">
        <f>TEXT('E-Commerce Sales Data'!$B750,"mmmm")</f>
        <v>April</v>
      </c>
      <c r="W750" s="8">
        <f t="shared" si="44"/>
        <v>2515155</v>
      </c>
      <c r="X750">
        <f t="shared" si="45"/>
        <v>452</v>
      </c>
      <c r="Y750">
        <f t="shared" si="46"/>
        <v>32013.030973451328</v>
      </c>
      <c r="Z750">
        <f t="shared" si="47"/>
        <v>55</v>
      </c>
    </row>
    <row r="751" spans="1:26" x14ac:dyDescent="0.25">
      <c r="A751" s="9" t="s">
        <v>854</v>
      </c>
      <c r="B751" s="10">
        <v>50875</v>
      </c>
      <c r="C751" s="11" t="s">
        <v>95</v>
      </c>
      <c r="D751" s="11" t="s">
        <v>65</v>
      </c>
      <c r="E751" s="11">
        <v>25</v>
      </c>
      <c r="F751" s="11" t="s">
        <v>38</v>
      </c>
      <c r="G751" s="11" t="s">
        <v>25</v>
      </c>
      <c r="H751" s="11" t="s">
        <v>26</v>
      </c>
      <c r="I751" s="11" t="s">
        <v>27</v>
      </c>
      <c r="J751" s="11" t="s">
        <v>28</v>
      </c>
      <c r="K751" s="11" t="s">
        <v>29</v>
      </c>
      <c r="L751" s="11" t="s">
        <v>96</v>
      </c>
      <c r="M751" s="11" t="s">
        <v>97</v>
      </c>
      <c r="N751" s="11">
        <v>27200</v>
      </c>
      <c r="O751" s="11">
        <v>2</v>
      </c>
      <c r="P751" s="17">
        <v>0.05</v>
      </c>
      <c r="Q751" s="11">
        <v>5300</v>
      </c>
      <c r="R751" s="11" t="s">
        <v>32</v>
      </c>
      <c r="S751" s="11" t="s">
        <v>33</v>
      </c>
      <c r="T751" s="11" t="s">
        <v>34</v>
      </c>
      <c r="U751" s="11">
        <v>4</v>
      </c>
      <c r="V751" s="11" t="str">
        <f>TEXT('E-Commerce Sales Data'!$B751,"mmmm")</f>
        <v>April</v>
      </c>
      <c r="W751" s="8">
        <f t="shared" si="44"/>
        <v>2510615</v>
      </c>
      <c r="X751">
        <f t="shared" si="45"/>
        <v>451</v>
      </c>
      <c r="Y751">
        <f t="shared" si="46"/>
        <v>32028.580931263859</v>
      </c>
      <c r="Z751">
        <f t="shared" si="47"/>
        <v>55</v>
      </c>
    </row>
    <row r="752" spans="1:26" x14ac:dyDescent="0.25">
      <c r="A752" s="5" t="s">
        <v>855</v>
      </c>
      <c r="B752" s="6">
        <v>50882</v>
      </c>
      <c r="C752" s="7" t="s">
        <v>99</v>
      </c>
      <c r="D752" s="7" t="s">
        <v>100</v>
      </c>
      <c r="E752" s="7">
        <v>33</v>
      </c>
      <c r="F752" s="7" t="s">
        <v>24</v>
      </c>
      <c r="G752" s="7" t="s">
        <v>101</v>
      </c>
      <c r="H752" s="7" t="s">
        <v>102</v>
      </c>
      <c r="I752" s="7" t="s">
        <v>41</v>
      </c>
      <c r="J752" s="7" t="s">
        <v>28</v>
      </c>
      <c r="K752" s="7" t="s">
        <v>60</v>
      </c>
      <c r="L752" s="7" t="s">
        <v>53</v>
      </c>
      <c r="M752" s="7" t="s">
        <v>103</v>
      </c>
      <c r="N752" s="7">
        <v>1620</v>
      </c>
      <c r="O752" s="7">
        <v>25</v>
      </c>
      <c r="P752" s="16">
        <v>0</v>
      </c>
      <c r="Q752" s="7">
        <v>510</v>
      </c>
      <c r="R752" s="7" t="s">
        <v>55</v>
      </c>
      <c r="S752" s="7" t="s">
        <v>33</v>
      </c>
      <c r="T752" s="7" t="s">
        <v>34</v>
      </c>
      <c r="U752" s="7">
        <v>5</v>
      </c>
      <c r="V752" s="7" t="str">
        <f>TEXT('E-Commerce Sales Data'!$B752,"mmmm")</f>
        <v>April</v>
      </c>
      <c r="W752" s="8">
        <f t="shared" si="44"/>
        <v>2505315</v>
      </c>
      <c r="X752">
        <f t="shared" si="45"/>
        <v>450</v>
      </c>
      <c r="Y752">
        <f t="shared" si="46"/>
        <v>32039.31111111111</v>
      </c>
      <c r="Z752">
        <f t="shared" si="47"/>
        <v>55</v>
      </c>
    </row>
    <row r="753" spans="1:26" x14ac:dyDescent="0.25">
      <c r="A753" s="9" t="s">
        <v>856</v>
      </c>
      <c r="B753" s="10">
        <v>50889</v>
      </c>
      <c r="C753" s="11" t="s">
        <v>105</v>
      </c>
      <c r="D753" s="11" t="s">
        <v>58</v>
      </c>
      <c r="E753" s="11">
        <v>42</v>
      </c>
      <c r="F753" s="11" t="s">
        <v>38</v>
      </c>
      <c r="G753" s="11" t="s">
        <v>51</v>
      </c>
      <c r="H753" s="11" t="s">
        <v>51</v>
      </c>
      <c r="I753" s="11" t="s">
        <v>52</v>
      </c>
      <c r="J753" s="11" t="s">
        <v>42</v>
      </c>
      <c r="K753" s="11" t="s">
        <v>43</v>
      </c>
      <c r="L753" s="11" t="s">
        <v>68</v>
      </c>
      <c r="M753" s="11" t="s">
        <v>106</v>
      </c>
      <c r="N753" s="11">
        <v>40400</v>
      </c>
      <c r="O753" s="11">
        <v>1</v>
      </c>
      <c r="P753" s="17">
        <v>0.08</v>
      </c>
      <c r="Q753" s="11">
        <v>8600</v>
      </c>
      <c r="R753" s="11" t="s">
        <v>46</v>
      </c>
      <c r="S753" s="11" t="s">
        <v>47</v>
      </c>
      <c r="T753" s="11" t="s">
        <v>34</v>
      </c>
      <c r="U753" s="11">
        <v>4</v>
      </c>
      <c r="V753" s="11" t="str">
        <f>TEXT('E-Commerce Sales Data'!$B753,"mmmm")</f>
        <v>April</v>
      </c>
      <c r="W753" s="8">
        <f t="shared" si="44"/>
        <v>2504805</v>
      </c>
      <c r="X753">
        <f t="shared" si="45"/>
        <v>449</v>
      </c>
      <c r="Y753">
        <f t="shared" si="46"/>
        <v>32107.06013363029</v>
      </c>
      <c r="Z753">
        <f t="shared" si="47"/>
        <v>55</v>
      </c>
    </row>
    <row r="754" spans="1:26" x14ac:dyDescent="0.25">
      <c r="A754" s="5" t="s">
        <v>857</v>
      </c>
      <c r="B754" s="6">
        <v>50896</v>
      </c>
      <c r="C754" s="7" t="s">
        <v>108</v>
      </c>
      <c r="D754" s="7" t="s">
        <v>23</v>
      </c>
      <c r="E754" s="7">
        <v>30</v>
      </c>
      <c r="F754" s="7" t="s">
        <v>24</v>
      </c>
      <c r="G754" s="7" t="s">
        <v>59</v>
      </c>
      <c r="H754" s="7" t="s">
        <v>26</v>
      </c>
      <c r="I754" s="7" t="s">
        <v>27</v>
      </c>
      <c r="J754" s="7" t="s">
        <v>28</v>
      </c>
      <c r="K754" s="7" t="s">
        <v>29</v>
      </c>
      <c r="L754" s="7" t="s">
        <v>30</v>
      </c>
      <c r="M754" s="7" t="s">
        <v>31</v>
      </c>
      <c r="N754" s="7">
        <v>110000</v>
      </c>
      <c r="O754" s="7">
        <v>1</v>
      </c>
      <c r="P754" s="16">
        <v>0.1</v>
      </c>
      <c r="Q754" s="7">
        <v>13000</v>
      </c>
      <c r="R754" s="7" t="s">
        <v>32</v>
      </c>
      <c r="S754" s="7" t="s">
        <v>47</v>
      </c>
      <c r="T754" s="7" t="s">
        <v>34</v>
      </c>
      <c r="U754" s="7">
        <v>5</v>
      </c>
      <c r="V754" s="7" t="str">
        <f>TEXT('E-Commerce Sales Data'!$B754,"mmmm")</f>
        <v>May</v>
      </c>
      <c r="W754" s="8">
        <f t="shared" si="44"/>
        <v>2496205</v>
      </c>
      <c r="X754">
        <f t="shared" si="45"/>
        <v>448</v>
      </c>
      <c r="Y754">
        <f t="shared" si="46"/>
        <v>32088.549107142859</v>
      </c>
      <c r="Z754">
        <f t="shared" si="47"/>
        <v>55</v>
      </c>
    </row>
    <row r="755" spans="1:26" x14ac:dyDescent="0.25">
      <c r="A755" s="9" t="s">
        <v>858</v>
      </c>
      <c r="B755" s="10">
        <v>50903</v>
      </c>
      <c r="C755" s="11" t="s">
        <v>110</v>
      </c>
      <c r="D755" s="11" t="s">
        <v>37</v>
      </c>
      <c r="E755" s="11">
        <v>36</v>
      </c>
      <c r="F755" s="11" t="s">
        <v>38</v>
      </c>
      <c r="G755" s="11" t="s">
        <v>66</v>
      </c>
      <c r="H755" s="11" t="s">
        <v>67</v>
      </c>
      <c r="I755" s="11" t="s">
        <v>27</v>
      </c>
      <c r="J755" s="11" t="s">
        <v>28</v>
      </c>
      <c r="K755" s="11" t="s">
        <v>60</v>
      </c>
      <c r="L755" s="11" t="s">
        <v>92</v>
      </c>
      <c r="M755" s="11" t="s">
        <v>111</v>
      </c>
      <c r="N755" s="11">
        <v>2120</v>
      </c>
      <c r="O755" s="11">
        <v>15</v>
      </c>
      <c r="P755" s="17">
        <v>0.05</v>
      </c>
      <c r="Q755" s="11">
        <v>690</v>
      </c>
      <c r="R755" s="11" t="s">
        <v>80</v>
      </c>
      <c r="S755" s="11" t="s">
        <v>33</v>
      </c>
      <c r="T755" s="11" t="s">
        <v>34</v>
      </c>
      <c r="U755" s="11">
        <v>4</v>
      </c>
      <c r="V755" s="11" t="str">
        <f>TEXT('E-Commerce Sales Data'!$B755,"mmmm")</f>
        <v>May</v>
      </c>
      <c r="W755" s="8">
        <f t="shared" si="44"/>
        <v>2483205</v>
      </c>
      <c r="X755">
        <f t="shared" si="45"/>
        <v>447</v>
      </c>
      <c r="Y755">
        <f t="shared" si="46"/>
        <v>31914.250559284115</v>
      </c>
      <c r="Z755">
        <f t="shared" si="47"/>
        <v>55</v>
      </c>
    </row>
    <row r="756" spans="1:26" x14ac:dyDescent="0.25">
      <c r="A756" s="5" t="s">
        <v>859</v>
      </c>
      <c r="B756" s="6">
        <v>50910</v>
      </c>
      <c r="C756" s="7" t="s">
        <v>113</v>
      </c>
      <c r="D756" s="7" t="s">
        <v>114</v>
      </c>
      <c r="E756" s="7">
        <v>40</v>
      </c>
      <c r="F756" s="7" t="s">
        <v>24</v>
      </c>
      <c r="G756" s="7" t="s">
        <v>73</v>
      </c>
      <c r="H756" s="7" t="s">
        <v>74</v>
      </c>
      <c r="I756" s="7" t="s">
        <v>41</v>
      </c>
      <c r="J756" s="7" t="s">
        <v>42</v>
      </c>
      <c r="K756" s="7" t="s">
        <v>43</v>
      </c>
      <c r="L756" s="7" t="s">
        <v>44</v>
      </c>
      <c r="M756" s="7" t="s">
        <v>45</v>
      </c>
      <c r="N756" s="7">
        <v>20400</v>
      </c>
      <c r="O756" s="7">
        <v>4</v>
      </c>
      <c r="P756" s="16">
        <v>7.0000000000000007E-2</v>
      </c>
      <c r="Q756" s="7">
        <v>4700</v>
      </c>
      <c r="R756" s="7" t="s">
        <v>46</v>
      </c>
      <c r="S756" s="7" t="s">
        <v>33</v>
      </c>
      <c r="T756" s="7" t="s">
        <v>34</v>
      </c>
      <c r="U756" s="7">
        <v>4</v>
      </c>
      <c r="V756" s="7" t="str">
        <f>TEXT('E-Commerce Sales Data'!$B756,"mmmm")</f>
        <v>May</v>
      </c>
      <c r="W756" s="8">
        <f t="shared" si="44"/>
        <v>2482515</v>
      </c>
      <c r="X756">
        <f t="shared" si="45"/>
        <v>446</v>
      </c>
      <c r="Y756">
        <f t="shared" si="46"/>
        <v>31981.053811659192</v>
      </c>
      <c r="Z756">
        <f t="shared" si="47"/>
        <v>55</v>
      </c>
    </row>
    <row r="757" spans="1:26" x14ac:dyDescent="0.25">
      <c r="A757" s="9" t="s">
        <v>860</v>
      </c>
      <c r="B757" s="10">
        <v>50917</v>
      </c>
      <c r="C757" s="11" t="s">
        <v>116</v>
      </c>
      <c r="D757" s="11" t="s">
        <v>83</v>
      </c>
      <c r="E757" s="11">
        <v>27</v>
      </c>
      <c r="F757" s="11" t="s">
        <v>38</v>
      </c>
      <c r="G757" s="11" t="s">
        <v>39</v>
      </c>
      <c r="H757" s="11" t="s">
        <v>40</v>
      </c>
      <c r="I757" s="11" t="s">
        <v>41</v>
      </c>
      <c r="J757" s="11" t="s">
        <v>28</v>
      </c>
      <c r="K757" s="11" t="s">
        <v>29</v>
      </c>
      <c r="L757" s="11" t="s">
        <v>53</v>
      </c>
      <c r="M757" s="11" t="s">
        <v>54</v>
      </c>
      <c r="N757" s="11">
        <v>41100</v>
      </c>
      <c r="O757" s="11">
        <v>2</v>
      </c>
      <c r="P757" s="17">
        <v>0.05</v>
      </c>
      <c r="Q757" s="11">
        <v>8000</v>
      </c>
      <c r="R757" s="11" t="s">
        <v>32</v>
      </c>
      <c r="S757" s="11" t="s">
        <v>47</v>
      </c>
      <c r="T757" s="11" t="s">
        <v>34</v>
      </c>
      <c r="U757" s="11">
        <v>5</v>
      </c>
      <c r="V757" s="11" t="str">
        <f>TEXT('E-Commerce Sales Data'!$B757,"mmmm")</f>
        <v>May</v>
      </c>
      <c r="W757" s="8">
        <f t="shared" si="44"/>
        <v>2477815</v>
      </c>
      <c r="X757">
        <f t="shared" si="45"/>
        <v>445</v>
      </c>
      <c r="Y757">
        <f t="shared" si="46"/>
        <v>32007.078651685395</v>
      </c>
      <c r="Z757">
        <f t="shared" si="47"/>
        <v>55</v>
      </c>
    </row>
    <row r="758" spans="1:26" x14ac:dyDescent="0.25">
      <c r="A758" s="5" t="s">
        <v>861</v>
      </c>
      <c r="B758" s="6">
        <v>50924</v>
      </c>
      <c r="C758" s="7" t="s">
        <v>118</v>
      </c>
      <c r="D758" s="7" t="s">
        <v>72</v>
      </c>
      <c r="E758" s="7">
        <v>35</v>
      </c>
      <c r="F758" s="7" t="s">
        <v>24</v>
      </c>
      <c r="G758" s="7" t="s">
        <v>84</v>
      </c>
      <c r="H758" s="7" t="s">
        <v>85</v>
      </c>
      <c r="I758" s="7" t="s">
        <v>52</v>
      </c>
      <c r="J758" s="7" t="s">
        <v>42</v>
      </c>
      <c r="K758" s="7" t="s">
        <v>60</v>
      </c>
      <c r="L758" s="7" t="s">
        <v>61</v>
      </c>
      <c r="M758" s="7" t="s">
        <v>62</v>
      </c>
      <c r="N758" s="7">
        <v>9700</v>
      </c>
      <c r="O758" s="7">
        <v>10</v>
      </c>
      <c r="P758" s="16">
        <v>0.03</v>
      </c>
      <c r="Q758" s="7">
        <v>2410</v>
      </c>
      <c r="R758" s="7" t="s">
        <v>55</v>
      </c>
      <c r="S758" s="7" t="s">
        <v>33</v>
      </c>
      <c r="T758" s="7" t="s">
        <v>34</v>
      </c>
      <c r="U758" s="7">
        <v>4</v>
      </c>
      <c r="V758" s="7" t="str">
        <f>TEXT('E-Commerce Sales Data'!$B758,"mmmm")</f>
        <v>June</v>
      </c>
      <c r="W758" s="8">
        <f t="shared" si="44"/>
        <v>2469815</v>
      </c>
      <c r="X758">
        <f t="shared" si="45"/>
        <v>444</v>
      </c>
      <c r="Y758">
        <f t="shared" si="46"/>
        <v>31986.599099099098</v>
      </c>
      <c r="Z758">
        <f t="shared" si="47"/>
        <v>55</v>
      </c>
    </row>
    <row r="759" spans="1:26" x14ac:dyDescent="0.25">
      <c r="A759" s="9" t="s">
        <v>862</v>
      </c>
      <c r="B759" s="10">
        <v>50931</v>
      </c>
      <c r="C759" s="11" t="s">
        <v>120</v>
      </c>
      <c r="D759" s="11" t="s">
        <v>23</v>
      </c>
      <c r="E759" s="11">
        <v>24</v>
      </c>
      <c r="F759" s="11" t="s">
        <v>38</v>
      </c>
      <c r="G759" s="11" t="s">
        <v>25</v>
      </c>
      <c r="H759" s="11" t="s">
        <v>26</v>
      </c>
      <c r="I759" s="11" t="s">
        <v>27</v>
      </c>
      <c r="J759" s="11" t="s">
        <v>28</v>
      </c>
      <c r="K759" s="11" t="s">
        <v>43</v>
      </c>
      <c r="L759" s="11" t="s">
        <v>68</v>
      </c>
      <c r="M759" s="11" t="s">
        <v>69</v>
      </c>
      <c r="N759" s="11">
        <v>38400</v>
      </c>
      <c r="O759" s="11">
        <v>2</v>
      </c>
      <c r="P759" s="17">
        <v>0.1</v>
      </c>
      <c r="Q759" s="11">
        <v>6240</v>
      </c>
      <c r="R759" s="11" t="s">
        <v>32</v>
      </c>
      <c r="S759" s="11" t="s">
        <v>47</v>
      </c>
      <c r="T759" s="11" t="s">
        <v>34</v>
      </c>
      <c r="U759" s="11">
        <v>5</v>
      </c>
      <c r="V759" s="11" t="str">
        <f>TEXT('E-Commerce Sales Data'!$B759,"mmmm")</f>
        <v>June</v>
      </c>
      <c r="W759" s="8">
        <f t="shared" si="44"/>
        <v>2467405</v>
      </c>
      <c r="X759">
        <f t="shared" si="45"/>
        <v>443</v>
      </c>
      <c r="Y759">
        <f t="shared" si="46"/>
        <v>32036.907449209932</v>
      </c>
      <c r="Z759">
        <f t="shared" si="47"/>
        <v>55</v>
      </c>
    </row>
    <row r="760" spans="1:26" x14ac:dyDescent="0.25">
      <c r="A760" s="5" t="s">
        <v>863</v>
      </c>
      <c r="B760" s="6">
        <v>50938</v>
      </c>
      <c r="C760" s="7" t="s">
        <v>122</v>
      </c>
      <c r="D760" s="7" t="s">
        <v>50</v>
      </c>
      <c r="E760" s="7">
        <v>43</v>
      </c>
      <c r="F760" s="7" t="s">
        <v>24</v>
      </c>
      <c r="G760" s="7" t="s">
        <v>101</v>
      </c>
      <c r="H760" s="7" t="s">
        <v>102</v>
      </c>
      <c r="I760" s="7" t="s">
        <v>41</v>
      </c>
      <c r="J760" s="7" t="s">
        <v>42</v>
      </c>
      <c r="K760" s="7" t="s">
        <v>29</v>
      </c>
      <c r="L760" s="7" t="s">
        <v>53</v>
      </c>
      <c r="M760" s="7" t="s">
        <v>75</v>
      </c>
      <c r="N760" s="7">
        <v>6150</v>
      </c>
      <c r="O760" s="7">
        <v>4</v>
      </c>
      <c r="P760" s="16">
        <v>0.05</v>
      </c>
      <c r="Q760" s="7">
        <v>1620</v>
      </c>
      <c r="R760" s="7" t="s">
        <v>46</v>
      </c>
      <c r="S760" s="7" t="s">
        <v>33</v>
      </c>
      <c r="T760" s="7" t="s">
        <v>34</v>
      </c>
      <c r="U760" s="7">
        <v>3</v>
      </c>
      <c r="V760" s="7" t="str">
        <f>TEXT('E-Commerce Sales Data'!$B760,"mmmm")</f>
        <v>June</v>
      </c>
      <c r="W760" s="8">
        <f t="shared" si="44"/>
        <v>2461165</v>
      </c>
      <c r="X760">
        <f t="shared" si="45"/>
        <v>442</v>
      </c>
      <c r="Y760">
        <f t="shared" si="46"/>
        <v>32022.511312217193</v>
      </c>
      <c r="Z760">
        <f t="shared" si="47"/>
        <v>55</v>
      </c>
    </row>
    <row r="761" spans="1:26" x14ac:dyDescent="0.25">
      <c r="A761" s="9" t="s">
        <v>864</v>
      </c>
      <c r="B761" s="10">
        <v>50945</v>
      </c>
      <c r="C761" s="11" t="s">
        <v>124</v>
      </c>
      <c r="D761" s="11" t="s">
        <v>100</v>
      </c>
      <c r="E761" s="11">
        <v>32</v>
      </c>
      <c r="F761" s="11" t="s">
        <v>38</v>
      </c>
      <c r="G761" s="11" t="s">
        <v>78</v>
      </c>
      <c r="H761" s="11" t="s">
        <v>26</v>
      </c>
      <c r="I761" s="11" t="s">
        <v>27</v>
      </c>
      <c r="J761" s="11" t="s">
        <v>28</v>
      </c>
      <c r="K761" s="11" t="s">
        <v>29</v>
      </c>
      <c r="L761" s="11" t="s">
        <v>53</v>
      </c>
      <c r="M761" s="11" t="s">
        <v>79</v>
      </c>
      <c r="N761" s="11">
        <v>5900</v>
      </c>
      <c r="O761" s="11">
        <v>7</v>
      </c>
      <c r="P761" s="17">
        <v>0</v>
      </c>
      <c r="Q761" s="11">
        <v>1770</v>
      </c>
      <c r="R761" s="11" t="s">
        <v>32</v>
      </c>
      <c r="S761" s="11" t="s">
        <v>33</v>
      </c>
      <c r="T761" s="11" t="s">
        <v>34</v>
      </c>
      <c r="U761" s="11">
        <v>4</v>
      </c>
      <c r="V761" s="11" t="str">
        <f>TEXT('E-Commerce Sales Data'!$B761,"mmmm")</f>
        <v>June</v>
      </c>
      <c r="W761" s="8">
        <f t="shared" si="44"/>
        <v>2459545</v>
      </c>
      <c r="X761">
        <f t="shared" si="45"/>
        <v>441</v>
      </c>
      <c r="Y761">
        <f t="shared" si="46"/>
        <v>32081.179138321997</v>
      </c>
      <c r="Z761">
        <f t="shared" si="47"/>
        <v>55</v>
      </c>
    </row>
    <row r="762" spans="1:26" x14ac:dyDescent="0.25">
      <c r="A762" s="5" t="s">
        <v>865</v>
      </c>
      <c r="B762" s="6">
        <v>50952</v>
      </c>
      <c r="C762" s="7" t="s">
        <v>22</v>
      </c>
      <c r="D762" s="7" t="s">
        <v>23</v>
      </c>
      <c r="E762" s="7">
        <v>28</v>
      </c>
      <c r="F762" s="7" t="s">
        <v>24</v>
      </c>
      <c r="G762" s="7" t="s">
        <v>25</v>
      </c>
      <c r="H762" s="7" t="s">
        <v>26</v>
      </c>
      <c r="I762" s="7" t="s">
        <v>27</v>
      </c>
      <c r="J762" s="7" t="s">
        <v>28</v>
      </c>
      <c r="K762" s="7" t="s">
        <v>29</v>
      </c>
      <c r="L762" s="7" t="s">
        <v>30</v>
      </c>
      <c r="M762" s="7" t="s">
        <v>31</v>
      </c>
      <c r="N762" s="7">
        <v>106000</v>
      </c>
      <c r="O762" s="7">
        <v>1</v>
      </c>
      <c r="P762" s="16">
        <v>0.05</v>
      </c>
      <c r="Q762" s="7">
        <v>14100</v>
      </c>
      <c r="R762" s="7" t="s">
        <v>32</v>
      </c>
      <c r="S762" s="7" t="s">
        <v>47</v>
      </c>
      <c r="T762" s="7" t="s">
        <v>34</v>
      </c>
      <c r="U762" s="7">
        <v>5</v>
      </c>
      <c r="V762" s="7" t="str">
        <f>TEXT('E-Commerce Sales Data'!$B762,"mmmm")</f>
        <v>July</v>
      </c>
      <c r="W762" s="8">
        <f t="shared" si="44"/>
        <v>2457775</v>
      </c>
      <c r="X762">
        <f t="shared" si="45"/>
        <v>440</v>
      </c>
      <c r="Y762">
        <f t="shared" si="46"/>
        <v>32140.68181818182</v>
      </c>
      <c r="Z762">
        <f t="shared" si="47"/>
        <v>55</v>
      </c>
    </row>
    <row r="763" spans="1:26" x14ac:dyDescent="0.25">
      <c r="A763" s="9" t="s">
        <v>866</v>
      </c>
      <c r="B763" s="10">
        <v>50959</v>
      </c>
      <c r="C763" s="11" t="s">
        <v>36</v>
      </c>
      <c r="D763" s="11" t="s">
        <v>37</v>
      </c>
      <c r="E763" s="11">
        <v>34</v>
      </c>
      <c r="F763" s="11" t="s">
        <v>38</v>
      </c>
      <c r="G763" s="11" t="s">
        <v>39</v>
      </c>
      <c r="H763" s="11" t="s">
        <v>40</v>
      </c>
      <c r="I763" s="11" t="s">
        <v>41</v>
      </c>
      <c r="J763" s="11" t="s">
        <v>42</v>
      </c>
      <c r="K763" s="11" t="s">
        <v>43</v>
      </c>
      <c r="L763" s="11" t="s">
        <v>44</v>
      </c>
      <c r="M763" s="11" t="s">
        <v>45</v>
      </c>
      <c r="N763" s="11">
        <v>16700</v>
      </c>
      <c r="O763" s="11">
        <v>3</v>
      </c>
      <c r="P763" s="17">
        <v>0.1</v>
      </c>
      <c r="Q763" s="11">
        <v>3960</v>
      </c>
      <c r="R763" s="11" t="s">
        <v>46</v>
      </c>
      <c r="S763" s="11" t="s">
        <v>33</v>
      </c>
      <c r="T763" s="11" t="s">
        <v>34</v>
      </c>
      <c r="U763" s="11">
        <v>4</v>
      </c>
      <c r="V763" s="11" t="str">
        <f>TEXT('E-Commerce Sales Data'!$B763,"mmmm")</f>
        <v>July</v>
      </c>
      <c r="W763" s="8">
        <f t="shared" si="44"/>
        <v>2443675</v>
      </c>
      <c r="X763">
        <f t="shared" si="45"/>
        <v>439</v>
      </c>
      <c r="Y763">
        <f t="shared" si="46"/>
        <v>31972.437357630981</v>
      </c>
      <c r="Z763">
        <f t="shared" si="47"/>
        <v>55</v>
      </c>
    </row>
    <row r="764" spans="1:26" x14ac:dyDescent="0.25">
      <c r="A764" s="5" t="s">
        <v>867</v>
      </c>
      <c r="B764" s="6">
        <v>50966</v>
      </c>
      <c r="C764" s="7" t="s">
        <v>49</v>
      </c>
      <c r="D764" s="7" t="s">
        <v>50</v>
      </c>
      <c r="E764" s="7">
        <v>41</v>
      </c>
      <c r="F764" s="7" t="s">
        <v>24</v>
      </c>
      <c r="G764" s="7" t="s">
        <v>51</v>
      </c>
      <c r="H764" s="7" t="s">
        <v>51</v>
      </c>
      <c r="I764" s="7" t="s">
        <v>52</v>
      </c>
      <c r="J764" s="7" t="s">
        <v>28</v>
      </c>
      <c r="K764" s="7" t="s">
        <v>29</v>
      </c>
      <c r="L764" s="7" t="s">
        <v>53</v>
      </c>
      <c r="M764" s="7" t="s">
        <v>54</v>
      </c>
      <c r="N764" s="7">
        <v>39000</v>
      </c>
      <c r="O764" s="7">
        <v>2</v>
      </c>
      <c r="P764" s="16">
        <v>0.05</v>
      </c>
      <c r="Q764" s="7">
        <v>7550</v>
      </c>
      <c r="R764" s="7" t="s">
        <v>55</v>
      </c>
      <c r="S764" s="7" t="s">
        <v>33</v>
      </c>
      <c r="T764" s="7" t="s">
        <v>34</v>
      </c>
      <c r="U764" s="7">
        <v>4</v>
      </c>
      <c r="V764" s="7" t="str">
        <f>TEXT('E-Commerce Sales Data'!$B764,"mmmm")</f>
        <v>July</v>
      </c>
      <c r="W764" s="8">
        <f t="shared" si="44"/>
        <v>2439715</v>
      </c>
      <c r="X764">
        <f t="shared" si="45"/>
        <v>438</v>
      </c>
      <c r="Y764">
        <f t="shared" si="46"/>
        <v>32007.305936073059</v>
      </c>
      <c r="Z764">
        <f t="shared" si="47"/>
        <v>55</v>
      </c>
    </row>
    <row r="765" spans="1:26" x14ac:dyDescent="0.25">
      <c r="A765" s="9" t="s">
        <v>868</v>
      </c>
      <c r="B765" s="10">
        <v>50973</v>
      </c>
      <c r="C765" s="11" t="s">
        <v>57</v>
      </c>
      <c r="D765" s="11" t="s">
        <v>58</v>
      </c>
      <c r="E765" s="11">
        <v>26</v>
      </c>
      <c r="F765" s="11" t="s">
        <v>38</v>
      </c>
      <c r="G765" s="11" t="s">
        <v>59</v>
      </c>
      <c r="H765" s="11" t="s">
        <v>26</v>
      </c>
      <c r="I765" s="11" t="s">
        <v>27</v>
      </c>
      <c r="J765" s="11" t="s">
        <v>28</v>
      </c>
      <c r="K765" s="11" t="s">
        <v>60</v>
      </c>
      <c r="L765" s="11" t="s">
        <v>61</v>
      </c>
      <c r="M765" s="11" t="s">
        <v>86</v>
      </c>
      <c r="N765" s="11">
        <v>1130</v>
      </c>
      <c r="O765" s="11">
        <v>20</v>
      </c>
      <c r="P765" s="17">
        <v>0.02</v>
      </c>
      <c r="Q765" s="11">
        <v>330</v>
      </c>
      <c r="R765" s="11" t="s">
        <v>32</v>
      </c>
      <c r="S765" s="11" t="s">
        <v>33</v>
      </c>
      <c r="T765" s="11" t="s">
        <v>34</v>
      </c>
      <c r="U765" s="11">
        <v>5</v>
      </c>
      <c r="V765" s="11" t="str">
        <f>TEXT('E-Commerce Sales Data'!$B765,"mmmm")</f>
        <v>July</v>
      </c>
      <c r="W765" s="8">
        <f t="shared" si="44"/>
        <v>2432165</v>
      </c>
      <c r="X765">
        <f t="shared" si="45"/>
        <v>437</v>
      </c>
      <c r="Y765">
        <f t="shared" si="46"/>
        <v>31991.304347826088</v>
      </c>
      <c r="Z765">
        <f t="shared" si="47"/>
        <v>55</v>
      </c>
    </row>
    <row r="766" spans="1:26" x14ac:dyDescent="0.25">
      <c r="A766" s="5" t="s">
        <v>869</v>
      </c>
      <c r="B766" s="6">
        <v>50980</v>
      </c>
      <c r="C766" s="7" t="s">
        <v>64</v>
      </c>
      <c r="D766" s="7" t="s">
        <v>65</v>
      </c>
      <c r="E766" s="7">
        <v>39</v>
      </c>
      <c r="F766" s="7" t="s">
        <v>24</v>
      </c>
      <c r="G766" s="7" t="s">
        <v>66</v>
      </c>
      <c r="H766" s="7" t="s">
        <v>67</v>
      </c>
      <c r="I766" s="7" t="s">
        <v>27</v>
      </c>
      <c r="J766" s="7" t="s">
        <v>42</v>
      </c>
      <c r="K766" s="7" t="s">
        <v>43</v>
      </c>
      <c r="L766" s="7" t="s">
        <v>68</v>
      </c>
      <c r="M766" s="7" t="s">
        <v>69</v>
      </c>
      <c r="N766" s="7">
        <v>40600</v>
      </c>
      <c r="O766" s="7">
        <v>2</v>
      </c>
      <c r="P766" s="16">
        <v>0.08</v>
      </c>
      <c r="Q766" s="7">
        <v>7000</v>
      </c>
      <c r="R766" s="7" t="s">
        <v>46</v>
      </c>
      <c r="S766" s="7" t="s">
        <v>47</v>
      </c>
      <c r="T766" s="7" t="s">
        <v>34</v>
      </c>
      <c r="U766" s="7">
        <v>4</v>
      </c>
      <c r="V766" s="7" t="str">
        <f>TEXT('E-Commerce Sales Data'!$B766,"mmmm")</f>
        <v>July</v>
      </c>
      <c r="W766" s="8">
        <f t="shared" si="44"/>
        <v>2431835</v>
      </c>
      <c r="X766">
        <f t="shared" si="45"/>
        <v>436</v>
      </c>
      <c r="Y766">
        <f t="shared" si="46"/>
        <v>32062.087155963301</v>
      </c>
      <c r="Z766">
        <f t="shared" si="47"/>
        <v>55</v>
      </c>
    </row>
    <row r="767" spans="1:26" x14ac:dyDescent="0.25">
      <c r="A767" s="9" t="s">
        <v>870</v>
      </c>
      <c r="B767" s="10">
        <v>50987</v>
      </c>
      <c r="C767" s="11" t="s">
        <v>71</v>
      </c>
      <c r="D767" s="11" t="s">
        <v>72</v>
      </c>
      <c r="E767" s="11">
        <v>31</v>
      </c>
      <c r="F767" s="11" t="s">
        <v>38</v>
      </c>
      <c r="G767" s="11" t="s">
        <v>73</v>
      </c>
      <c r="H767" s="11" t="s">
        <v>74</v>
      </c>
      <c r="I767" s="11" t="s">
        <v>41</v>
      </c>
      <c r="J767" s="11" t="s">
        <v>28</v>
      </c>
      <c r="K767" s="11" t="s">
        <v>29</v>
      </c>
      <c r="L767" s="11" t="s">
        <v>53</v>
      </c>
      <c r="M767" s="11" t="s">
        <v>75</v>
      </c>
      <c r="N767" s="11">
        <v>5850</v>
      </c>
      <c r="O767" s="11">
        <v>3</v>
      </c>
      <c r="P767" s="17">
        <v>0.05</v>
      </c>
      <c r="Q767" s="11">
        <v>1560</v>
      </c>
      <c r="R767" s="11" t="s">
        <v>32</v>
      </c>
      <c r="S767" s="11" t="s">
        <v>33</v>
      </c>
      <c r="T767" s="11" t="s">
        <v>34</v>
      </c>
      <c r="U767" s="11">
        <v>4</v>
      </c>
      <c r="V767" s="11" t="str">
        <f>TEXT('E-Commerce Sales Data'!$B767,"mmmm")</f>
        <v>August</v>
      </c>
      <c r="W767" s="8">
        <f t="shared" si="44"/>
        <v>2424835</v>
      </c>
      <c r="X767">
        <f t="shared" si="45"/>
        <v>435</v>
      </c>
      <c r="Y767">
        <f t="shared" si="46"/>
        <v>32042.459770114943</v>
      </c>
      <c r="Z767">
        <f t="shared" si="47"/>
        <v>55</v>
      </c>
    </row>
    <row r="768" spans="1:26" x14ac:dyDescent="0.25">
      <c r="A768" s="5" t="s">
        <v>871</v>
      </c>
      <c r="B768" s="6">
        <v>50994</v>
      </c>
      <c r="C768" s="7" t="s">
        <v>77</v>
      </c>
      <c r="D768" s="7" t="s">
        <v>23</v>
      </c>
      <c r="E768" s="7">
        <v>29</v>
      </c>
      <c r="F768" s="7" t="s">
        <v>24</v>
      </c>
      <c r="G768" s="7" t="s">
        <v>78</v>
      </c>
      <c r="H768" s="7" t="s">
        <v>26</v>
      </c>
      <c r="I768" s="7" t="s">
        <v>27</v>
      </c>
      <c r="J768" s="7" t="s">
        <v>28</v>
      </c>
      <c r="K768" s="7" t="s">
        <v>29</v>
      </c>
      <c r="L768" s="7" t="s">
        <v>53</v>
      </c>
      <c r="M768" s="7" t="s">
        <v>79</v>
      </c>
      <c r="N768" s="7">
        <v>6000</v>
      </c>
      <c r="O768" s="7">
        <v>6</v>
      </c>
      <c r="P768" s="16">
        <v>0</v>
      </c>
      <c r="Q768" s="7">
        <v>1800</v>
      </c>
      <c r="R768" s="7" t="s">
        <v>80</v>
      </c>
      <c r="S768" s="7" t="s">
        <v>33</v>
      </c>
      <c r="T768" s="7" t="s">
        <v>34</v>
      </c>
      <c r="U768" s="7">
        <v>3</v>
      </c>
      <c r="V768" s="7" t="str">
        <f>TEXT('E-Commerce Sales Data'!$B768,"mmmm")</f>
        <v>August</v>
      </c>
      <c r="W768" s="8">
        <f t="shared" si="44"/>
        <v>2423275</v>
      </c>
      <c r="X768">
        <f t="shared" si="45"/>
        <v>434</v>
      </c>
      <c r="Y768">
        <f t="shared" si="46"/>
        <v>32102.811059907835</v>
      </c>
      <c r="Z768">
        <f t="shared" si="47"/>
        <v>55</v>
      </c>
    </row>
    <row r="769" spans="1:26" x14ac:dyDescent="0.25">
      <c r="A769" s="9" t="s">
        <v>872</v>
      </c>
      <c r="B769" s="10">
        <v>51001</v>
      </c>
      <c r="C769" s="11" t="s">
        <v>82</v>
      </c>
      <c r="D769" s="11" t="s">
        <v>83</v>
      </c>
      <c r="E769" s="11">
        <v>37</v>
      </c>
      <c r="F769" s="11" t="s">
        <v>38</v>
      </c>
      <c r="G769" s="11" t="s">
        <v>84</v>
      </c>
      <c r="H769" s="11" t="s">
        <v>85</v>
      </c>
      <c r="I769" s="11" t="s">
        <v>52</v>
      </c>
      <c r="J769" s="11" t="s">
        <v>42</v>
      </c>
      <c r="K769" s="11" t="s">
        <v>60</v>
      </c>
      <c r="L769" s="11" t="s">
        <v>61</v>
      </c>
      <c r="M769" s="11" t="s">
        <v>62</v>
      </c>
      <c r="N769" s="11">
        <v>9800</v>
      </c>
      <c r="O769" s="11">
        <v>10</v>
      </c>
      <c r="P769" s="17">
        <v>0.02</v>
      </c>
      <c r="Q769" s="11">
        <v>2430</v>
      </c>
      <c r="R769" s="11" t="s">
        <v>32</v>
      </c>
      <c r="S769" s="11" t="s">
        <v>33</v>
      </c>
      <c r="T769" s="11" t="s">
        <v>34</v>
      </c>
      <c r="U769" s="11">
        <v>5</v>
      </c>
      <c r="V769" s="11" t="str">
        <f>TEXT('E-Commerce Sales Data'!$B769,"mmmm")</f>
        <v>August</v>
      </c>
      <c r="W769" s="8">
        <f t="shared" si="44"/>
        <v>2421475</v>
      </c>
      <c r="X769">
        <f t="shared" si="45"/>
        <v>433</v>
      </c>
      <c r="Y769">
        <f t="shared" si="46"/>
        <v>32163.09468822171</v>
      </c>
      <c r="Z769">
        <f t="shared" si="47"/>
        <v>55</v>
      </c>
    </row>
    <row r="770" spans="1:26" x14ac:dyDescent="0.25">
      <c r="A770" s="5" t="s">
        <v>873</v>
      </c>
      <c r="B770" s="6">
        <v>51008</v>
      </c>
      <c r="C770" s="7" t="s">
        <v>88</v>
      </c>
      <c r="D770" s="7" t="s">
        <v>37</v>
      </c>
      <c r="E770" s="7">
        <v>45</v>
      </c>
      <c r="F770" s="7" t="s">
        <v>24</v>
      </c>
      <c r="G770" s="7" t="s">
        <v>89</v>
      </c>
      <c r="H770" s="7" t="s">
        <v>90</v>
      </c>
      <c r="I770" s="7" t="s">
        <v>91</v>
      </c>
      <c r="J770" s="7" t="s">
        <v>42</v>
      </c>
      <c r="K770" s="7" t="s">
        <v>43</v>
      </c>
      <c r="L770" s="7" t="s">
        <v>92</v>
      </c>
      <c r="M770" s="7" t="s">
        <v>93</v>
      </c>
      <c r="N770" s="7">
        <v>25400</v>
      </c>
      <c r="O770" s="7">
        <v>1</v>
      </c>
      <c r="P770" s="16">
        <v>0.1</v>
      </c>
      <c r="Q770" s="7">
        <v>4620</v>
      </c>
      <c r="R770" s="7" t="s">
        <v>46</v>
      </c>
      <c r="S770" s="7" t="s">
        <v>47</v>
      </c>
      <c r="T770" s="7" t="s">
        <v>34</v>
      </c>
      <c r="U770" s="7">
        <v>4</v>
      </c>
      <c r="V770" s="7" t="str">
        <f>TEXT('E-Commerce Sales Data'!$B770,"mmmm")</f>
        <v>August</v>
      </c>
      <c r="W770" s="8">
        <f t="shared" si="44"/>
        <v>2419045</v>
      </c>
      <c r="X770">
        <f t="shared" si="45"/>
        <v>432</v>
      </c>
      <c r="Y770">
        <f t="shared" si="46"/>
        <v>32214.861111111109</v>
      </c>
      <c r="Z770">
        <f t="shared" si="47"/>
        <v>55</v>
      </c>
    </row>
    <row r="771" spans="1:26" x14ac:dyDescent="0.25">
      <c r="A771" s="9" t="s">
        <v>874</v>
      </c>
      <c r="B771" s="10">
        <v>51015</v>
      </c>
      <c r="C771" s="11" t="s">
        <v>95</v>
      </c>
      <c r="D771" s="11" t="s">
        <v>65</v>
      </c>
      <c r="E771" s="11">
        <v>25</v>
      </c>
      <c r="F771" s="11" t="s">
        <v>38</v>
      </c>
      <c r="G771" s="11" t="s">
        <v>25</v>
      </c>
      <c r="H771" s="11" t="s">
        <v>26</v>
      </c>
      <c r="I771" s="11" t="s">
        <v>27</v>
      </c>
      <c r="J771" s="11" t="s">
        <v>28</v>
      </c>
      <c r="K771" s="11" t="s">
        <v>29</v>
      </c>
      <c r="L771" s="11" t="s">
        <v>96</v>
      </c>
      <c r="M771" s="11" t="s">
        <v>97</v>
      </c>
      <c r="N771" s="11">
        <v>27600</v>
      </c>
      <c r="O771" s="11">
        <v>2</v>
      </c>
      <c r="P771" s="17">
        <v>0.05</v>
      </c>
      <c r="Q771" s="11">
        <v>5380</v>
      </c>
      <c r="R771" s="11" t="s">
        <v>32</v>
      </c>
      <c r="S771" s="11" t="s">
        <v>33</v>
      </c>
      <c r="T771" s="11" t="s">
        <v>34</v>
      </c>
      <c r="U771" s="11">
        <v>4</v>
      </c>
      <c r="V771" s="11" t="str">
        <f>TEXT('E-Commerce Sales Data'!$B771,"mmmm")</f>
        <v>September</v>
      </c>
      <c r="W771" s="8">
        <f t="shared" ref="W771:W834" si="48">SUM(Q771:Q1970)</f>
        <v>2414425</v>
      </c>
      <c r="X771">
        <f t="shared" ref="X771:X834" si="49">COUNT(E771:E1970)</f>
        <v>431</v>
      </c>
      <c r="Y771">
        <f t="shared" ref="Y771:Y834" si="50">AVERAGE(N771:N1970)</f>
        <v>32230.672853828306</v>
      </c>
      <c r="Z771">
        <f t="shared" ref="Z771:Z834" si="51">MAX(E771:E1970)</f>
        <v>55</v>
      </c>
    </row>
    <row r="772" spans="1:26" x14ac:dyDescent="0.25">
      <c r="A772" s="5" t="s">
        <v>875</v>
      </c>
      <c r="B772" s="6">
        <v>51022</v>
      </c>
      <c r="C772" s="7" t="s">
        <v>99</v>
      </c>
      <c r="D772" s="7" t="s">
        <v>100</v>
      </c>
      <c r="E772" s="7">
        <v>33</v>
      </c>
      <c r="F772" s="7" t="s">
        <v>24</v>
      </c>
      <c r="G772" s="7" t="s">
        <v>101</v>
      </c>
      <c r="H772" s="7" t="s">
        <v>102</v>
      </c>
      <c r="I772" s="7" t="s">
        <v>41</v>
      </c>
      <c r="J772" s="7" t="s">
        <v>28</v>
      </c>
      <c r="K772" s="7" t="s">
        <v>60</v>
      </c>
      <c r="L772" s="7" t="s">
        <v>53</v>
      </c>
      <c r="M772" s="7" t="s">
        <v>103</v>
      </c>
      <c r="N772" s="7">
        <v>1650</v>
      </c>
      <c r="O772" s="7">
        <v>25</v>
      </c>
      <c r="P772" s="16">
        <v>0</v>
      </c>
      <c r="Q772" s="7">
        <v>520</v>
      </c>
      <c r="R772" s="7" t="s">
        <v>55</v>
      </c>
      <c r="S772" s="7" t="s">
        <v>33</v>
      </c>
      <c r="T772" s="7" t="s">
        <v>34</v>
      </c>
      <c r="U772" s="7">
        <v>5</v>
      </c>
      <c r="V772" s="7" t="str">
        <f>TEXT('E-Commerce Sales Data'!$B772,"mmmm")</f>
        <v>September</v>
      </c>
      <c r="W772" s="8">
        <f t="shared" si="48"/>
        <v>2409045</v>
      </c>
      <c r="X772">
        <f t="shared" si="49"/>
        <v>430</v>
      </c>
      <c r="Y772">
        <f t="shared" si="50"/>
        <v>32241.441860465115</v>
      </c>
      <c r="Z772">
        <f t="shared" si="51"/>
        <v>55</v>
      </c>
    </row>
    <row r="773" spans="1:26" x14ac:dyDescent="0.25">
      <c r="A773" s="9" t="s">
        <v>876</v>
      </c>
      <c r="B773" s="10">
        <v>51029</v>
      </c>
      <c r="C773" s="11" t="s">
        <v>105</v>
      </c>
      <c r="D773" s="11" t="s">
        <v>58</v>
      </c>
      <c r="E773" s="11">
        <v>42</v>
      </c>
      <c r="F773" s="11" t="s">
        <v>38</v>
      </c>
      <c r="G773" s="11" t="s">
        <v>51</v>
      </c>
      <c r="H773" s="11" t="s">
        <v>51</v>
      </c>
      <c r="I773" s="11" t="s">
        <v>52</v>
      </c>
      <c r="J773" s="11" t="s">
        <v>42</v>
      </c>
      <c r="K773" s="11" t="s">
        <v>43</v>
      </c>
      <c r="L773" s="11" t="s">
        <v>68</v>
      </c>
      <c r="M773" s="11" t="s">
        <v>106</v>
      </c>
      <c r="N773" s="11">
        <v>41000</v>
      </c>
      <c r="O773" s="11">
        <v>1</v>
      </c>
      <c r="P773" s="17">
        <v>0.08</v>
      </c>
      <c r="Q773" s="11">
        <v>8750</v>
      </c>
      <c r="R773" s="11" t="s">
        <v>46</v>
      </c>
      <c r="S773" s="11" t="s">
        <v>47</v>
      </c>
      <c r="T773" s="11" t="s">
        <v>34</v>
      </c>
      <c r="U773" s="11">
        <v>4</v>
      </c>
      <c r="V773" s="11" t="str">
        <f>TEXT('E-Commerce Sales Data'!$B773,"mmmm")</f>
        <v>September</v>
      </c>
      <c r="W773" s="8">
        <f t="shared" si="48"/>
        <v>2408525</v>
      </c>
      <c r="X773">
        <f t="shared" si="49"/>
        <v>429</v>
      </c>
      <c r="Y773">
        <f t="shared" si="50"/>
        <v>32312.750582750581</v>
      </c>
      <c r="Z773">
        <f t="shared" si="51"/>
        <v>55</v>
      </c>
    </row>
    <row r="774" spans="1:26" x14ac:dyDescent="0.25">
      <c r="A774" s="5" t="s">
        <v>877</v>
      </c>
      <c r="B774" s="6">
        <v>51036</v>
      </c>
      <c r="C774" s="7" t="s">
        <v>108</v>
      </c>
      <c r="D774" s="7" t="s">
        <v>23</v>
      </c>
      <c r="E774" s="7">
        <v>30</v>
      </c>
      <c r="F774" s="7" t="s">
        <v>24</v>
      </c>
      <c r="G774" s="7" t="s">
        <v>59</v>
      </c>
      <c r="H774" s="7" t="s">
        <v>26</v>
      </c>
      <c r="I774" s="7" t="s">
        <v>27</v>
      </c>
      <c r="J774" s="7" t="s">
        <v>28</v>
      </c>
      <c r="K774" s="7" t="s">
        <v>29</v>
      </c>
      <c r="L774" s="7" t="s">
        <v>30</v>
      </c>
      <c r="M774" s="7" t="s">
        <v>31</v>
      </c>
      <c r="N774" s="7">
        <v>111500</v>
      </c>
      <c r="O774" s="7">
        <v>1</v>
      </c>
      <c r="P774" s="16">
        <v>0.1</v>
      </c>
      <c r="Q774" s="7">
        <v>13200</v>
      </c>
      <c r="R774" s="7" t="s">
        <v>32</v>
      </c>
      <c r="S774" s="7" t="s">
        <v>47</v>
      </c>
      <c r="T774" s="7" t="s">
        <v>34</v>
      </c>
      <c r="U774" s="7">
        <v>5</v>
      </c>
      <c r="V774" s="7" t="str">
        <f>TEXT('E-Commerce Sales Data'!$B774,"mmmm")</f>
        <v>September</v>
      </c>
      <c r="W774" s="8">
        <f t="shared" si="48"/>
        <v>2399775</v>
      </c>
      <c r="X774">
        <f t="shared" si="49"/>
        <v>428</v>
      </c>
      <c r="Y774">
        <f t="shared" si="50"/>
        <v>32292.453271028036</v>
      </c>
      <c r="Z774">
        <f t="shared" si="51"/>
        <v>55</v>
      </c>
    </row>
    <row r="775" spans="1:26" x14ac:dyDescent="0.25">
      <c r="A775" s="9" t="s">
        <v>878</v>
      </c>
      <c r="B775" s="10">
        <v>51043</v>
      </c>
      <c r="C775" s="11" t="s">
        <v>110</v>
      </c>
      <c r="D775" s="11" t="s">
        <v>37</v>
      </c>
      <c r="E775" s="11">
        <v>36</v>
      </c>
      <c r="F775" s="11" t="s">
        <v>38</v>
      </c>
      <c r="G775" s="11" t="s">
        <v>66</v>
      </c>
      <c r="H775" s="11" t="s">
        <v>67</v>
      </c>
      <c r="I775" s="11" t="s">
        <v>27</v>
      </c>
      <c r="J775" s="11" t="s">
        <v>28</v>
      </c>
      <c r="K775" s="11" t="s">
        <v>60</v>
      </c>
      <c r="L775" s="11" t="s">
        <v>92</v>
      </c>
      <c r="M775" s="11" t="s">
        <v>111</v>
      </c>
      <c r="N775" s="11">
        <v>2160</v>
      </c>
      <c r="O775" s="11">
        <v>15</v>
      </c>
      <c r="P775" s="17">
        <v>0.05</v>
      </c>
      <c r="Q775" s="11">
        <v>705</v>
      </c>
      <c r="R775" s="11" t="s">
        <v>80</v>
      </c>
      <c r="S775" s="11" t="s">
        <v>33</v>
      </c>
      <c r="T775" s="11" t="s">
        <v>34</v>
      </c>
      <c r="U775" s="11">
        <v>4</v>
      </c>
      <c r="V775" s="11" t="str">
        <f>TEXT('E-Commerce Sales Data'!$B775,"mmmm")</f>
        <v>September</v>
      </c>
      <c r="W775" s="8">
        <f t="shared" si="48"/>
        <v>2386575</v>
      </c>
      <c r="X775">
        <f t="shared" si="49"/>
        <v>427</v>
      </c>
      <c r="Y775">
        <f t="shared" si="50"/>
        <v>32106.95550351288</v>
      </c>
      <c r="Z775">
        <f t="shared" si="51"/>
        <v>55</v>
      </c>
    </row>
    <row r="776" spans="1:26" x14ac:dyDescent="0.25">
      <c r="A776" s="5" t="s">
        <v>879</v>
      </c>
      <c r="B776" s="6">
        <v>51050</v>
      </c>
      <c r="C776" s="7" t="s">
        <v>113</v>
      </c>
      <c r="D776" s="7" t="s">
        <v>114</v>
      </c>
      <c r="E776" s="7">
        <v>40</v>
      </c>
      <c r="F776" s="7" t="s">
        <v>24</v>
      </c>
      <c r="G776" s="7" t="s">
        <v>73</v>
      </c>
      <c r="H776" s="7" t="s">
        <v>74</v>
      </c>
      <c r="I776" s="7" t="s">
        <v>41</v>
      </c>
      <c r="J776" s="7" t="s">
        <v>42</v>
      </c>
      <c r="K776" s="7" t="s">
        <v>43</v>
      </c>
      <c r="L776" s="7" t="s">
        <v>44</v>
      </c>
      <c r="M776" s="7" t="s">
        <v>45</v>
      </c>
      <c r="N776" s="7">
        <v>20800</v>
      </c>
      <c r="O776" s="7">
        <v>4</v>
      </c>
      <c r="P776" s="16">
        <v>7.0000000000000007E-2</v>
      </c>
      <c r="Q776" s="7">
        <v>4800</v>
      </c>
      <c r="R776" s="7" t="s">
        <v>46</v>
      </c>
      <c r="S776" s="7" t="s">
        <v>33</v>
      </c>
      <c r="T776" s="7" t="s">
        <v>34</v>
      </c>
      <c r="U776" s="7">
        <v>4</v>
      </c>
      <c r="V776" s="7" t="str">
        <f>TEXT('E-Commerce Sales Data'!$B776,"mmmm")</f>
        <v>October</v>
      </c>
      <c r="W776" s="8">
        <f t="shared" si="48"/>
        <v>2385870</v>
      </c>
      <c r="X776">
        <f t="shared" si="49"/>
        <v>426</v>
      </c>
      <c r="Y776">
        <f t="shared" si="50"/>
        <v>32177.25352112676</v>
      </c>
      <c r="Z776">
        <f t="shared" si="51"/>
        <v>55</v>
      </c>
    </row>
    <row r="777" spans="1:26" x14ac:dyDescent="0.25">
      <c r="A777" s="9" t="s">
        <v>880</v>
      </c>
      <c r="B777" s="10">
        <v>51057</v>
      </c>
      <c r="C777" s="11" t="s">
        <v>116</v>
      </c>
      <c r="D777" s="11" t="s">
        <v>83</v>
      </c>
      <c r="E777" s="11">
        <v>27</v>
      </c>
      <c r="F777" s="11" t="s">
        <v>38</v>
      </c>
      <c r="G777" s="11" t="s">
        <v>39</v>
      </c>
      <c r="H777" s="11" t="s">
        <v>40</v>
      </c>
      <c r="I777" s="11" t="s">
        <v>41</v>
      </c>
      <c r="J777" s="11" t="s">
        <v>28</v>
      </c>
      <c r="K777" s="11" t="s">
        <v>29</v>
      </c>
      <c r="L777" s="11" t="s">
        <v>53</v>
      </c>
      <c r="M777" s="11" t="s">
        <v>54</v>
      </c>
      <c r="N777" s="11">
        <v>41800</v>
      </c>
      <c r="O777" s="11">
        <v>2</v>
      </c>
      <c r="P777" s="17">
        <v>0.05</v>
      </c>
      <c r="Q777" s="11">
        <v>8150</v>
      </c>
      <c r="R777" s="11" t="s">
        <v>32</v>
      </c>
      <c r="S777" s="11" t="s">
        <v>47</v>
      </c>
      <c r="T777" s="11" t="s">
        <v>34</v>
      </c>
      <c r="U777" s="11">
        <v>5</v>
      </c>
      <c r="V777" s="11" t="str">
        <f>TEXT('E-Commerce Sales Data'!$B777,"mmmm")</f>
        <v>October</v>
      </c>
      <c r="W777" s="8">
        <f t="shared" si="48"/>
        <v>2381070</v>
      </c>
      <c r="X777">
        <f t="shared" si="49"/>
        <v>425</v>
      </c>
      <c r="Y777">
        <f t="shared" si="50"/>
        <v>32204.023529411767</v>
      </c>
      <c r="Z777">
        <f t="shared" si="51"/>
        <v>55</v>
      </c>
    </row>
    <row r="778" spans="1:26" x14ac:dyDescent="0.25">
      <c r="A778" s="5" t="s">
        <v>881</v>
      </c>
      <c r="B778" s="6">
        <v>51064</v>
      </c>
      <c r="C778" s="7" t="s">
        <v>118</v>
      </c>
      <c r="D778" s="7" t="s">
        <v>72</v>
      </c>
      <c r="E778" s="7">
        <v>35</v>
      </c>
      <c r="F778" s="7" t="s">
        <v>24</v>
      </c>
      <c r="G778" s="7" t="s">
        <v>84</v>
      </c>
      <c r="H778" s="7" t="s">
        <v>85</v>
      </c>
      <c r="I778" s="7" t="s">
        <v>52</v>
      </c>
      <c r="J778" s="7" t="s">
        <v>42</v>
      </c>
      <c r="K778" s="7" t="s">
        <v>60</v>
      </c>
      <c r="L778" s="7" t="s">
        <v>61</v>
      </c>
      <c r="M778" s="7" t="s">
        <v>62</v>
      </c>
      <c r="N778" s="7">
        <v>9900</v>
      </c>
      <c r="O778" s="7">
        <v>10</v>
      </c>
      <c r="P778" s="16">
        <v>0.03</v>
      </c>
      <c r="Q778" s="7">
        <v>2460</v>
      </c>
      <c r="R778" s="7" t="s">
        <v>55</v>
      </c>
      <c r="S778" s="7" t="s">
        <v>33</v>
      </c>
      <c r="T778" s="7" t="s">
        <v>34</v>
      </c>
      <c r="U778" s="7">
        <v>4</v>
      </c>
      <c r="V778" s="7" t="str">
        <f>TEXT('E-Commerce Sales Data'!$B778,"mmmm")</f>
        <v>October</v>
      </c>
      <c r="W778" s="8">
        <f t="shared" si="48"/>
        <v>2372920</v>
      </c>
      <c r="X778">
        <f t="shared" si="49"/>
        <v>424</v>
      </c>
      <c r="Y778">
        <f t="shared" si="50"/>
        <v>32181.391509433961</v>
      </c>
      <c r="Z778">
        <f t="shared" si="51"/>
        <v>55</v>
      </c>
    </row>
    <row r="779" spans="1:26" x14ac:dyDescent="0.25">
      <c r="A779" s="9" t="s">
        <v>882</v>
      </c>
      <c r="B779" s="10">
        <v>51071</v>
      </c>
      <c r="C779" s="11" t="s">
        <v>120</v>
      </c>
      <c r="D779" s="11" t="s">
        <v>23</v>
      </c>
      <c r="E779" s="11">
        <v>24</v>
      </c>
      <c r="F779" s="11" t="s">
        <v>38</v>
      </c>
      <c r="G779" s="11" t="s">
        <v>25</v>
      </c>
      <c r="H779" s="11" t="s">
        <v>26</v>
      </c>
      <c r="I779" s="11" t="s">
        <v>27</v>
      </c>
      <c r="J779" s="11" t="s">
        <v>28</v>
      </c>
      <c r="K779" s="11" t="s">
        <v>43</v>
      </c>
      <c r="L779" s="11" t="s">
        <v>68</v>
      </c>
      <c r="M779" s="11" t="s">
        <v>69</v>
      </c>
      <c r="N779" s="11">
        <v>39100</v>
      </c>
      <c r="O779" s="11">
        <v>2</v>
      </c>
      <c r="P779" s="17">
        <v>0.1</v>
      </c>
      <c r="Q779" s="11">
        <v>6360</v>
      </c>
      <c r="R779" s="11" t="s">
        <v>32</v>
      </c>
      <c r="S779" s="11" t="s">
        <v>47</v>
      </c>
      <c r="T779" s="11" t="s">
        <v>34</v>
      </c>
      <c r="U779" s="11">
        <v>5</v>
      </c>
      <c r="V779" s="11" t="str">
        <f>TEXT('E-Commerce Sales Data'!$B779,"mmmm")</f>
        <v>October</v>
      </c>
      <c r="W779" s="8">
        <f t="shared" si="48"/>
        <v>2370460</v>
      </c>
      <c r="X779">
        <f t="shared" si="49"/>
        <v>423</v>
      </c>
      <c r="Y779">
        <f t="shared" si="50"/>
        <v>32234.066193853429</v>
      </c>
      <c r="Z779">
        <f t="shared" si="51"/>
        <v>55</v>
      </c>
    </row>
    <row r="780" spans="1:26" x14ac:dyDescent="0.25">
      <c r="A780" s="5" t="s">
        <v>883</v>
      </c>
      <c r="B780" s="6">
        <v>51078</v>
      </c>
      <c r="C780" s="7" t="s">
        <v>122</v>
      </c>
      <c r="D780" s="7" t="s">
        <v>50</v>
      </c>
      <c r="E780" s="7">
        <v>43</v>
      </c>
      <c r="F780" s="7" t="s">
        <v>24</v>
      </c>
      <c r="G780" s="7" t="s">
        <v>101</v>
      </c>
      <c r="H780" s="7" t="s">
        <v>102</v>
      </c>
      <c r="I780" s="7" t="s">
        <v>41</v>
      </c>
      <c r="J780" s="7" t="s">
        <v>42</v>
      </c>
      <c r="K780" s="7" t="s">
        <v>29</v>
      </c>
      <c r="L780" s="7" t="s">
        <v>53</v>
      </c>
      <c r="M780" s="7" t="s">
        <v>75</v>
      </c>
      <c r="N780" s="7">
        <v>6250</v>
      </c>
      <c r="O780" s="7">
        <v>4</v>
      </c>
      <c r="P780" s="16">
        <v>0.05</v>
      </c>
      <c r="Q780" s="7">
        <v>1650</v>
      </c>
      <c r="R780" s="7" t="s">
        <v>46</v>
      </c>
      <c r="S780" s="7" t="s">
        <v>33</v>
      </c>
      <c r="T780" s="7" t="s">
        <v>34</v>
      </c>
      <c r="U780" s="7">
        <v>3</v>
      </c>
      <c r="V780" s="7" t="str">
        <f>TEXT('E-Commerce Sales Data'!$B780,"mmmm")</f>
        <v>November</v>
      </c>
      <c r="W780" s="8">
        <f t="shared" si="48"/>
        <v>2364100</v>
      </c>
      <c r="X780">
        <f t="shared" si="49"/>
        <v>422</v>
      </c>
      <c r="Y780">
        <f t="shared" si="50"/>
        <v>32217.796208530806</v>
      </c>
      <c r="Z780">
        <f t="shared" si="51"/>
        <v>55</v>
      </c>
    </row>
    <row r="781" spans="1:26" x14ac:dyDescent="0.25">
      <c r="A781" s="9" t="s">
        <v>884</v>
      </c>
      <c r="B781" s="10">
        <v>51085</v>
      </c>
      <c r="C781" s="11" t="s">
        <v>124</v>
      </c>
      <c r="D781" s="11" t="s">
        <v>100</v>
      </c>
      <c r="E781" s="11">
        <v>32</v>
      </c>
      <c r="F781" s="11" t="s">
        <v>38</v>
      </c>
      <c r="G781" s="11" t="s">
        <v>78</v>
      </c>
      <c r="H781" s="11" t="s">
        <v>26</v>
      </c>
      <c r="I781" s="11" t="s">
        <v>27</v>
      </c>
      <c r="J781" s="11" t="s">
        <v>28</v>
      </c>
      <c r="K781" s="11" t="s">
        <v>29</v>
      </c>
      <c r="L781" s="11" t="s">
        <v>53</v>
      </c>
      <c r="M781" s="11" t="s">
        <v>79</v>
      </c>
      <c r="N781" s="11">
        <v>6100</v>
      </c>
      <c r="O781" s="11">
        <v>7</v>
      </c>
      <c r="P781" s="17">
        <v>0</v>
      </c>
      <c r="Q781" s="11">
        <v>1830</v>
      </c>
      <c r="R781" s="11" t="s">
        <v>32</v>
      </c>
      <c r="S781" s="11" t="s">
        <v>33</v>
      </c>
      <c r="T781" s="11" t="s">
        <v>34</v>
      </c>
      <c r="U781" s="11">
        <v>4</v>
      </c>
      <c r="V781" s="11" t="str">
        <f>TEXT('E-Commerce Sales Data'!$B781,"mmmm")</f>
        <v>November</v>
      </c>
      <c r="W781" s="8">
        <f t="shared" si="48"/>
        <v>2362450</v>
      </c>
      <c r="X781">
        <f t="shared" si="49"/>
        <v>421</v>
      </c>
      <c r="Y781">
        <f t="shared" si="50"/>
        <v>32279.477434679335</v>
      </c>
      <c r="Z781">
        <f t="shared" si="51"/>
        <v>55</v>
      </c>
    </row>
    <row r="782" spans="1:26" x14ac:dyDescent="0.25">
      <c r="A782" s="5" t="s">
        <v>885</v>
      </c>
      <c r="B782" s="6">
        <v>51092</v>
      </c>
      <c r="C782" s="7" t="s">
        <v>22</v>
      </c>
      <c r="D782" s="7" t="s">
        <v>23</v>
      </c>
      <c r="E782" s="7">
        <v>28</v>
      </c>
      <c r="F782" s="7" t="s">
        <v>24</v>
      </c>
      <c r="G782" s="7" t="s">
        <v>25</v>
      </c>
      <c r="H782" s="7" t="s">
        <v>26</v>
      </c>
      <c r="I782" s="7" t="s">
        <v>27</v>
      </c>
      <c r="J782" s="7" t="s">
        <v>28</v>
      </c>
      <c r="K782" s="7" t="s">
        <v>29</v>
      </c>
      <c r="L782" s="7" t="s">
        <v>30</v>
      </c>
      <c r="M782" s="7" t="s">
        <v>31</v>
      </c>
      <c r="N782" s="7">
        <v>107500</v>
      </c>
      <c r="O782" s="7">
        <v>1</v>
      </c>
      <c r="P782" s="16">
        <v>0.05</v>
      </c>
      <c r="Q782" s="7">
        <v>14300</v>
      </c>
      <c r="R782" s="7" t="s">
        <v>32</v>
      </c>
      <c r="S782" s="7" t="s">
        <v>47</v>
      </c>
      <c r="T782" s="7" t="s">
        <v>34</v>
      </c>
      <c r="U782" s="7">
        <v>5</v>
      </c>
      <c r="V782" s="7" t="str">
        <f>TEXT('E-Commerce Sales Data'!$B782,"mmmm")</f>
        <v>November</v>
      </c>
      <c r="W782" s="8">
        <f t="shared" si="48"/>
        <v>2360620</v>
      </c>
      <c r="X782">
        <f t="shared" si="49"/>
        <v>420</v>
      </c>
      <c r="Y782">
        <f t="shared" si="50"/>
        <v>32341.809523809523</v>
      </c>
      <c r="Z782">
        <f t="shared" si="51"/>
        <v>55</v>
      </c>
    </row>
    <row r="783" spans="1:26" x14ac:dyDescent="0.25">
      <c r="A783" s="9" t="s">
        <v>886</v>
      </c>
      <c r="B783" s="10">
        <v>51099</v>
      </c>
      <c r="C783" s="11" t="s">
        <v>36</v>
      </c>
      <c r="D783" s="11" t="s">
        <v>37</v>
      </c>
      <c r="E783" s="11">
        <v>34</v>
      </c>
      <c r="F783" s="11" t="s">
        <v>38</v>
      </c>
      <c r="G783" s="11" t="s">
        <v>39</v>
      </c>
      <c r="H783" s="11" t="s">
        <v>40</v>
      </c>
      <c r="I783" s="11" t="s">
        <v>41</v>
      </c>
      <c r="J783" s="11" t="s">
        <v>42</v>
      </c>
      <c r="K783" s="11" t="s">
        <v>43</v>
      </c>
      <c r="L783" s="11" t="s">
        <v>44</v>
      </c>
      <c r="M783" s="11" t="s">
        <v>45</v>
      </c>
      <c r="N783" s="11">
        <v>17000</v>
      </c>
      <c r="O783" s="11">
        <v>3</v>
      </c>
      <c r="P783" s="17">
        <v>0.1</v>
      </c>
      <c r="Q783" s="11">
        <v>4040</v>
      </c>
      <c r="R783" s="11" t="s">
        <v>46</v>
      </c>
      <c r="S783" s="11" t="s">
        <v>33</v>
      </c>
      <c r="T783" s="11" t="s">
        <v>34</v>
      </c>
      <c r="U783" s="11">
        <v>4</v>
      </c>
      <c r="V783" s="11" t="str">
        <f>TEXT('E-Commerce Sales Data'!$B783,"mmmm")</f>
        <v>November</v>
      </c>
      <c r="W783" s="8">
        <f t="shared" si="48"/>
        <v>2346320</v>
      </c>
      <c r="X783">
        <f t="shared" si="49"/>
        <v>419</v>
      </c>
      <c r="Y783">
        <f t="shared" si="50"/>
        <v>32162.434367541766</v>
      </c>
      <c r="Z783">
        <f t="shared" si="51"/>
        <v>55</v>
      </c>
    </row>
    <row r="784" spans="1:26" x14ac:dyDescent="0.25">
      <c r="A784" s="5" t="s">
        <v>887</v>
      </c>
      <c r="B784" s="6">
        <v>51106</v>
      </c>
      <c r="C784" s="7" t="s">
        <v>49</v>
      </c>
      <c r="D784" s="7" t="s">
        <v>50</v>
      </c>
      <c r="E784" s="7">
        <v>41</v>
      </c>
      <c r="F784" s="7" t="s">
        <v>24</v>
      </c>
      <c r="G784" s="7" t="s">
        <v>51</v>
      </c>
      <c r="H784" s="7" t="s">
        <v>51</v>
      </c>
      <c r="I784" s="7" t="s">
        <v>52</v>
      </c>
      <c r="J784" s="7" t="s">
        <v>28</v>
      </c>
      <c r="K784" s="7" t="s">
        <v>29</v>
      </c>
      <c r="L784" s="7" t="s">
        <v>53</v>
      </c>
      <c r="M784" s="7" t="s">
        <v>54</v>
      </c>
      <c r="N784" s="7">
        <v>39700</v>
      </c>
      <c r="O784" s="7">
        <v>2</v>
      </c>
      <c r="P784" s="16">
        <v>0.05</v>
      </c>
      <c r="Q784" s="7">
        <v>7700</v>
      </c>
      <c r="R784" s="7" t="s">
        <v>55</v>
      </c>
      <c r="S784" s="7" t="s">
        <v>33</v>
      </c>
      <c r="T784" s="7" t="s">
        <v>34</v>
      </c>
      <c r="U784" s="7">
        <v>4</v>
      </c>
      <c r="V784" s="7" t="str">
        <f>TEXT('E-Commerce Sales Data'!$B784,"mmmm")</f>
        <v>December</v>
      </c>
      <c r="W784" s="8">
        <f t="shared" si="48"/>
        <v>2342280</v>
      </c>
      <c r="X784">
        <f t="shared" si="49"/>
        <v>418</v>
      </c>
      <c r="Y784">
        <f t="shared" si="50"/>
        <v>32198.708133971293</v>
      </c>
      <c r="Z784">
        <f t="shared" si="51"/>
        <v>55</v>
      </c>
    </row>
    <row r="785" spans="1:26" x14ac:dyDescent="0.25">
      <c r="A785" s="9" t="s">
        <v>888</v>
      </c>
      <c r="B785" s="10">
        <v>51113</v>
      </c>
      <c r="C785" s="11" t="s">
        <v>57</v>
      </c>
      <c r="D785" s="11" t="s">
        <v>58</v>
      </c>
      <c r="E785" s="11">
        <v>26</v>
      </c>
      <c r="F785" s="11" t="s">
        <v>38</v>
      </c>
      <c r="G785" s="11" t="s">
        <v>59</v>
      </c>
      <c r="H785" s="11" t="s">
        <v>26</v>
      </c>
      <c r="I785" s="11" t="s">
        <v>27</v>
      </c>
      <c r="J785" s="11" t="s">
        <v>28</v>
      </c>
      <c r="K785" s="11" t="s">
        <v>60</v>
      </c>
      <c r="L785" s="11" t="s">
        <v>61</v>
      </c>
      <c r="M785" s="11" t="s">
        <v>86</v>
      </c>
      <c r="N785" s="11">
        <v>1150</v>
      </c>
      <c r="O785" s="11">
        <v>20</v>
      </c>
      <c r="P785" s="17">
        <v>0.02</v>
      </c>
      <c r="Q785" s="11">
        <v>335</v>
      </c>
      <c r="R785" s="11" t="s">
        <v>32</v>
      </c>
      <c r="S785" s="11" t="s">
        <v>33</v>
      </c>
      <c r="T785" s="11" t="s">
        <v>34</v>
      </c>
      <c r="U785" s="11">
        <v>5</v>
      </c>
      <c r="V785" s="11" t="str">
        <f>TEXT('E-Commerce Sales Data'!$B785,"mmmm")</f>
        <v>December</v>
      </c>
      <c r="W785" s="8">
        <f t="shared" si="48"/>
        <v>2334580</v>
      </c>
      <c r="X785">
        <f t="shared" si="49"/>
        <v>417</v>
      </c>
      <c r="Y785">
        <f t="shared" si="50"/>
        <v>32180.719424460432</v>
      </c>
      <c r="Z785">
        <f t="shared" si="51"/>
        <v>55</v>
      </c>
    </row>
    <row r="786" spans="1:26" x14ac:dyDescent="0.25">
      <c r="A786" s="5" t="s">
        <v>889</v>
      </c>
      <c r="B786" s="6">
        <v>51120</v>
      </c>
      <c r="C786" s="7" t="s">
        <v>64</v>
      </c>
      <c r="D786" s="7" t="s">
        <v>65</v>
      </c>
      <c r="E786" s="7">
        <v>39</v>
      </c>
      <c r="F786" s="7" t="s">
        <v>24</v>
      </c>
      <c r="G786" s="7" t="s">
        <v>66</v>
      </c>
      <c r="H786" s="7" t="s">
        <v>67</v>
      </c>
      <c r="I786" s="7" t="s">
        <v>27</v>
      </c>
      <c r="J786" s="7" t="s">
        <v>42</v>
      </c>
      <c r="K786" s="7" t="s">
        <v>43</v>
      </c>
      <c r="L786" s="7" t="s">
        <v>68</v>
      </c>
      <c r="M786" s="7" t="s">
        <v>69</v>
      </c>
      <c r="N786" s="7">
        <v>41400</v>
      </c>
      <c r="O786" s="7">
        <v>2</v>
      </c>
      <c r="P786" s="16">
        <v>0.08</v>
      </c>
      <c r="Q786" s="7">
        <v>7140</v>
      </c>
      <c r="R786" s="7" t="s">
        <v>46</v>
      </c>
      <c r="S786" s="7" t="s">
        <v>47</v>
      </c>
      <c r="T786" s="7" t="s">
        <v>34</v>
      </c>
      <c r="U786" s="7">
        <v>4</v>
      </c>
      <c r="V786" s="7" t="str">
        <f>TEXT('E-Commerce Sales Data'!$B786,"mmmm")</f>
        <v>December</v>
      </c>
      <c r="W786" s="8">
        <f t="shared" si="48"/>
        <v>2334245</v>
      </c>
      <c r="X786">
        <f t="shared" si="49"/>
        <v>416</v>
      </c>
      <c r="Y786">
        <f t="shared" si="50"/>
        <v>32255.3125</v>
      </c>
      <c r="Z786">
        <f t="shared" si="51"/>
        <v>55</v>
      </c>
    </row>
    <row r="787" spans="1:26" x14ac:dyDescent="0.25">
      <c r="A787" s="9" t="s">
        <v>890</v>
      </c>
      <c r="B787" s="10">
        <v>51127</v>
      </c>
      <c r="C787" s="11" t="s">
        <v>71</v>
      </c>
      <c r="D787" s="11" t="s">
        <v>72</v>
      </c>
      <c r="E787" s="11">
        <v>31</v>
      </c>
      <c r="F787" s="11" t="s">
        <v>38</v>
      </c>
      <c r="G787" s="11" t="s">
        <v>73</v>
      </c>
      <c r="H787" s="11" t="s">
        <v>74</v>
      </c>
      <c r="I787" s="11" t="s">
        <v>41</v>
      </c>
      <c r="J787" s="11" t="s">
        <v>28</v>
      </c>
      <c r="K787" s="11" t="s">
        <v>29</v>
      </c>
      <c r="L787" s="11" t="s">
        <v>53</v>
      </c>
      <c r="M787" s="11" t="s">
        <v>75</v>
      </c>
      <c r="N787" s="11">
        <v>5950</v>
      </c>
      <c r="O787" s="11">
        <v>3</v>
      </c>
      <c r="P787" s="17">
        <v>0.05</v>
      </c>
      <c r="Q787" s="11">
        <v>1590</v>
      </c>
      <c r="R787" s="11" t="s">
        <v>32</v>
      </c>
      <c r="S787" s="11" t="s">
        <v>33</v>
      </c>
      <c r="T787" s="11" t="s">
        <v>34</v>
      </c>
      <c r="U787" s="11">
        <v>4</v>
      </c>
      <c r="V787" s="11" t="str">
        <f>TEXT('E-Commerce Sales Data'!$B787,"mmmm")</f>
        <v>December</v>
      </c>
      <c r="W787" s="8">
        <f t="shared" si="48"/>
        <v>2327105</v>
      </c>
      <c r="X787">
        <f t="shared" si="49"/>
        <v>415</v>
      </c>
      <c r="Y787">
        <f t="shared" si="50"/>
        <v>32233.277108433736</v>
      </c>
      <c r="Z787">
        <f t="shared" si="51"/>
        <v>55</v>
      </c>
    </row>
    <row r="788" spans="1:26" x14ac:dyDescent="0.25">
      <c r="A788" s="5" t="s">
        <v>891</v>
      </c>
      <c r="B788" s="6">
        <v>51134</v>
      </c>
      <c r="C788" s="7" t="s">
        <v>77</v>
      </c>
      <c r="D788" s="7" t="s">
        <v>23</v>
      </c>
      <c r="E788" s="7">
        <v>29</v>
      </c>
      <c r="F788" s="7" t="s">
        <v>24</v>
      </c>
      <c r="G788" s="7" t="s">
        <v>78</v>
      </c>
      <c r="H788" s="7" t="s">
        <v>26</v>
      </c>
      <c r="I788" s="7" t="s">
        <v>27</v>
      </c>
      <c r="J788" s="7" t="s">
        <v>28</v>
      </c>
      <c r="K788" s="7" t="s">
        <v>29</v>
      </c>
      <c r="L788" s="7" t="s">
        <v>53</v>
      </c>
      <c r="M788" s="7" t="s">
        <v>79</v>
      </c>
      <c r="N788" s="7">
        <v>6200</v>
      </c>
      <c r="O788" s="7">
        <v>6</v>
      </c>
      <c r="P788" s="16">
        <v>0</v>
      </c>
      <c r="Q788" s="7">
        <v>1860</v>
      </c>
      <c r="R788" s="7" t="s">
        <v>80</v>
      </c>
      <c r="S788" s="7" t="s">
        <v>33</v>
      </c>
      <c r="T788" s="7" t="s">
        <v>34</v>
      </c>
      <c r="U788" s="7">
        <v>3</v>
      </c>
      <c r="V788" s="7" t="str">
        <f>TEXT('E-Commerce Sales Data'!$B788,"mmmm")</f>
        <v>December</v>
      </c>
      <c r="W788" s="8">
        <f t="shared" si="48"/>
        <v>2325515</v>
      </c>
      <c r="X788">
        <f t="shared" si="49"/>
        <v>414</v>
      </c>
      <c r="Y788">
        <f t="shared" si="50"/>
        <v>32296.763285024153</v>
      </c>
      <c r="Z788">
        <f t="shared" si="51"/>
        <v>55</v>
      </c>
    </row>
    <row r="789" spans="1:26" x14ac:dyDescent="0.25">
      <c r="A789" s="9" t="s">
        <v>892</v>
      </c>
      <c r="B789" s="10">
        <v>51141</v>
      </c>
      <c r="C789" s="11" t="s">
        <v>82</v>
      </c>
      <c r="D789" s="11" t="s">
        <v>83</v>
      </c>
      <c r="E789" s="11">
        <v>37</v>
      </c>
      <c r="F789" s="11" t="s">
        <v>38</v>
      </c>
      <c r="G789" s="11" t="s">
        <v>84</v>
      </c>
      <c r="H789" s="11" t="s">
        <v>85</v>
      </c>
      <c r="I789" s="11" t="s">
        <v>52</v>
      </c>
      <c r="J789" s="11" t="s">
        <v>42</v>
      </c>
      <c r="K789" s="11" t="s">
        <v>60</v>
      </c>
      <c r="L789" s="11" t="s">
        <v>61</v>
      </c>
      <c r="M789" s="11" t="s">
        <v>62</v>
      </c>
      <c r="N789" s="11">
        <v>10000</v>
      </c>
      <c r="O789" s="11">
        <v>10</v>
      </c>
      <c r="P789" s="17">
        <v>0.02</v>
      </c>
      <c r="Q789" s="11">
        <v>2480</v>
      </c>
      <c r="R789" s="11" t="s">
        <v>32</v>
      </c>
      <c r="S789" s="11" t="s">
        <v>33</v>
      </c>
      <c r="T789" s="11" t="s">
        <v>34</v>
      </c>
      <c r="U789" s="11">
        <v>5</v>
      </c>
      <c r="V789" s="11" t="str">
        <f>TEXT('E-Commerce Sales Data'!$B789,"mmmm")</f>
        <v>January</v>
      </c>
      <c r="W789" s="8">
        <f t="shared" si="48"/>
        <v>2323655</v>
      </c>
      <c r="X789">
        <f t="shared" si="49"/>
        <v>413</v>
      </c>
      <c r="Y789">
        <f t="shared" si="50"/>
        <v>32359.951573849878</v>
      </c>
      <c r="Z789">
        <f t="shared" si="51"/>
        <v>55</v>
      </c>
    </row>
    <row r="790" spans="1:26" x14ac:dyDescent="0.25">
      <c r="A790" s="5" t="s">
        <v>893</v>
      </c>
      <c r="B790" s="6">
        <v>51148</v>
      </c>
      <c r="C790" s="7" t="s">
        <v>88</v>
      </c>
      <c r="D790" s="7" t="s">
        <v>37</v>
      </c>
      <c r="E790" s="7">
        <v>45</v>
      </c>
      <c r="F790" s="7" t="s">
        <v>24</v>
      </c>
      <c r="G790" s="7" t="s">
        <v>89</v>
      </c>
      <c r="H790" s="7" t="s">
        <v>90</v>
      </c>
      <c r="I790" s="7" t="s">
        <v>91</v>
      </c>
      <c r="J790" s="7" t="s">
        <v>42</v>
      </c>
      <c r="K790" s="7" t="s">
        <v>43</v>
      </c>
      <c r="L790" s="7" t="s">
        <v>92</v>
      </c>
      <c r="M790" s="7" t="s">
        <v>93</v>
      </c>
      <c r="N790" s="7">
        <v>25800</v>
      </c>
      <c r="O790" s="7">
        <v>1</v>
      </c>
      <c r="P790" s="16">
        <v>0.1</v>
      </c>
      <c r="Q790" s="7">
        <v>4700</v>
      </c>
      <c r="R790" s="7" t="s">
        <v>46</v>
      </c>
      <c r="S790" s="7" t="s">
        <v>47</v>
      </c>
      <c r="T790" s="7" t="s">
        <v>34</v>
      </c>
      <c r="U790" s="7">
        <v>4</v>
      </c>
      <c r="V790" s="7" t="str">
        <f>TEXT('E-Commerce Sales Data'!$B790,"mmmm")</f>
        <v>January</v>
      </c>
      <c r="W790" s="8">
        <f t="shared" si="48"/>
        <v>2321175</v>
      </c>
      <c r="X790">
        <f t="shared" si="49"/>
        <v>412</v>
      </c>
      <c r="Y790">
        <f t="shared" si="50"/>
        <v>32414.223300970873</v>
      </c>
      <c r="Z790">
        <f t="shared" si="51"/>
        <v>55</v>
      </c>
    </row>
    <row r="791" spans="1:26" x14ac:dyDescent="0.25">
      <c r="A791" s="9" t="s">
        <v>894</v>
      </c>
      <c r="B791" s="10">
        <v>51155</v>
      </c>
      <c r="C791" s="11" t="s">
        <v>95</v>
      </c>
      <c r="D791" s="11" t="s">
        <v>65</v>
      </c>
      <c r="E791" s="11">
        <v>25</v>
      </c>
      <c r="F791" s="11" t="s">
        <v>38</v>
      </c>
      <c r="G791" s="11" t="s">
        <v>25</v>
      </c>
      <c r="H791" s="11" t="s">
        <v>26</v>
      </c>
      <c r="I791" s="11" t="s">
        <v>27</v>
      </c>
      <c r="J791" s="11" t="s">
        <v>28</v>
      </c>
      <c r="K791" s="11" t="s">
        <v>29</v>
      </c>
      <c r="L791" s="11" t="s">
        <v>96</v>
      </c>
      <c r="M791" s="11" t="s">
        <v>97</v>
      </c>
      <c r="N791" s="11">
        <v>28000</v>
      </c>
      <c r="O791" s="11">
        <v>2</v>
      </c>
      <c r="P791" s="17">
        <v>0.05</v>
      </c>
      <c r="Q791" s="11">
        <v>5460</v>
      </c>
      <c r="R791" s="11" t="s">
        <v>32</v>
      </c>
      <c r="S791" s="11" t="s">
        <v>33</v>
      </c>
      <c r="T791" s="11" t="s">
        <v>34</v>
      </c>
      <c r="U791" s="11">
        <v>4</v>
      </c>
      <c r="V791" s="11" t="str">
        <f>TEXT('E-Commerce Sales Data'!$B791,"mmmm")</f>
        <v>January</v>
      </c>
      <c r="W791" s="8">
        <f t="shared" si="48"/>
        <v>2316475</v>
      </c>
      <c r="X791">
        <f t="shared" si="49"/>
        <v>411</v>
      </c>
      <c r="Y791">
        <f t="shared" si="50"/>
        <v>32430.316301703162</v>
      </c>
      <c r="Z791">
        <f t="shared" si="51"/>
        <v>55</v>
      </c>
    </row>
    <row r="792" spans="1:26" x14ac:dyDescent="0.25">
      <c r="A792" s="5" t="s">
        <v>895</v>
      </c>
      <c r="B792" s="6">
        <v>51162</v>
      </c>
      <c r="C792" s="7" t="s">
        <v>99</v>
      </c>
      <c r="D792" s="7" t="s">
        <v>100</v>
      </c>
      <c r="E792" s="7">
        <v>33</v>
      </c>
      <c r="F792" s="7" t="s">
        <v>24</v>
      </c>
      <c r="G792" s="7" t="s">
        <v>101</v>
      </c>
      <c r="H792" s="7" t="s">
        <v>102</v>
      </c>
      <c r="I792" s="7" t="s">
        <v>41</v>
      </c>
      <c r="J792" s="7" t="s">
        <v>28</v>
      </c>
      <c r="K792" s="7" t="s">
        <v>60</v>
      </c>
      <c r="L792" s="7" t="s">
        <v>53</v>
      </c>
      <c r="M792" s="7" t="s">
        <v>103</v>
      </c>
      <c r="N792" s="7">
        <v>1680</v>
      </c>
      <c r="O792" s="7">
        <v>25</v>
      </c>
      <c r="P792" s="16">
        <v>0</v>
      </c>
      <c r="Q792" s="7">
        <v>530</v>
      </c>
      <c r="R792" s="7" t="s">
        <v>55</v>
      </c>
      <c r="S792" s="7" t="s">
        <v>33</v>
      </c>
      <c r="T792" s="7" t="s">
        <v>34</v>
      </c>
      <c r="U792" s="7">
        <v>5</v>
      </c>
      <c r="V792" s="7" t="str">
        <f>TEXT('E-Commerce Sales Data'!$B792,"mmmm")</f>
        <v>January</v>
      </c>
      <c r="W792" s="8">
        <f t="shared" si="48"/>
        <v>2311015</v>
      </c>
      <c r="X792">
        <f t="shared" si="49"/>
        <v>410</v>
      </c>
      <c r="Y792">
        <f t="shared" si="50"/>
        <v>32441.121951219513</v>
      </c>
      <c r="Z792">
        <f t="shared" si="51"/>
        <v>55</v>
      </c>
    </row>
    <row r="793" spans="1:26" x14ac:dyDescent="0.25">
      <c r="A793" s="9" t="s">
        <v>896</v>
      </c>
      <c r="B793" s="10">
        <v>51169</v>
      </c>
      <c r="C793" s="11" t="s">
        <v>105</v>
      </c>
      <c r="D793" s="11" t="s">
        <v>58</v>
      </c>
      <c r="E793" s="11">
        <v>42</v>
      </c>
      <c r="F793" s="11" t="s">
        <v>38</v>
      </c>
      <c r="G793" s="11" t="s">
        <v>51</v>
      </c>
      <c r="H793" s="11" t="s">
        <v>51</v>
      </c>
      <c r="I793" s="11" t="s">
        <v>52</v>
      </c>
      <c r="J793" s="11" t="s">
        <v>42</v>
      </c>
      <c r="K793" s="11" t="s">
        <v>43</v>
      </c>
      <c r="L793" s="11" t="s">
        <v>68</v>
      </c>
      <c r="M793" s="11" t="s">
        <v>106</v>
      </c>
      <c r="N793" s="11">
        <v>41600</v>
      </c>
      <c r="O793" s="11">
        <v>1</v>
      </c>
      <c r="P793" s="17">
        <v>0.08</v>
      </c>
      <c r="Q793" s="11">
        <v>8900</v>
      </c>
      <c r="R793" s="11" t="s">
        <v>46</v>
      </c>
      <c r="S793" s="11" t="s">
        <v>47</v>
      </c>
      <c r="T793" s="11" t="s">
        <v>34</v>
      </c>
      <c r="U793" s="11">
        <v>4</v>
      </c>
      <c r="V793" s="11" t="str">
        <f>TEXT('E-Commerce Sales Data'!$B793,"mmmm")</f>
        <v>February</v>
      </c>
      <c r="W793" s="8">
        <f t="shared" si="48"/>
        <v>2310485</v>
      </c>
      <c r="X793">
        <f t="shared" si="49"/>
        <v>409</v>
      </c>
      <c r="Y793">
        <f t="shared" si="50"/>
        <v>32516.332518337407</v>
      </c>
      <c r="Z793">
        <f t="shared" si="51"/>
        <v>55</v>
      </c>
    </row>
    <row r="794" spans="1:26" x14ac:dyDescent="0.25">
      <c r="A794" s="5" t="s">
        <v>897</v>
      </c>
      <c r="B794" s="6">
        <v>51176</v>
      </c>
      <c r="C794" s="7" t="s">
        <v>108</v>
      </c>
      <c r="D794" s="7" t="s">
        <v>23</v>
      </c>
      <c r="E794" s="7">
        <v>30</v>
      </c>
      <c r="F794" s="7" t="s">
        <v>24</v>
      </c>
      <c r="G794" s="7" t="s">
        <v>59</v>
      </c>
      <c r="H794" s="7" t="s">
        <v>26</v>
      </c>
      <c r="I794" s="7" t="s">
        <v>27</v>
      </c>
      <c r="J794" s="7" t="s">
        <v>28</v>
      </c>
      <c r="K794" s="7" t="s">
        <v>29</v>
      </c>
      <c r="L794" s="7" t="s">
        <v>30</v>
      </c>
      <c r="M794" s="7" t="s">
        <v>31</v>
      </c>
      <c r="N794" s="7">
        <v>113000</v>
      </c>
      <c r="O794" s="7">
        <v>1</v>
      </c>
      <c r="P794" s="16">
        <v>0.1</v>
      </c>
      <c r="Q794" s="7">
        <v>13400</v>
      </c>
      <c r="R794" s="7" t="s">
        <v>32</v>
      </c>
      <c r="S794" s="7" t="s">
        <v>47</v>
      </c>
      <c r="T794" s="7" t="s">
        <v>34</v>
      </c>
      <c r="U794" s="7">
        <v>5</v>
      </c>
      <c r="V794" s="7" t="str">
        <f>TEXT('E-Commerce Sales Data'!$B794,"mmmm")</f>
        <v>February</v>
      </c>
      <c r="W794" s="8">
        <f t="shared" si="48"/>
        <v>2301585</v>
      </c>
      <c r="X794">
        <f t="shared" si="49"/>
        <v>408</v>
      </c>
      <c r="Y794">
        <f t="shared" si="50"/>
        <v>32494.068627450979</v>
      </c>
      <c r="Z794">
        <f t="shared" si="51"/>
        <v>55</v>
      </c>
    </row>
    <row r="795" spans="1:26" x14ac:dyDescent="0.25">
      <c r="A795" s="9" t="s">
        <v>898</v>
      </c>
      <c r="B795" s="10">
        <v>51183</v>
      </c>
      <c r="C795" s="11" t="s">
        <v>110</v>
      </c>
      <c r="D795" s="11" t="s">
        <v>37</v>
      </c>
      <c r="E795" s="11">
        <v>36</v>
      </c>
      <c r="F795" s="11" t="s">
        <v>38</v>
      </c>
      <c r="G795" s="11" t="s">
        <v>66</v>
      </c>
      <c r="H795" s="11" t="s">
        <v>67</v>
      </c>
      <c r="I795" s="11" t="s">
        <v>27</v>
      </c>
      <c r="J795" s="11" t="s">
        <v>28</v>
      </c>
      <c r="K795" s="11" t="s">
        <v>60</v>
      </c>
      <c r="L795" s="11" t="s">
        <v>92</v>
      </c>
      <c r="M795" s="11" t="s">
        <v>111</v>
      </c>
      <c r="N795" s="11">
        <v>2200</v>
      </c>
      <c r="O795" s="11">
        <v>15</v>
      </c>
      <c r="P795" s="17">
        <v>0.05</v>
      </c>
      <c r="Q795" s="11">
        <v>720</v>
      </c>
      <c r="R795" s="11" t="s">
        <v>80</v>
      </c>
      <c r="S795" s="11" t="s">
        <v>33</v>
      </c>
      <c r="T795" s="11" t="s">
        <v>34</v>
      </c>
      <c r="U795" s="11">
        <v>4</v>
      </c>
      <c r="V795" s="11" t="str">
        <f>TEXT('E-Commerce Sales Data'!$B795,"mmmm")</f>
        <v>February</v>
      </c>
      <c r="W795" s="8">
        <f t="shared" si="48"/>
        <v>2288185</v>
      </c>
      <c r="X795">
        <f t="shared" si="49"/>
        <v>407</v>
      </c>
      <c r="Y795">
        <f t="shared" si="50"/>
        <v>32296.265356265358</v>
      </c>
      <c r="Z795">
        <f t="shared" si="51"/>
        <v>55</v>
      </c>
    </row>
    <row r="796" spans="1:26" x14ac:dyDescent="0.25">
      <c r="A796" s="5" t="s">
        <v>899</v>
      </c>
      <c r="B796" s="6">
        <v>51190</v>
      </c>
      <c r="C796" s="7" t="s">
        <v>113</v>
      </c>
      <c r="D796" s="7" t="s">
        <v>114</v>
      </c>
      <c r="E796" s="7">
        <v>40</v>
      </c>
      <c r="F796" s="7" t="s">
        <v>24</v>
      </c>
      <c r="G796" s="7" t="s">
        <v>73</v>
      </c>
      <c r="H796" s="7" t="s">
        <v>74</v>
      </c>
      <c r="I796" s="7" t="s">
        <v>41</v>
      </c>
      <c r="J796" s="7" t="s">
        <v>42</v>
      </c>
      <c r="K796" s="7" t="s">
        <v>43</v>
      </c>
      <c r="L796" s="7" t="s">
        <v>44</v>
      </c>
      <c r="M796" s="7" t="s">
        <v>45</v>
      </c>
      <c r="N796" s="7">
        <v>21200</v>
      </c>
      <c r="O796" s="7">
        <v>4</v>
      </c>
      <c r="P796" s="16">
        <v>7.0000000000000007E-2</v>
      </c>
      <c r="Q796" s="7">
        <v>4900</v>
      </c>
      <c r="R796" s="7" t="s">
        <v>46</v>
      </c>
      <c r="S796" s="7" t="s">
        <v>33</v>
      </c>
      <c r="T796" s="7" t="s">
        <v>34</v>
      </c>
      <c r="U796" s="7">
        <v>4</v>
      </c>
      <c r="V796" s="7" t="str">
        <f>TEXT('E-Commerce Sales Data'!$B796,"mmmm")</f>
        <v>February</v>
      </c>
      <c r="W796" s="8">
        <f t="shared" si="48"/>
        <v>2287465</v>
      </c>
      <c r="X796">
        <f t="shared" si="49"/>
        <v>406</v>
      </c>
      <c r="Y796">
        <f t="shared" si="50"/>
        <v>32370.394088669949</v>
      </c>
      <c r="Z796">
        <f t="shared" si="51"/>
        <v>55</v>
      </c>
    </row>
    <row r="797" spans="1:26" x14ac:dyDescent="0.25">
      <c r="A797" s="9" t="s">
        <v>900</v>
      </c>
      <c r="B797" s="10">
        <v>51197</v>
      </c>
      <c r="C797" s="11" t="s">
        <v>116</v>
      </c>
      <c r="D797" s="11" t="s">
        <v>83</v>
      </c>
      <c r="E797" s="11">
        <v>27</v>
      </c>
      <c r="F797" s="11" t="s">
        <v>38</v>
      </c>
      <c r="G797" s="11" t="s">
        <v>39</v>
      </c>
      <c r="H797" s="11" t="s">
        <v>40</v>
      </c>
      <c r="I797" s="11" t="s">
        <v>41</v>
      </c>
      <c r="J797" s="11" t="s">
        <v>28</v>
      </c>
      <c r="K797" s="11" t="s">
        <v>29</v>
      </c>
      <c r="L797" s="11" t="s">
        <v>53</v>
      </c>
      <c r="M797" s="11" t="s">
        <v>54</v>
      </c>
      <c r="N797" s="11">
        <v>42500</v>
      </c>
      <c r="O797" s="11">
        <v>2</v>
      </c>
      <c r="P797" s="17">
        <v>0.05</v>
      </c>
      <c r="Q797" s="11">
        <v>8300</v>
      </c>
      <c r="R797" s="11" t="s">
        <v>32</v>
      </c>
      <c r="S797" s="11" t="s">
        <v>47</v>
      </c>
      <c r="T797" s="11" t="s">
        <v>34</v>
      </c>
      <c r="U797" s="11">
        <v>5</v>
      </c>
      <c r="V797" s="11" t="str">
        <f>TEXT('E-Commerce Sales Data'!$B797,"mmmm")</f>
        <v>March</v>
      </c>
      <c r="W797" s="8">
        <f t="shared" si="48"/>
        <v>2282565</v>
      </c>
      <c r="X797">
        <f t="shared" si="49"/>
        <v>405</v>
      </c>
      <c r="Y797">
        <f t="shared" si="50"/>
        <v>32397.975308641977</v>
      </c>
      <c r="Z797">
        <f t="shared" si="51"/>
        <v>55</v>
      </c>
    </row>
    <row r="798" spans="1:26" x14ac:dyDescent="0.25">
      <c r="A798" s="5" t="s">
        <v>901</v>
      </c>
      <c r="B798" s="6">
        <v>51204</v>
      </c>
      <c r="C798" s="7" t="s">
        <v>118</v>
      </c>
      <c r="D798" s="7" t="s">
        <v>72</v>
      </c>
      <c r="E798" s="7">
        <v>35</v>
      </c>
      <c r="F798" s="7" t="s">
        <v>24</v>
      </c>
      <c r="G798" s="7" t="s">
        <v>84</v>
      </c>
      <c r="H798" s="7" t="s">
        <v>85</v>
      </c>
      <c r="I798" s="7" t="s">
        <v>52</v>
      </c>
      <c r="J798" s="7" t="s">
        <v>42</v>
      </c>
      <c r="K798" s="7" t="s">
        <v>60</v>
      </c>
      <c r="L798" s="7" t="s">
        <v>61</v>
      </c>
      <c r="M798" s="7" t="s">
        <v>62</v>
      </c>
      <c r="N798" s="7">
        <v>10100</v>
      </c>
      <c r="O798" s="7">
        <v>10</v>
      </c>
      <c r="P798" s="16">
        <v>0.03</v>
      </c>
      <c r="Q798" s="7">
        <v>2510</v>
      </c>
      <c r="R798" s="7" t="s">
        <v>55</v>
      </c>
      <c r="S798" s="7" t="s">
        <v>33</v>
      </c>
      <c r="T798" s="7" t="s">
        <v>34</v>
      </c>
      <c r="U798" s="7">
        <v>4</v>
      </c>
      <c r="V798" s="7" t="str">
        <f>TEXT('E-Commerce Sales Data'!$B798,"mmmm")</f>
        <v>March</v>
      </c>
      <c r="W798" s="8">
        <f t="shared" si="48"/>
        <v>2274265</v>
      </c>
      <c r="X798">
        <f t="shared" si="49"/>
        <v>404</v>
      </c>
      <c r="Y798">
        <f t="shared" si="50"/>
        <v>32372.970297029704</v>
      </c>
      <c r="Z798">
        <f t="shared" si="51"/>
        <v>55</v>
      </c>
    </row>
    <row r="799" spans="1:26" x14ac:dyDescent="0.25">
      <c r="A799" s="9" t="s">
        <v>902</v>
      </c>
      <c r="B799" s="10">
        <v>51211</v>
      </c>
      <c r="C799" s="11" t="s">
        <v>120</v>
      </c>
      <c r="D799" s="11" t="s">
        <v>23</v>
      </c>
      <c r="E799" s="11">
        <v>24</v>
      </c>
      <c r="F799" s="11" t="s">
        <v>38</v>
      </c>
      <c r="G799" s="11" t="s">
        <v>25</v>
      </c>
      <c r="H799" s="11" t="s">
        <v>26</v>
      </c>
      <c r="I799" s="11" t="s">
        <v>27</v>
      </c>
      <c r="J799" s="11" t="s">
        <v>28</v>
      </c>
      <c r="K799" s="11" t="s">
        <v>43</v>
      </c>
      <c r="L799" s="11" t="s">
        <v>68</v>
      </c>
      <c r="M799" s="11" t="s">
        <v>69</v>
      </c>
      <c r="N799" s="11">
        <v>39800</v>
      </c>
      <c r="O799" s="11">
        <v>2</v>
      </c>
      <c r="P799" s="17">
        <v>0.1</v>
      </c>
      <c r="Q799" s="11">
        <v>6480</v>
      </c>
      <c r="R799" s="11" t="s">
        <v>32</v>
      </c>
      <c r="S799" s="11" t="s">
        <v>47</v>
      </c>
      <c r="T799" s="11" t="s">
        <v>34</v>
      </c>
      <c r="U799" s="11">
        <v>5</v>
      </c>
      <c r="V799" s="11" t="str">
        <f>TEXT('E-Commerce Sales Data'!$B799,"mmmm")</f>
        <v>March</v>
      </c>
      <c r="W799" s="8">
        <f t="shared" si="48"/>
        <v>2271755</v>
      </c>
      <c r="X799">
        <f t="shared" si="49"/>
        <v>403</v>
      </c>
      <c r="Y799">
        <f t="shared" si="50"/>
        <v>32428.238213399505</v>
      </c>
      <c r="Z799">
        <f t="shared" si="51"/>
        <v>55</v>
      </c>
    </row>
    <row r="800" spans="1:26" x14ac:dyDescent="0.25">
      <c r="A800" s="5" t="s">
        <v>903</v>
      </c>
      <c r="B800" s="6">
        <v>51218</v>
      </c>
      <c r="C800" s="7" t="s">
        <v>122</v>
      </c>
      <c r="D800" s="7" t="s">
        <v>50</v>
      </c>
      <c r="E800" s="7">
        <v>43</v>
      </c>
      <c r="F800" s="7" t="s">
        <v>24</v>
      </c>
      <c r="G800" s="7" t="s">
        <v>101</v>
      </c>
      <c r="H800" s="7" t="s">
        <v>102</v>
      </c>
      <c r="I800" s="7" t="s">
        <v>41</v>
      </c>
      <c r="J800" s="7" t="s">
        <v>42</v>
      </c>
      <c r="K800" s="7" t="s">
        <v>29</v>
      </c>
      <c r="L800" s="7" t="s">
        <v>53</v>
      </c>
      <c r="M800" s="7" t="s">
        <v>75</v>
      </c>
      <c r="N800" s="7">
        <v>6350</v>
      </c>
      <c r="O800" s="7">
        <v>4</v>
      </c>
      <c r="P800" s="16">
        <v>0.05</v>
      </c>
      <c r="Q800" s="7">
        <v>1680</v>
      </c>
      <c r="R800" s="7" t="s">
        <v>46</v>
      </c>
      <c r="S800" s="7" t="s">
        <v>33</v>
      </c>
      <c r="T800" s="7" t="s">
        <v>34</v>
      </c>
      <c r="U800" s="7">
        <v>3</v>
      </c>
      <c r="V800" s="7" t="str">
        <f>TEXT('E-Commerce Sales Data'!$B800,"mmmm")</f>
        <v>March</v>
      </c>
      <c r="W800" s="8">
        <f t="shared" si="48"/>
        <v>2265275</v>
      </c>
      <c r="X800">
        <f t="shared" si="49"/>
        <v>402</v>
      </c>
      <c r="Y800">
        <f t="shared" si="50"/>
        <v>32409.900497512437</v>
      </c>
      <c r="Z800">
        <f t="shared" si="51"/>
        <v>55</v>
      </c>
    </row>
    <row r="801" spans="1:26" x14ac:dyDescent="0.25">
      <c r="A801" s="9" t="s">
        <v>904</v>
      </c>
      <c r="B801" s="10">
        <v>51225</v>
      </c>
      <c r="C801" s="11" t="s">
        <v>124</v>
      </c>
      <c r="D801" s="11" t="s">
        <v>100</v>
      </c>
      <c r="E801" s="11">
        <v>32</v>
      </c>
      <c r="F801" s="11" t="s">
        <v>38</v>
      </c>
      <c r="G801" s="11" t="s">
        <v>78</v>
      </c>
      <c r="H801" s="11" t="s">
        <v>26</v>
      </c>
      <c r="I801" s="11" t="s">
        <v>27</v>
      </c>
      <c r="J801" s="11" t="s">
        <v>28</v>
      </c>
      <c r="K801" s="11" t="s">
        <v>29</v>
      </c>
      <c r="L801" s="11" t="s">
        <v>53</v>
      </c>
      <c r="M801" s="11" t="s">
        <v>79</v>
      </c>
      <c r="N801" s="11">
        <v>6300</v>
      </c>
      <c r="O801" s="11">
        <v>7</v>
      </c>
      <c r="P801" s="17">
        <v>0</v>
      </c>
      <c r="Q801" s="11">
        <v>1890</v>
      </c>
      <c r="R801" s="11" t="s">
        <v>32</v>
      </c>
      <c r="S801" s="11" t="s">
        <v>33</v>
      </c>
      <c r="T801" s="11" t="s">
        <v>34</v>
      </c>
      <c r="U801" s="11">
        <v>4</v>
      </c>
      <c r="V801" s="11" t="str">
        <f>TEXT('E-Commerce Sales Data'!$B801,"mmmm")</f>
        <v>March</v>
      </c>
      <c r="W801" s="8">
        <f t="shared" si="48"/>
        <v>2263595</v>
      </c>
      <c r="X801">
        <f t="shared" si="49"/>
        <v>401</v>
      </c>
      <c r="Y801">
        <f t="shared" si="50"/>
        <v>32474.88778054863</v>
      </c>
      <c r="Z801">
        <f t="shared" si="51"/>
        <v>55</v>
      </c>
    </row>
    <row r="802" spans="1:26" x14ac:dyDescent="0.25">
      <c r="A802" s="5" t="s">
        <v>905</v>
      </c>
      <c r="B802" s="6">
        <v>51232</v>
      </c>
      <c r="C802" s="7" t="s">
        <v>906</v>
      </c>
      <c r="D802" s="7" t="s">
        <v>907</v>
      </c>
      <c r="E802" s="7">
        <v>29</v>
      </c>
      <c r="F802" s="7" t="s">
        <v>24</v>
      </c>
      <c r="G802" s="7" t="s">
        <v>25</v>
      </c>
      <c r="H802" s="7" t="s">
        <v>26</v>
      </c>
      <c r="I802" s="7" t="s">
        <v>27</v>
      </c>
      <c r="J802" s="7" t="s">
        <v>28</v>
      </c>
      <c r="K802" s="7" t="s">
        <v>29</v>
      </c>
      <c r="L802" s="7" t="s">
        <v>30</v>
      </c>
      <c r="M802" s="7" t="s">
        <v>31</v>
      </c>
      <c r="N802" s="7">
        <v>108500</v>
      </c>
      <c r="O802" s="7">
        <v>1</v>
      </c>
      <c r="P802" s="16">
        <v>0.05</v>
      </c>
      <c r="Q802" s="7">
        <v>14500</v>
      </c>
      <c r="R802" s="7" t="s">
        <v>32</v>
      </c>
      <c r="S802" s="7" t="s">
        <v>47</v>
      </c>
      <c r="T802" s="7" t="s">
        <v>34</v>
      </c>
      <c r="U802" s="7">
        <v>5</v>
      </c>
      <c r="V802" s="7" t="str">
        <f>TEXT('E-Commerce Sales Data'!$B802,"mmmm")</f>
        <v>April</v>
      </c>
      <c r="W802" s="8">
        <f t="shared" si="48"/>
        <v>2261705</v>
      </c>
      <c r="X802">
        <f t="shared" si="49"/>
        <v>400</v>
      </c>
      <c r="Y802">
        <f t="shared" si="50"/>
        <v>32540.325000000001</v>
      </c>
      <c r="Z802">
        <f t="shared" si="51"/>
        <v>55</v>
      </c>
    </row>
    <row r="803" spans="1:26" x14ac:dyDescent="0.25">
      <c r="A803" s="9" t="s">
        <v>908</v>
      </c>
      <c r="B803" s="10">
        <v>51239</v>
      </c>
      <c r="C803" s="11" t="s">
        <v>909</v>
      </c>
      <c r="D803" s="11" t="s">
        <v>910</v>
      </c>
      <c r="E803" s="11">
        <v>27</v>
      </c>
      <c r="F803" s="11" t="s">
        <v>38</v>
      </c>
      <c r="G803" s="11" t="s">
        <v>59</v>
      </c>
      <c r="H803" s="11" t="s">
        <v>26</v>
      </c>
      <c r="I803" s="11" t="s">
        <v>27</v>
      </c>
      <c r="J803" s="11" t="s">
        <v>28</v>
      </c>
      <c r="K803" s="11" t="s">
        <v>43</v>
      </c>
      <c r="L803" s="11" t="s">
        <v>44</v>
      </c>
      <c r="M803" s="11" t="s">
        <v>45</v>
      </c>
      <c r="N803" s="11">
        <v>17200</v>
      </c>
      <c r="O803" s="11">
        <v>2</v>
      </c>
      <c r="P803" s="17">
        <v>0.08</v>
      </c>
      <c r="Q803" s="11">
        <v>3850</v>
      </c>
      <c r="R803" s="11" t="s">
        <v>46</v>
      </c>
      <c r="S803" s="11" t="s">
        <v>33</v>
      </c>
      <c r="T803" s="11" t="s">
        <v>34</v>
      </c>
      <c r="U803" s="11">
        <v>4</v>
      </c>
      <c r="V803" s="11" t="str">
        <f>TEXT('E-Commerce Sales Data'!$B803,"mmmm")</f>
        <v>April</v>
      </c>
      <c r="W803" s="8">
        <f t="shared" si="48"/>
        <v>2247205</v>
      </c>
      <c r="X803">
        <f t="shared" si="49"/>
        <v>399</v>
      </c>
      <c r="Y803">
        <f t="shared" si="50"/>
        <v>32349.949874686718</v>
      </c>
      <c r="Z803">
        <f t="shared" si="51"/>
        <v>55</v>
      </c>
    </row>
    <row r="804" spans="1:26" x14ac:dyDescent="0.25">
      <c r="A804" s="5" t="s">
        <v>911</v>
      </c>
      <c r="B804" s="6">
        <v>51246</v>
      </c>
      <c r="C804" s="7" t="s">
        <v>912</v>
      </c>
      <c r="D804" s="7" t="s">
        <v>913</v>
      </c>
      <c r="E804" s="7">
        <v>35</v>
      </c>
      <c r="F804" s="7" t="s">
        <v>24</v>
      </c>
      <c r="G804" s="7" t="s">
        <v>914</v>
      </c>
      <c r="H804" s="7" t="s">
        <v>26</v>
      </c>
      <c r="I804" s="7" t="s">
        <v>27</v>
      </c>
      <c r="J804" s="7" t="s">
        <v>42</v>
      </c>
      <c r="K804" s="7" t="s">
        <v>29</v>
      </c>
      <c r="L804" s="7" t="s">
        <v>53</v>
      </c>
      <c r="M804" s="7" t="s">
        <v>54</v>
      </c>
      <c r="N804" s="7">
        <v>40200</v>
      </c>
      <c r="O804" s="7">
        <v>2</v>
      </c>
      <c r="P804" s="16">
        <v>0.05</v>
      </c>
      <c r="Q804" s="7">
        <v>7800</v>
      </c>
      <c r="R804" s="7" t="s">
        <v>55</v>
      </c>
      <c r="S804" s="7" t="s">
        <v>33</v>
      </c>
      <c r="T804" s="7" t="s">
        <v>34</v>
      </c>
      <c r="U804" s="7">
        <v>4</v>
      </c>
      <c r="V804" s="7" t="str">
        <f>TEXT('E-Commerce Sales Data'!$B804,"mmmm")</f>
        <v>April</v>
      </c>
      <c r="W804" s="8">
        <f t="shared" si="48"/>
        <v>2243355</v>
      </c>
      <c r="X804">
        <f t="shared" si="49"/>
        <v>398</v>
      </c>
      <c r="Y804">
        <f t="shared" si="50"/>
        <v>32388.015075376883</v>
      </c>
      <c r="Z804">
        <f t="shared" si="51"/>
        <v>55</v>
      </c>
    </row>
    <row r="805" spans="1:26" x14ac:dyDescent="0.25">
      <c r="A805" s="9" t="s">
        <v>915</v>
      </c>
      <c r="B805" s="10">
        <v>51253</v>
      </c>
      <c r="C805" s="11" t="s">
        <v>916</v>
      </c>
      <c r="D805" s="11" t="s">
        <v>917</v>
      </c>
      <c r="E805" s="11">
        <v>26</v>
      </c>
      <c r="F805" s="11" t="s">
        <v>38</v>
      </c>
      <c r="G805" s="11" t="s">
        <v>39</v>
      </c>
      <c r="H805" s="11" t="s">
        <v>40</v>
      </c>
      <c r="I805" s="11" t="s">
        <v>41</v>
      </c>
      <c r="J805" s="11" t="s">
        <v>28</v>
      </c>
      <c r="K805" s="11" t="s">
        <v>60</v>
      </c>
      <c r="L805" s="11" t="s">
        <v>61</v>
      </c>
      <c r="M805" s="11" t="s">
        <v>86</v>
      </c>
      <c r="N805" s="11">
        <v>1180</v>
      </c>
      <c r="O805" s="11">
        <v>15</v>
      </c>
      <c r="P805" s="17">
        <v>0.02</v>
      </c>
      <c r="Q805" s="11">
        <v>340</v>
      </c>
      <c r="R805" s="11" t="s">
        <v>32</v>
      </c>
      <c r="S805" s="11" t="s">
        <v>33</v>
      </c>
      <c r="T805" s="11" t="s">
        <v>34</v>
      </c>
      <c r="U805" s="11">
        <v>5</v>
      </c>
      <c r="V805" s="11" t="str">
        <f>TEXT('E-Commerce Sales Data'!$B805,"mmmm")</f>
        <v>April</v>
      </c>
      <c r="W805" s="8">
        <f t="shared" si="48"/>
        <v>2235555</v>
      </c>
      <c r="X805">
        <f t="shared" si="49"/>
        <v>397</v>
      </c>
      <c r="Y805">
        <f t="shared" si="50"/>
        <v>32368.337531486148</v>
      </c>
      <c r="Z805">
        <f t="shared" si="51"/>
        <v>55</v>
      </c>
    </row>
    <row r="806" spans="1:26" x14ac:dyDescent="0.25">
      <c r="A806" s="5" t="s">
        <v>918</v>
      </c>
      <c r="B806" s="6">
        <v>51260</v>
      </c>
      <c r="C806" s="7" t="s">
        <v>919</v>
      </c>
      <c r="D806" s="7" t="s">
        <v>920</v>
      </c>
      <c r="E806" s="7">
        <v>31</v>
      </c>
      <c r="F806" s="7" t="s">
        <v>24</v>
      </c>
      <c r="G806" s="7" t="s">
        <v>78</v>
      </c>
      <c r="H806" s="7" t="s">
        <v>26</v>
      </c>
      <c r="I806" s="7" t="s">
        <v>27</v>
      </c>
      <c r="J806" s="7" t="s">
        <v>42</v>
      </c>
      <c r="K806" s="7" t="s">
        <v>43</v>
      </c>
      <c r="L806" s="7" t="s">
        <v>68</v>
      </c>
      <c r="M806" s="7" t="s">
        <v>69</v>
      </c>
      <c r="N806" s="7">
        <v>42100</v>
      </c>
      <c r="O806" s="7">
        <v>2</v>
      </c>
      <c r="P806" s="16">
        <v>0.1</v>
      </c>
      <c r="Q806" s="7">
        <v>7200</v>
      </c>
      <c r="R806" s="7" t="s">
        <v>46</v>
      </c>
      <c r="S806" s="7" t="s">
        <v>47</v>
      </c>
      <c r="T806" s="7" t="s">
        <v>34</v>
      </c>
      <c r="U806" s="7">
        <v>4</v>
      </c>
      <c r="V806" s="7" t="str">
        <f>TEXT('E-Commerce Sales Data'!$B806,"mmmm")</f>
        <v>May</v>
      </c>
      <c r="W806" s="8">
        <f t="shared" si="48"/>
        <v>2235215</v>
      </c>
      <c r="X806">
        <f t="shared" si="49"/>
        <v>396</v>
      </c>
      <c r="Y806">
        <f t="shared" si="50"/>
        <v>32447.095959595961</v>
      </c>
      <c r="Z806">
        <f t="shared" si="51"/>
        <v>55</v>
      </c>
    </row>
    <row r="807" spans="1:26" x14ac:dyDescent="0.25">
      <c r="A807" s="9" t="s">
        <v>921</v>
      </c>
      <c r="B807" s="10">
        <v>51267</v>
      </c>
      <c r="C807" s="11" t="s">
        <v>922</v>
      </c>
      <c r="D807" s="11" t="s">
        <v>923</v>
      </c>
      <c r="E807" s="11">
        <v>24</v>
      </c>
      <c r="F807" s="11" t="s">
        <v>38</v>
      </c>
      <c r="G807" s="11" t="s">
        <v>924</v>
      </c>
      <c r="H807" s="11" t="s">
        <v>26</v>
      </c>
      <c r="I807" s="11" t="s">
        <v>27</v>
      </c>
      <c r="J807" s="11" t="s">
        <v>28</v>
      </c>
      <c r="K807" s="11" t="s">
        <v>29</v>
      </c>
      <c r="L807" s="11" t="s">
        <v>53</v>
      </c>
      <c r="M807" s="11" t="s">
        <v>75</v>
      </c>
      <c r="N807" s="11">
        <v>6100</v>
      </c>
      <c r="O807" s="11">
        <v>3</v>
      </c>
      <c r="P807" s="17">
        <v>0.05</v>
      </c>
      <c r="Q807" s="11">
        <v>1620</v>
      </c>
      <c r="R807" s="11" t="s">
        <v>32</v>
      </c>
      <c r="S807" s="11" t="s">
        <v>33</v>
      </c>
      <c r="T807" s="11" t="s">
        <v>34</v>
      </c>
      <c r="U807" s="11">
        <v>4</v>
      </c>
      <c r="V807" s="11" t="str">
        <f>TEXT('E-Commerce Sales Data'!$B807,"mmmm")</f>
        <v>May</v>
      </c>
      <c r="W807" s="8">
        <f t="shared" si="48"/>
        <v>2228015</v>
      </c>
      <c r="X807">
        <f t="shared" si="49"/>
        <v>395</v>
      </c>
      <c r="Y807">
        <f t="shared" si="50"/>
        <v>32422.6582278481</v>
      </c>
      <c r="Z807">
        <f t="shared" si="51"/>
        <v>55</v>
      </c>
    </row>
    <row r="808" spans="1:26" x14ac:dyDescent="0.25">
      <c r="A808" s="5" t="s">
        <v>925</v>
      </c>
      <c r="B808" s="6">
        <v>51274</v>
      </c>
      <c r="C808" s="7" t="s">
        <v>926</v>
      </c>
      <c r="D808" s="7" t="s">
        <v>927</v>
      </c>
      <c r="E808" s="7">
        <v>38</v>
      </c>
      <c r="F808" s="7" t="s">
        <v>24</v>
      </c>
      <c r="G808" s="7" t="s">
        <v>928</v>
      </c>
      <c r="H808" s="7" t="s">
        <v>26</v>
      </c>
      <c r="I808" s="7" t="s">
        <v>27</v>
      </c>
      <c r="J808" s="7" t="s">
        <v>28</v>
      </c>
      <c r="K808" s="7" t="s">
        <v>29</v>
      </c>
      <c r="L808" s="7" t="s">
        <v>53</v>
      </c>
      <c r="M808" s="7" t="s">
        <v>79</v>
      </c>
      <c r="N808" s="7">
        <v>6400</v>
      </c>
      <c r="O808" s="7">
        <v>5</v>
      </c>
      <c r="P808" s="16">
        <v>0</v>
      </c>
      <c r="Q808" s="7">
        <v>1880</v>
      </c>
      <c r="R808" s="7" t="s">
        <v>80</v>
      </c>
      <c r="S808" s="7" t="s">
        <v>33</v>
      </c>
      <c r="T808" s="7" t="s">
        <v>34</v>
      </c>
      <c r="U808" s="7">
        <v>3</v>
      </c>
      <c r="V808" s="7" t="str">
        <f>TEXT('E-Commerce Sales Data'!$B808,"mmmm")</f>
        <v>May</v>
      </c>
      <c r="W808" s="8">
        <f t="shared" si="48"/>
        <v>2226395</v>
      </c>
      <c r="X808">
        <f t="shared" si="49"/>
        <v>394</v>
      </c>
      <c r="Y808">
        <f t="shared" si="50"/>
        <v>32489.467005076142</v>
      </c>
      <c r="Z808">
        <f t="shared" si="51"/>
        <v>55</v>
      </c>
    </row>
    <row r="809" spans="1:26" x14ac:dyDescent="0.25">
      <c r="A809" s="9" t="s">
        <v>929</v>
      </c>
      <c r="B809" s="10">
        <v>51281</v>
      </c>
      <c r="C809" s="11" t="s">
        <v>930</v>
      </c>
      <c r="D809" s="11" t="s">
        <v>931</v>
      </c>
      <c r="E809" s="11">
        <v>30</v>
      </c>
      <c r="F809" s="11" t="s">
        <v>38</v>
      </c>
      <c r="G809" s="11" t="s">
        <v>932</v>
      </c>
      <c r="H809" s="11" t="s">
        <v>26</v>
      </c>
      <c r="I809" s="11" t="s">
        <v>27</v>
      </c>
      <c r="J809" s="11" t="s">
        <v>42</v>
      </c>
      <c r="K809" s="11" t="s">
        <v>60</v>
      </c>
      <c r="L809" s="11" t="s">
        <v>61</v>
      </c>
      <c r="M809" s="11" t="s">
        <v>62</v>
      </c>
      <c r="N809" s="11">
        <v>10200</v>
      </c>
      <c r="O809" s="11">
        <v>10</v>
      </c>
      <c r="P809" s="17">
        <v>0.03</v>
      </c>
      <c r="Q809" s="11">
        <v>2520</v>
      </c>
      <c r="R809" s="11" t="s">
        <v>32</v>
      </c>
      <c r="S809" s="11" t="s">
        <v>33</v>
      </c>
      <c r="T809" s="11" t="s">
        <v>34</v>
      </c>
      <c r="U809" s="11">
        <v>5</v>
      </c>
      <c r="V809" s="11" t="str">
        <f>TEXT('E-Commerce Sales Data'!$B809,"mmmm")</f>
        <v>May</v>
      </c>
      <c r="W809" s="8">
        <f t="shared" si="48"/>
        <v>2224515</v>
      </c>
      <c r="X809">
        <f t="shared" si="49"/>
        <v>393</v>
      </c>
      <c r="Y809">
        <f t="shared" si="50"/>
        <v>32555.852417302798</v>
      </c>
      <c r="Z809">
        <f t="shared" si="51"/>
        <v>55</v>
      </c>
    </row>
    <row r="810" spans="1:26" x14ac:dyDescent="0.25">
      <c r="A810" s="5" t="s">
        <v>933</v>
      </c>
      <c r="B810" s="6">
        <v>51288</v>
      </c>
      <c r="C810" s="7" t="s">
        <v>934</v>
      </c>
      <c r="D810" s="7" t="s">
        <v>935</v>
      </c>
      <c r="E810" s="7">
        <v>42</v>
      </c>
      <c r="F810" s="7" t="s">
        <v>24</v>
      </c>
      <c r="G810" s="7" t="s">
        <v>66</v>
      </c>
      <c r="H810" s="7" t="s">
        <v>67</v>
      </c>
      <c r="I810" s="7" t="s">
        <v>27</v>
      </c>
      <c r="J810" s="7" t="s">
        <v>42</v>
      </c>
      <c r="K810" s="7" t="s">
        <v>43</v>
      </c>
      <c r="L810" s="7" t="s">
        <v>92</v>
      </c>
      <c r="M810" s="7" t="s">
        <v>93</v>
      </c>
      <c r="N810" s="7">
        <v>26200</v>
      </c>
      <c r="O810" s="7">
        <v>1</v>
      </c>
      <c r="P810" s="16">
        <v>0.1</v>
      </c>
      <c r="Q810" s="7">
        <v>4750</v>
      </c>
      <c r="R810" s="7" t="s">
        <v>46</v>
      </c>
      <c r="S810" s="7" t="s">
        <v>47</v>
      </c>
      <c r="T810" s="7" t="s">
        <v>34</v>
      </c>
      <c r="U810" s="7">
        <v>4</v>
      </c>
      <c r="V810" s="7" t="str">
        <f>TEXT('E-Commerce Sales Data'!$B810,"mmmm")</f>
        <v>June</v>
      </c>
      <c r="W810" s="8">
        <f t="shared" si="48"/>
        <v>2221995</v>
      </c>
      <c r="X810">
        <f t="shared" si="49"/>
        <v>392</v>
      </c>
      <c r="Y810">
        <f t="shared" si="50"/>
        <v>32612.882653061224</v>
      </c>
      <c r="Z810">
        <f t="shared" si="51"/>
        <v>55</v>
      </c>
    </row>
    <row r="811" spans="1:26" x14ac:dyDescent="0.25">
      <c r="A811" s="9" t="s">
        <v>936</v>
      </c>
      <c r="B811" s="10">
        <v>51295</v>
      </c>
      <c r="C811" s="11" t="s">
        <v>937</v>
      </c>
      <c r="D811" s="11" t="s">
        <v>938</v>
      </c>
      <c r="E811" s="11">
        <v>33</v>
      </c>
      <c r="F811" s="11" t="s">
        <v>38</v>
      </c>
      <c r="G811" s="11" t="s">
        <v>51</v>
      </c>
      <c r="H811" s="11" t="s">
        <v>51</v>
      </c>
      <c r="I811" s="11" t="s">
        <v>52</v>
      </c>
      <c r="J811" s="11" t="s">
        <v>28</v>
      </c>
      <c r="K811" s="11" t="s">
        <v>29</v>
      </c>
      <c r="L811" s="11" t="s">
        <v>96</v>
      </c>
      <c r="M811" s="11" t="s">
        <v>97</v>
      </c>
      <c r="N811" s="11">
        <v>28500</v>
      </c>
      <c r="O811" s="11">
        <v>2</v>
      </c>
      <c r="P811" s="17">
        <v>0.05</v>
      </c>
      <c r="Q811" s="11">
        <v>5520</v>
      </c>
      <c r="R811" s="11" t="s">
        <v>32</v>
      </c>
      <c r="S811" s="11" t="s">
        <v>33</v>
      </c>
      <c r="T811" s="11" t="s">
        <v>34</v>
      </c>
      <c r="U811" s="11">
        <v>4</v>
      </c>
      <c r="V811" s="11" t="str">
        <f>TEXT('E-Commerce Sales Data'!$B811,"mmmm")</f>
        <v>June</v>
      </c>
      <c r="W811" s="8">
        <f t="shared" si="48"/>
        <v>2217245</v>
      </c>
      <c r="X811">
        <f t="shared" si="49"/>
        <v>391</v>
      </c>
      <c r="Y811">
        <f t="shared" si="50"/>
        <v>32629.283887468031</v>
      </c>
      <c r="Z811">
        <f t="shared" si="51"/>
        <v>55</v>
      </c>
    </row>
    <row r="812" spans="1:26" x14ac:dyDescent="0.25">
      <c r="A812" s="5" t="s">
        <v>939</v>
      </c>
      <c r="B812" s="6">
        <v>51302</v>
      </c>
      <c r="C812" s="7" t="s">
        <v>940</v>
      </c>
      <c r="D812" s="7" t="s">
        <v>941</v>
      </c>
      <c r="E812" s="7">
        <v>40</v>
      </c>
      <c r="F812" s="7" t="s">
        <v>24</v>
      </c>
      <c r="G812" s="7" t="s">
        <v>84</v>
      </c>
      <c r="H812" s="7" t="s">
        <v>85</v>
      </c>
      <c r="I812" s="7" t="s">
        <v>52</v>
      </c>
      <c r="J812" s="7" t="s">
        <v>42</v>
      </c>
      <c r="K812" s="7" t="s">
        <v>60</v>
      </c>
      <c r="L812" s="7" t="s">
        <v>53</v>
      </c>
      <c r="M812" s="7" t="s">
        <v>103</v>
      </c>
      <c r="N812" s="7">
        <v>1720</v>
      </c>
      <c r="O812" s="7">
        <v>20</v>
      </c>
      <c r="P812" s="16">
        <v>0</v>
      </c>
      <c r="Q812" s="7">
        <v>540</v>
      </c>
      <c r="R812" s="7" t="s">
        <v>55</v>
      </c>
      <c r="S812" s="7" t="s">
        <v>33</v>
      </c>
      <c r="T812" s="7" t="s">
        <v>34</v>
      </c>
      <c r="U812" s="7">
        <v>5</v>
      </c>
      <c r="V812" s="7" t="str">
        <f>TEXT('E-Commerce Sales Data'!$B812,"mmmm")</f>
        <v>June</v>
      </c>
      <c r="W812" s="8">
        <f t="shared" si="48"/>
        <v>2211725</v>
      </c>
      <c r="X812">
        <f t="shared" si="49"/>
        <v>390</v>
      </c>
      <c r="Y812">
        <f t="shared" si="50"/>
        <v>32639.871794871793</v>
      </c>
      <c r="Z812">
        <f t="shared" si="51"/>
        <v>55</v>
      </c>
    </row>
    <row r="813" spans="1:26" x14ac:dyDescent="0.25">
      <c r="A813" s="9" t="s">
        <v>942</v>
      </c>
      <c r="B813" s="10">
        <v>51309</v>
      </c>
      <c r="C813" s="11" t="s">
        <v>943</v>
      </c>
      <c r="D813" s="11" t="s">
        <v>944</v>
      </c>
      <c r="E813" s="11">
        <v>28</v>
      </c>
      <c r="F813" s="11" t="s">
        <v>38</v>
      </c>
      <c r="G813" s="11" t="s">
        <v>101</v>
      </c>
      <c r="H813" s="11" t="s">
        <v>102</v>
      </c>
      <c r="I813" s="11" t="s">
        <v>41</v>
      </c>
      <c r="J813" s="11" t="s">
        <v>28</v>
      </c>
      <c r="K813" s="11" t="s">
        <v>43</v>
      </c>
      <c r="L813" s="11" t="s">
        <v>68</v>
      </c>
      <c r="M813" s="11" t="s">
        <v>106</v>
      </c>
      <c r="N813" s="11">
        <v>42300</v>
      </c>
      <c r="O813" s="11">
        <v>1</v>
      </c>
      <c r="P813" s="17">
        <v>0.08</v>
      </c>
      <c r="Q813" s="11">
        <v>9050</v>
      </c>
      <c r="R813" s="11" t="s">
        <v>46</v>
      </c>
      <c r="S813" s="11" t="s">
        <v>47</v>
      </c>
      <c r="T813" s="11" t="s">
        <v>34</v>
      </c>
      <c r="U813" s="11">
        <v>4</v>
      </c>
      <c r="V813" s="11" t="str">
        <f>TEXT('E-Commerce Sales Data'!$B813,"mmmm")</f>
        <v>June</v>
      </c>
      <c r="W813" s="8">
        <f t="shared" si="48"/>
        <v>2211185</v>
      </c>
      <c r="X813">
        <f t="shared" si="49"/>
        <v>389</v>
      </c>
      <c r="Y813">
        <f t="shared" si="50"/>
        <v>32719.357326478148</v>
      </c>
      <c r="Z813">
        <f t="shared" si="51"/>
        <v>55</v>
      </c>
    </row>
    <row r="814" spans="1:26" x14ac:dyDescent="0.25">
      <c r="A814" s="5" t="s">
        <v>945</v>
      </c>
      <c r="B814" s="6">
        <v>51316</v>
      </c>
      <c r="C814" s="7" t="s">
        <v>946</v>
      </c>
      <c r="D814" s="7" t="s">
        <v>58</v>
      </c>
      <c r="E814" s="7">
        <v>32</v>
      </c>
      <c r="F814" s="7" t="s">
        <v>24</v>
      </c>
      <c r="G814" s="7" t="s">
        <v>59</v>
      </c>
      <c r="H814" s="7" t="s">
        <v>26</v>
      </c>
      <c r="I814" s="7" t="s">
        <v>27</v>
      </c>
      <c r="J814" s="7" t="s">
        <v>28</v>
      </c>
      <c r="K814" s="7" t="s">
        <v>29</v>
      </c>
      <c r="L814" s="7" t="s">
        <v>30</v>
      </c>
      <c r="M814" s="7" t="s">
        <v>31</v>
      </c>
      <c r="N814" s="7">
        <v>114500</v>
      </c>
      <c r="O814" s="7">
        <v>1</v>
      </c>
      <c r="P814" s="16">
        <v>0.1</v>
      </c>
      <c r="Q814" s="7">
        <v>13600</v>
      </c>
      <c r="R814" s="7" t="s">
        <v>32</v>
      </c>
      <c r="S814" s="7" t="s">
        <v>47</v>
      </c>
      <c r="T814" s="7" t="s">
        <v>34</v>
      </c>
      <c r="U814" s="7">
        <v>5</v>
      </c>
      <c r="V814" s="7" t="str">
        <f>TEXT('E-Commerce Sales Data'!$B814,"mmmm")</f>
        <v>June</v>
      </c>
      <c r="W814" s="8">
        <f t="shared" si="48"/>
        <v>2202135</v>
      </c>
      <c r="X814">
        <f t="shared" si="49"/>
        <v>388</v>
      </c>
      <c r="Y814">
        <f t="shared" si="50"/>
        <v>32694.664948453606</v>
      </c>
      <c r="Z814">
        <f t="shared" si="51"/>
        <v>55</v>
      </c>
    </row>
    <row r="815" spans="1:26" x14ac:dyDescent="0.25">
      <c r="A815" s="9" t="s">
        <v>947</v>
      </c>
      <c r="B815" s="10">
        <v>51323</v>
      </c>
      <c r="C815" s="11" t="s">
        <v>948</v>
      </c>
      <c r="D815" s="11" t="s">
        <v>949</v>
      </c>
      <c r="E815" s="11">
        <v>25</v>
      </c>
      <c r="F815" s="11" t="s">
        <v>38</v>
      </c>
      <c r="G815" s="11" t="s">
        <v>25</v>
      </c>
      <c r="H815" s="11" t="s">
        <v>26</v>
      </c>
      <c r="I815" s="11" t="s">
        <v>27</v>
      </c>
      <c r="J815" s="11" t="s">
        <v>28</v>
      </c>
      <c r="K815" s="11" t="s">
        <v>60</v>
      </c>
      <c r="L815" s="11" t="s">
        <v>92</v>
      </c>
      <c r="M815" s="11" t="s">
        <v>111</v>
      </c>
      <c r="N815" s="11">
        <v>2260</v>
      </c>
      <c r="O815" s="11">
        <v>15</v>
      </c>
      <c r="P815" s="17">
        <v>0.05</v>
      </c>
      <c r="Q815" s="11">
        <v>735</v>
      </c>
      <c r="R815" s="11" t="s">
        <v>80</v>
      </c>
      <c r="S815" s="11" t="s">
        <v>33</v>
      </c>
      <c r="T815" s="11" t="s">
        <v>34</v>
      </c>
      <c r="U815" s="11">
        <v>4</v>
      </c>
      <c r="V815" s="11" t="str">
        <f>TEXT('E-Commerce Sales Data'!$B815,"mmmm")</f>
        <v>July</v>
      </c>
      <c r="W815" s="8">
        <f t="shared" si="48"/>
        <v>2188535</v>
      </c>
      <c r="X815">
        <f t="shared" si="49"/>
        <v>387</v>
      </c>
      <c r="Y815">
        <f t="shared" si="50"/>
        <v>32483.28165374677</v>
      </c>
      <c r="Z815">
        <f t="shared" si="51"/>
        <v>55</v>
      </c>
    </row>
    <row r="816" spans="1:26" x14ac:dyDescent="0.25">
      <c r="A816" s="5" t="s">
        <v>950</v>
      </c>
      <c r="B816" s="6">
        <v>51330</v>
      </c>
      <c r="C816" s="7" t="s">
        <v>951</v>
      </c>
      <c r="D816" s="7" t="s">
        <v>952</v>
      </c>
      <c r="E816" s="7">
        <v>37</v>
      </c>
      <c r="F816" s="7" t="s">
        <v>24</v>
      </c>
      <c r="G816" s="7" t="s">
        <v>953</v>
      </c>
      <c r="H816" s="7" t="s">
        <v>953</v>
      </c>
      <c r="I816" s="7" t="s">
        <v>27</v>
      </c>
      <c r="J816" s="7" t="s">
        <v>42</v>
      </c>
      <c r="K816" s="7" t="s">
        <v>43</v>
      </c>
      <c r="L816" s="7" t="s">
        <v>44</v>
      </c>
      <c r="M816" s="7" t="s">
        <v>45</v>
      </c>
      <c r="N816" s="7">
        <v>21600</v>
      </c>
      <c r="O816" s="7">
        <v>4</v>
      </c>
      <c r="P816" s="16">
        <v>7.0000000000000007E-2</v>
      </c>
      <c r="Q816" s="7">
        <v>4950</v>
      </c>
      <c r="R816" s="7" t="s">
        <v>46</v>
      </c>
      <c r="S816" s="7" t="s">
        <v>33</v>
      </c>
      <c r="T816" s="7" t="s">
        <v>34</v>
      </c>
      <c r="U816" s="7">
        <v>4</v>
      </c>
      <c r="V816" s="7" t="str">
        <f>TEXT('E-Commerce Sales Data'!$B816,"mmmm")</f>
        <v>July</v>
      </c>
      <c r="W816" s="8">
        <f t="shared" si="48"/>
        <v>2187800</v>
      </c>
      <c r="X816">
        <f t="shared" si="49"/>
        <v>386</v>
      </c>
      <c r="Y816">
        <f t="shared" si="50"/>
        <v>32561.580310880829</v>
      </c>
      <c r="Z816">
        <f t="shared" si="51"/>
        <v>55</v>
      </c>
    </row>
    <row r="817" spans="1:26" x14ac:dyDescent="0.25">
      <c r="A817" s="9" t="s">
        <v>954</v>
      </c>
      <c r="B817" s="10">
        <v>51337</v>
      </c>
      <c r="C817" s="11" t="s">
        <v>955</v>
      </c>
      <c r="D817" s="11" t="s">
        <v>956</v>
      </c>
      <c r="E817" s="11">
        <v>29</v>
      </c>
      <c r="F817" s="11" t="s">
        <v>38</v>
      </c>
      <c r="G817" s="11" t="s">
        <v>957</v>
      </c>
      <c r="H817" s="11" t="s">
        <v>957</v>
      </c>
      <c r="I817" s="11" t="s">
        <v>52</v>
      </c>
      <c r="J817" s="11" t="s">
        <v>28</v>
      </c>
      <c r="K817" s="11" t="s">
        <v>29</v>
      </c>
      <c r="L817" s="11" t="s">
        <v>53</v>
      </c>
      <c r="M817" s="11" t="s">
        <v>54</v>
      </c>
      <c r="N817" s="11">
        <v>43200</v>
      </c>
      <c r="O817" s="11">
        <v>2</v>
      </c>
      <c r="P817" s="17">
        <v>0.05</v>
      </c>
      <c r="Q817" s="11">
        <v>8450</v>
      </c>
      <c r="R817" s="11" t="s">
        <v>32</v>
      </c>
      <c r="S817" s="11" t="s">
        <v>47</v>
      </c>
      <c r="T817" s="11" t="s">
        <v>34</v>
      </c>
      <c r="U817" s="11">
        <v>5</v>
      </c>
      <c r="V817" s="11" t="str">
        <f>TEXT('E-Commerce Sales Data'!$B817,"mmmm")</f>
        <v>July</v>
      </c>
      <c r="W817" s="8">
        <f t="shared" si="48"/>
        <v>2182850</v>
      </c>
      <c r="X817">
        <f t="shared" si="49"/>
        <v>385</v>
      </c>
      <c r="Y817">
        <f t="shared" si="50"/>
        <v>32590.051948051947</v>
      </c>
      <c r="Z817">
        <f t="shared" si="51"/>
        <v>55</v>
      </c>
    </row>
    <row r="818" spans="1:26" x14ac:dyDescent="0.25">
      <c r="A818" s="5" t="s">
        <v>958</v>
      </c>
      <c r="B818" s="6">
        <v>51344</v>
      </c>
      <c r="C818" s="7" t="s">
        <v>959</v>
      </c>
      <c r="D818" s="7" t="s">
        <v>65</v>
      </c>
      <c r="E818" s="7">
        <v>34</v>
      </c>
      <c r="F818" s="7" t="s">
        <v>24</v>
      </c>
      <c r="G818" s="7" t="s">
        <v>960</v>
      </c>
      <c r="H818" s="7" t="s">
        <v>67</v>
      </c>
      <c r="I818" s="7" t="s">
        <v>27</v>
      </c>
      <c r="J818" s="7" t="s">
        <v>42</v>
      </c>
      <c r="K818" s="7" t="s">
        <v>60</v>
      </c>
      <c r="L818" s="7" t="s">
        <v>61</v>
      </c>
      <c r="M818" s="7" t="s">
        <v>62</v>
      </c>
      <c r="N818" s="7">
        <v>10300</v>
      </c>
      <c r="O818" s="7">
        <v>10</v>
      </c>
      <c r="P818" s="16">
        <v>0.03</v>
      </c>
      <c r="Q818" s="7">
        <v>2560</v>
      </c>
      <c r="R818" s="7" t="s">
        <v>55</v>
      </c>
      <c r="S818" s="7" t="s">
        <v>33</v>
      </c>
      <c r="T818" s="7" t="s">
        <v>34</v>
      </c>
      <c r="U818" s="7">
        <v>4</v>
      </c>
      <c r="V818" s="7" t="str">
        <f>TEXT('E-Commerce Sales Data'!$B818,"mmmm")</f>
        <v>July</v>
      </c>
      <c r="W818" s="8">
        <f t="shared" si="48"/>
        <v>2174400</v>
      </c>
      <c r="X818">
        <f t="shared" si="49"/>
        <v>384</v>
      </c>
      <c r="Y818">
        <f t="shared" si="50"/>
        <v>32562.421875</v>
      </c>
      <c r="Z818">
        <f t="shared" si="51"/>
        <v>55</v>
      </c>
    </row>
    <row r="819" spans="1:26" x14ac:dyDescent="0.25">
      <c r="A819" s="9" t="s">
        <v>961</v>
      </c>
      <c r="B819" s="10">
        <v>51351</v>
      </c>
      <c r="C819" s="11" t="s">
        <v>962</v>
      </c>
      <c r="D819" s="11" t="s">
        <v>963</v>
      </c>
      <c r="E819" s="11">
        <v>23</v>
      </c>
      <c r="F819" s="11" t="s">
        <v>38</v>
      </c>
      <c r="G819" s="11" t="s">
        <v>964</v>
      </c>
      <c r="H819" s="11" t="s">
        <v>965</v>
      </c>
      <c r="I819" s="11" t="s">
        <v>966</v>
      </c>
      <c r="J819" s="11" t="s">
        <v>28</v>
      </c>
      <c r="K819" s="11" t="s">
        <v>43</v>
      </c>
      <c r="L819" s="11" t="s">
        <v>68</v>
      </c>
      <c r="M819" s="11" t="s">
        <v>69</v>
      </c>
      <c r="N819" s="11">
        <v>40500</v>
      </c>
      <c r="O819" s="11">
        <v>2</v>
      </c>
      <c r="P819" s="17">
        <v>0.1</v>
      </c>
      <c r="Q819" s="11">
        <v>6600</v>
      </c>
      <c r="R819" s="11" t="s">
        <v>32</v>
      </c>
      <c r="S819" s="11" t="s">
        <v>47</v>
      </c>
      <c r="T819" s="11" t="s">
        <v>34</v>
      </c>
      <c r="U819" s="11">
        <v>5</v>
      </c>
      <c r="V819" s="11" t="str">
        <f>TEXT('E-Commerce Sales Data'!$B819,"mmmm")</f>
        <v>August</v>
      </c>
      <c r="W819" s="8">
        <f t="shared" si="48"/>
        <v>2171840</v>
      </c>
      <c r="X819">
        <f t="shared" si="49"/>
        <v>383</v>
      </c>
      <c r="Y819">
        <f t="shared" si="50"/>
        <v>32620.548302872063</v>
      </c>
      <c r="Z819">
        <f t="shared" si="51"/>
        <v>55</v>
      </c>
    </row>
    <row r="820" spans="1:26" x14ac:dyDescent="0.25">
      <c r="A820" s="5" t="s">
        <v>967</v>
      </c>
      <c r="B820" s="6">
        <v>51358</v>
      </c>
      <c r="C820" s="7" t="s">
        <v>968</v>
      </c>
      <c r="D820" s="7" t="s">
        <v>969</v>
      </c>
      <c r="E820" s="7">
        <v>36</v>
      </c>
      <c r="F820" s="7" t="s">
        <v>24</v>
      </c>
      <c r="G820" s="7" t="s">
        <v>970</v>
      </c>
      <c r="H820" s="7" t="s">
        <v>971</v>
      </c>
      <c r="I820" s="7" t="s">
        <v>52</v>
      </c>
      <c r="J820" s="7" t="s">
        <v>42</v>
      </c>
      <c r="K820" s="7" t="s">
        <v>29</v>
      </c>
      <c r="L820" s="7" t="s">
        <v>53</v>
      </c>
      <c r="M820" s="7" t="s">
        <v>75</v>
      </c>
      <c r="N820" s="7">
        <v>6450</v>
      </c>
      <c r="O820" s="7">
        <v>4</v>
      </c>
      <c r="P820" s="16">
        <v>0.05</v>
      </c>
      <c r="Q820" s="7">
        <v>1700</v>
      </c>
      <c r="R820" s="7" t="s">
        <v>46</v>
      </c>
      <c r="S820" s="7" t="s">
        <v>33</v>
      </c>
      <c r="T820" s="7" t="s">
        <v>34</v>
      </c>
      <c r="U820" s="7">
        <v>3</v>
      </c>
      <c r="V820" s="7" t="str">
        <f>TEXT('E-Commerce Sales Data'!$B820,"mmmm")</f>
        <v>August</v>
      </c>
      <c r="W820" s="8">
        <f t="shared" si="48"/>
        <v>2165240</v>
      </c>
      <c r="X820">
        <f t="shared" si="49"/>
        <v>382</v>
      </c>
      <c r="Y820">
        <f t="shared" si="50"/>
        <v>32599.921465968586</v>
      </c>
      <c r="Z820">
        <f t="shared" si="51"/>
        <v>55</v>
      </c>
    </row>
    <row r="821" spans="1:26" x14ac:dyDescent="0.25">
      <c r="A821" s="9" t="s">
        <v>972</v>
      </c>
      <c r="B821" s="10">
        <v>51365</v>
      </c>
      <c r="C821" s="11" t="s">
        <v>973</v>
      </c>
      <c r="D821" s="11" t="s">
        <v>974</v>
      </c>
      <c r="E821" s="11">
        <v>27</v>
      </c>
      <c r="F821" s="11" t="s">
        <v>38</v>
      </c>
      <c r="G821" s="11" t="s">
        <v>25</v>
      </c>
      <c r="H821" s="11" t="s">
        <v>26</v>
      </c>
      <c r="I821" s="11" t="s">
        <v>27</v>
      </c>
      <c r="J821" s="11" t="s">
        <v>28</v>
      </c>
      <c r="K821" s="11" t="s">
        <v>29</v>
      </c>
      <c r="L821" s="11" t="s">
        <v>53</v>
      </c>
      <c r="M821" s="11" t="s">
        <v>79</v>
      </c>
      <c r="N821" s="11">
        <v>6500</v>
      </c>
      <c r="O821" s="11">
        <v>6</v>
      </c>
      <c r="P821" s="17">
        <v>0</v>
      </c>
      <c r="Q821" s="11">
        <v>1950</v>
      </c>
      <c r="R821" s="11" t="s">
        <v>32</v>
      </c>
      <c r="S821" s="11" t="s">
        <v>33</v>
      </c>
      <c r="T821" s="11" t="s">
        <v>34</v>
      </c>
      <c r="U821" s="11">
        <v>4</v>
      </c>
      <c r="V821" s="11" t="str">
        <f>TEXT('E-Commerce Sales Data'!$B821,"mmmm")</f>
        <v>August</v>
      </c>
      <c r="W821" s="8">
        <f t="shared" si="48"/>
        <v>2163540</v>
      </c>
      <c r="X821">
        <f t="shared" si="49"/>
        <v>381</v>
      </c>
      <c r="Y821">
        <f t="shared" si="50"/>
        <v>32668.556430446195</v>
      </c>
      <c r="Z821">
        <f t="shared" si="51"/>
        <v>55</v>
      </c>
    </row>
    <row r="822" spans="1:26" x14ac:dyDescent="0.25">
      <c r="A822" s="5" t="s">
        <v>975</v>
      </c>
      <c r="B822" s="6">
        <v>51372</v>
      </c>
      <c r="C822" s="7" t="s">
        <v>976</v>
      </c>
      <c r="D822" s="7" t="s">
        <v>977</v>
      </c>
      <c r="E822" s="7">
        <v>43</v>
      </c>
      <c r="F822" s="7" t="s">
        <v>24</v>
      </c>
      <c r="G822" s="7" t="s">
        <v>914</v>
      </c>
      <c r="H822" s="7" t="s">
        <v>26</v>
      </c>
      <c r="I822" s="7" t="s">
        <v>27</v>
      </c>
      <c r="J822" s="7" t="s">
        <v>28</v>
      </c>
      <c r="K822" s="7" t="s">
        <v>29</v>
      </c>
      <c r="L822" s="7" t="s">
        <v>30</v>
      </c>
      <c r="M822" s="7" t="s">
        <v>31</v>
      </c>
      <c r="N822" s="7">
        <v>110500</v>
      </c>
      <c r="O822" s="7">
        <v>1</v>
      </c>
      <c r="P822" s="16">
        <v>0.05</v>
      </c>
      <c r="Q822" s="7">
        <v>14700</v>
      </c>
      <c r="R822" s="7" t="s">
        <v>32</v>
      </c>
      <c r="S822" s="7" t="s">
        <v>47</v>
      </c>
      <c r="T822" s="7" t="s">
        <v>34</v>
      </c>
      <c r="U822" s="7">
        <v>5</v>
      </c>
      <c r="V822" s="7" t="str">
        <f>TEXT('E-Commerce Sales Data'!$B822,"mmmm")</f>
        <v>August</v>
      </c>
      <c r="W822" s="8">
        <f t="shared" si="48"/>
        <v>2161590</v>
      </c>
      <c r="X822">
        <f t="shared" si="49"/>
        <v>380</v>
      </c>
      <c r="Y822">
        <f t="shared" si="50"/>
        <v>32737.42105263158</v>
      </c>
      <c r="Z822">
        <f t="shared" si="51"/>
        <v>55</v>
      </c>
    </row>
    <row r="823" spans="1:26" x14ac:dyDescent="0.25">
      <c r="A823" s="9" t="s">
        <v>978</v>
      </c>
      <c r="B823" s="10">
        <v>51379</v>
      </c>
      <c r="C823" s="11" t="s">
        <v>979</v>
      </c>
      <c r="D823" s="11" t="s">
        <v>980</v>
      </c>
      <c r="E823" s="11">
        <v>31</v>
      </c>
      <c r="F823" s="11" t="s">
        <v>38</v>
      </c>
      <c r="G823" s="11" t="s">
        <v>981</v>
      </c>
      <c r="H823" s="11" t="s">
        <v>982</v>
      </c>
      <c r="I823" s="11" t="s">
        <v>52</v>
      </c>
      <c r="J823" s="11" t="s">
        <v>42</v>
      </c>
      <c r="K823" s="11" t="s">
        <v>43</v>
      </c>
      <c r="L823" s="11" t="s">
        <v>44</v>
      </c>
      <c r="M823" s="11" t="s">
        <v>45</v>
      </c>
      <c r="N823" s="11">
        <v>17400</v>
      </c>
      <c r="O823" s="11">
        <v>3</v>
      </c>
      <c r="P823" s="17">
        <v>0.1</v>
      </c>
      <c r="Q823" s="11">
        <v>4120</v>
      </c>
      <c r="R823" s="11" t="s">
        <v>46</v>
      </c>
      <c r="S823" s="11" t="s">
        <v>33</v>
      </c>
      <c r="T823" s="11" t="s">
        <v>34</v>
      </c>
      <c r="U823" s="11">
        <v>4</v>
      </c>
      <c r="V823" s="11" t="str">
        <f>TEXT('E-Commerce Sales Data'!$B823,"mmmm")</f>
        <v>August</v>
      </c>
      <c r="W823" s="8">
        <f t="shared" si="48"/>
        <v>2146890</v>
      </c>
      <c r="X823">
        <f t="shared" si="49"/>
        <v>379</v>
      </c>
      <c r="Y823">
        <f t="shared" si="50"/>
        <v>32532.242744063326</v>
      </c>
      <c r="Z823">
        <f t="shared" si="51"/>
        <v>55</v>
      </c>
    </row>
    <row r="824" spans="1:26" x14ac:dyDescent="0.25">
      <c r="A824" s="5" t="s">
        <v>983</v>
      </c>
      <c r="B824" s="6">
        <v>51386</v>
      </c>
      <c r="C824" s="7" t="s">
        <v>984</v>
      </c>
      <c r="D824" s="7" t="s">
        <v>985</v>
      </c>
      <c r="E824" s="7">
        <v>39</v>
      </c>
      <c r="F824" s="7" t="s">
        <v>24</v>
      </c>
      <c r="G824" s="7" t="s">
        <v>51</v>
      </c>
      <c r="H824" s="7" t="s">
        <v>51</v>
      </c>
      <c r="I824" s="7" t="s">
        <v>52</v>
      </c>
      <c r="J824" s="7" t="s">
        <v>28</v>
      </c>
      <c r="K824" s="7" t="s">
        <v>29</v>
      </c>
      <c r="L824" s="7" t="s">
        <v>53</v>
      </c>
      <c r="M824" s="7" t="s">
        <v>54</v>
      </c>
      <c r="N824" s="7">
        <v>40900</v>
      </c>
      <c r="O824" s="7">
        <v>2</v>
      </c>
      <c r="P824" s="16">
        <v>0.05</v>
      </c>
      <c r="Q824" s="7">
        <v>7950</v>
      </c>
      <c r="R824" s="7" t="s">
        <v>55</v>
      </c>
      <c r="S824" s="7" t="s">
        <v>33</v>
      </c>
      <c r="T824" s="7" t="s">
        <v>34</v>
      </c>
      <c r="U824" s="7">
        <v>4</v>
      </c>
      <c r="V824" s="7" t="str">
        <f>TEXT('E-Commerce Sales Data'!$B824,"mmmm")</f>
        <v>September</v>
      </c>
      <c r="W824" s="8">
        <f t="shared" si="48"/>
        <v>2142770</v>
      </c>
      <c r="X824">
        <f t="shared" si="49"/>
        <v>378</v>
      </c>
      <c r="Y824">
        <f t="shared" si="50"/>
        <v>32572.275132275132</v>
      </c>
      <c r="Z824">
        <f t="shared" si="51"/>
        <v>55</v>
      </c>
    </row>
    <row r="825" spans="1:26" x14ac:dyDescent="0.25">
      <c r="A825" s="9" t="s">
        <v>986</v>
      </c>
      <c r="B825" s="10">
        <v>51393</v>
      </c>
      <c r="C825" s="11" t="s">
        <v>987</v>
      </c>
      <c r="D825" s="11" t="s">
        <v>988</v>
      </c>
      <c r="E825" s="11">
        <v>28</v>
      </c>
      <c r="F825" s="11" t="s">
        <v>38</v>
      </c>
      <c r="G825" s="11" t="s">
        <v>59</v>
      </c>
      <c r="H825" s="11" t="s">
        <v>26</v>
      </c>
      <c r="I825" s="11" t="s">
        <v>27</v>
      </c>
      <c r="J825" s="11" t="s">
        <v>28</v>
      </c>
      <c r="K825" s="11" t="s">
        <v>60</v>
      </c>
      <c r="L825" s="11" t="s">
        <v>61</v>
      </c>
      <c r="M825" s="11" t="s">
        <v>86</v>
      </c>
      <c r="N825" s="11">
        <v>1210</v>
      </c>
      <c r="O825" s="11">
        <v>20</v>
      </c>
      <c r="P825" s="17">
        <v>0.02</v>
      </c>
      <c r="Q825" s="11">
        <v>350</v>
      </c>
      <c r="R825" s="11" t="s">
        <v>32</v>
      </c>
      <c r="S825" s="11" t="s">
        <v>33</v>
      </c>
      <c r="T825" s="11" t="s">
        <v>34</v>
      </c>
      <c r="U825" s="11">
        <v>5</v>
      </c>
      <c r="V825" s="11" t="str">
        <f>TEXT('E-Commerce Sales Data'!$B825,"mmmm")</f>
        <v>September</v>
      </c>
      <c r="W825" s="8">
        <f t="shared" si="48"/>
        <v>2134820</v>
      </c>
      <c r="X825">
        <f t="shared" si="49"/>
        <v>377</v>
      </c>
      <c r="Y825">
        <f t="shared" si="50"/>
        <v>32550.185676392572</v>
      </c>
      <c r="Z825">
        <f t="shared" si="51"/>
        <v>55</v>
      </c>
    </row>
    <row r="826" spans="1:26" x14ac:dyDescent="0.25">
      <c r="A826" s="5" t="s">
        <v>989</v>
      </c>
      <c r="B826" s="6">
        <v>51400</v>
      </c>
      <c r="C826" s="7" t="s">
        <v>990</v>
      </c>
      <c r="D826" s="7" t="s">
        <v>991</v>
      </c>
      <c r="E826" s="7">
        <v>41</v>
      </c>
      <c r="F826" s="7" t="s">
        <v>24</v>
      </c>
      <c r="G826" s="7" t="s">
        <v>992</v>
      </c>
      <c r="H826" s="7" t="s">
        <v>67</v>
      </c>
      <c r="I826" s="7" t="s">
        <v>27</v>
      </c>
      <c r="J826" s="7" t="s">
        <v>42</v>
      </c>
      <c r="K826" s="7" t="s">
        <v>43</v>
      </c>
      <c r="L826" s="7" t="s">
        <v>68</v>
      </c>
      <c r="M826" s="7" t="s">
        <v>69</v>
      </c>
      <c r="N826" s="7">
        <v>43000</v>
      </c>
      <c r="O826" s="7">
        <v>2</v>
      </c>
      <c r="P826" s="16">
        <v>0.08</v>
      </c>
      <c r="Q826" s="7">
        <v>7400</v>
      </c>
      <c r="R826" s="7" t="s">
        <v>46</v>
      </c>
      <c r="S826" s="7" t="s">
        <v>47</v>
      </c>
      <c r="T826" s="7" t="s">
        <v>34</v>
      </c>
      <c r="U826" s="7">
        <v>4</v>
      </c>
      <c r="V826" s="7" t="str">
        <f>TEXT('E-Commerce Sales Data'!$B826,"mmmm")</f>
        <v>September</v>
      </c>
      <c r="W826" s="8">
        <f t="shared" si="48"/>
        <v>2134470</v>
      </c>
      <c r="X826">
        <f t="shared" si="49"/>
        <v>376</v>
      </c>
      <c r="Y826">
        <f t="shared" si="50"/>
        <v>32633.537234042553</v>
      </c>
      <c r="Z826">
        <f t="shared" si="51"/>
        <v>55</v>
      </c>
    </row>
    <row r="827" spans="1:26" x14ac:dyDescent="0.25">
      <c r="A827" s="9" t="s">
        <v>993</v>
      </c>
      <c r="B827" s="10">
        <v>51407</v>
      </c>
      <c r="C827" s="11" t="s">
        <v>994</v>
      </c>
      <c r="D827" s="11" t="s">
        <v>995</v>
      </c>
      <c r="E827" s="11">
        <v>26</v>
      </c>
      <c r="F827" s="11" t="s">
        <v>38</v>
      </c>
      <c r="G827" s="11" t="s">
        <v>89</v>
      </c>
      <c r="H827" s="11" t="s">
        <v>90</v>
      </c>
      <c r="I827" s="11" t="s">
        <v>91</v>
      </c>
      <c r="J827" s="11" t="s">
        <v>28</v>
      </c>
      <c r="K827" s="11" t="s">
        <v>29</v>
      </c>
      <c r="L827" s="11" t="s">
        <v>53</v>
      </c>
      <c r="M827" s="11" t="s">
        <v>75</v>
      </c>
      <c r="N827" s="11">
        <v>6250</v>
      </c>
      <c r="O827" s="11">
        <v>3</v>
      </c>
      <c r="P827" s="17">
        <v>0.05</v>
      </c>
      <c r="Q827" s="11">
        <v>1650</v>
      </c>
      <c r="R827" s="11" t="s">
        <v>32</v>
      </c>
      <c r="S827" s="11" t="s">
        <v>33</v>
      </c>
      <c r="T827" s="11" t="s">
        <v>34</v>
      </c>
      <c r="U827" s="11">
        <v>4</v>
      </c>
      <c r="V827" s="11" t="str">
        <f>TEXT('E-Commerce Sales Data'!$B827,"mmmm")</f>
        <v>September</v>
      </c>
      <c r="W827" s="8">
        <f t="shared" si="48"/>
        <v>2127070</v>
      </c>
      <c r="X827">
        <f t="shared" si="49"/>
        <v>375</v>
      </c>
      <c r="Y827">
        <f t="shared" si="50"/>
        <v>32605.893333333333</v>
      </c>
      <c r="Z827">
        <f t="shared" si="51"/>
        <v>55</v>
      </c>
    </row>
    <row r="828" spans="1:26" x14ac:dyDescent="0.25">
      <c r="A828" s="5" t="s">
        <v>996</v>
      </c>
      <c r="B828" s="6">
        <v>51414</v>
      </c>
      <c r="C828" s="7" t="s">
        <v>997</v>
      </c>
      <c r="D828" s="7" t="s">
        <v>998</v>
      </c>
      <c r="E828" s="7">
        <v>33</v>
      </c>
      <c r="F828" s="7" t="s">
        <v>24</v>
      </c>
      <c r="G828" s="7" t="s">
        <v>999</v>
      </c>
      <c r="H828" s="7" t="s">
        <v>982</v>
      </c>
      <c r="I828" s="7" t="s">
        <v>52</v>
      </c>
      <c r="J828" s="7" t="s">
        <v>28</v>
      </c>
      <c r="K828" s="7" t="s">
        <v>29</v>
      </c>
      <c r="L828" s="7" t="s">
        <v>53</v>
      </c>
      <c r="M828" s="7" t="s">
        <v>79</v>
      </c>
      <c r="N828" s="7">
        <v>6700</v>
      </c>
      <c r="O828" s="7">
        <v>6</v>
      </c>
      <c r="P828" s="16">
        <v>0</v>
      </c>
      <c r="Q828" s="7">
        <v>2010</v>
      </c>
      <c r="R828" s="7" t="s">
        <v>80</v>
      </c>
      <c r="S828" s="7" t="s">
        <v>33</v>
      </c>
      <c r="T828" s="7" t="s">
        <v>34</v>
      </c>
      <c r="U828" s="7">
        <v>3</v>
      </c>
      <c r="V828" s="7" t="str">
        <f>TEXT('E-Commerce Sales Data'!$B828,"mmmm")</f>
        <v>October</v>
      </c>
      <c r="W828" s="8">
        <f t="shared" si="48"/>
        <v>2125420</v>
      </c>
      <c r="X828">
        <f t="shared" si="49"/>
        <v>374</v>
      </c>
      <c r="Y828">
        <f t="shared" si="50"/>
        <v>32676.363636363636</v>
      </c>
      <c r="Z828">
        <f t="shared" si="51"/>
        <v>55</v>
      </c>
    </row>
    <row r="829" spans="1:26" x14ac:dyDescent="0.25">
      <c r="A829" s="9" t="s">
        <v>1000</v>
      </c>
      <c r="B829" s="10">
        <v>51421</v>
      </c>
      <c r="C829" s="11" t="s">
        <v>1001</v>
      </c>
      <c r="D829" s="11" t="s">
        <v>1002</v>
      </c>
      <c r="E829" s="11">
        <v>29</v>
      </c>
      <c r="F829" s="11" t="s">
        <v>38</v>
      </c>
      <c r="G829" s="11" t="s">
        <v>89</v>
      </c>
      <c r="H829" s="11" t="s">
        <v>90</v>
      </c>
      <c r="I829" s="11" t="s">
        <v>91</v>
      </c>
      <c r="J829" s="11" t="s">
        <v>42</v>
      </c>
      <c r="K829" s="11" t="s">
        <v>60</v>
      </c>
      <c r="L829" s="11" t="s">
        <v>61</v>
      </c>
      <c r="M829" s="11" t="s">
        <v>62</v>
      </c>
      <c r="N829" s="11">
        <v>10500</v>
      </c>
      <c r="O829" s="11">
        <v>10</v>
      </c>
      <c r="P829" s="17">
        <v>0.02</v>
      </c>
      <c r="Q829" s="11">
        <v>2600</v>
      </c>
      <c r="R829" s="11" t="s">
        <v>32</v>
      </c>
      <c r="S829" s="11" t="s">
        <v>33</v>
      </c>
      <c r="T829" s="11" t="s">
        <v>34</v>
      </c>
      <c r="U829" s="11">
        <v>5</v>
      </c>
      <c r="V829" s="11" t="str">
        <f>TEXT('E-Commerce Sales Data'!$B829,"mmmm")</f>
        <v>October</v>
      </c>
      <c r="W829" s="8">
        <f t="shared" si="48"/>
        <v>2123410</v>
      </c>
      <c r="X829">
        <f t="shared" si="49"/>
        <v>373</v>
      </c>
      <c r="Y829">
        <f t="shared" si="50"/>
        <v>32746.005361930296</v>
      </c>
      <c r="Z829">
        <f t="shared" si="51"/>
        <v>55</v>
      </c>
    </row>
    <row r="830" spans="1:26" x14ac:dyDescent="0.25">
      <c r="A830" s="5" t="s">
        <v>1003</v>
      </c>
      <c r="B830" s="6">
        <v>51428</v>
      </c>
      <c r="C830" s="7" t="s">
        <v>1004</v>
      </c>
      <c r="D830" s="7" t="s">
        <v>1005</v>
      </c>
      <c r="E830" s="7">
        <v>44</v>
      </c>
      <c r="F830" s="7" t="s">
        <v>24</v>
      </c>
      <c r="G830" s="7" t="s">
        <v>84</v>
      </c>
      <c r="H830" s="7" t="s">
        <v>85</v>
      </c>
      <c r="I830" s="7" t="s">
        <v>52</v>
      </c>
      <c r="J830" s="7" t="s">
        <v>42</v>
      </c>
      <c r="K830" s="7" t="s">
        <v>43</v>
      </c>
      <c r="L830" s="7" t="s">
        <v>92</v>
      </c>
      <c r="M830" s="7" t="s">
        <v>93</v>
      </c>
      <c r="N830" s="7">
        <v>26700</v>
      </c>
      <c r="O830" s="7">
        <v>1</v>
      </c>
      <c r="P830" s="16">
        <v>0.1</v>
      </c>
      <c r="Q830" s="7">
        <v>4840</v>
      </c>
      <c r="R830" s="7" t="s">
        <v>46</v>
      </c>
      <c r="S830" s="7" t="s">
        <v>47</v>
      </c>
      <c r="T830" s="7" t="s">
        <v>34</v>
      </c>
      <c r="U830" s="7">
        <v>4</v>
      </c>
      <c r="V830" s="7" t="str">
        <f>TEXT('E-Commerce Sales Data'!$B830,"mmmm")</f>
        <v>October</v>
      </c>
      <c r="W830" s="8">
        <f t="shared" si="48"/>
        <v>2120810</v>
      </c>
      <c r="X830">
        <f t="shared" si="49"/>
        <v>372</v>
      </c>
      <c r="Y830">
        <f t="shared" si="50"/>
        <v>32805.806451612902</v>
      </c>
      <c r="Z830">
        <f t="shared" si="51"/>
        <v>55</v>
      </c>
    </row>
    <row r="831" spans="1:26" x14ac:dyDescent="0.25">
      <c r="A831" s="9" t="s">
        <v>1006</v>
      </c>
      <c r="B831" s="10">
        <v>51435</v>
      </c>
      <c r="C831" s="11" t="s">
        <v>1007</v>
      </c>
      <c r="D831" s="11" t="s">
        <v>1008</v>
      </c>
      <c r="E831" s="11">
        <v>25</v>
      </c>
      <c r="F831" s="11" t="s">
        <v>38</v>
      </c>
      <c r="G831" s="11" t="s">
        <v>1009</v>
      </c>
      <c r="H831" s="11" t="s">
        <v>1010</v>
      </c>
      <c r="I831" s="11" t="s">
        <v>41</v>
      </c>
      <c r="J831" s="11" t="s">
        <v>28</v>
      </c>
      <c r="K831" s="11" t="s">
        <v>29</v>
      </c>
      <c r="L831" s="11" t="s">
        <v>96</v>
      </c>
      <c r="M831" s="11" t="s">
        <v>97</v>
      </c>
      <c r="N831" s="11">
        <v>29000</v>
      </c>
      <c r="O831" s="11">
        <v>2</v>
      </c>
      <c r="P831" s="17">
        <v>0.05</v>
      </c>
      <c r="Q831" s="11">
        <v>5600</v>
      </c>
      <c r="R831" s="11" t="s">
        <v>32</v>
      </c>
      <c r="S831" s="11" t="s">
        <v>33</v>
      </c>
      <c r="T831" s="11" t="s">
        <v>34</v>
      </c>
      <c r="U831" s="11">
        <v>4</v>
      </c>
      <c r="V831" s="11" t="str">
        <f>TEXT('E-Commerce Sales Data'!$B831,"mmmm")</f>
        <v>October</v>
      </c>
      <c r="W831" s="8">
        <f t="shared" si="48"/>
        <v>2115970</v>
      </c>
      <c r="X831">
        <f t="shared" si="49"/>
        <v>371</v>
      </c>
      <c r="Y831">
        <f t="shared" si="50"/>
        <v>32822.264150943396</v>
      </c>
      <c r="Z831">
        <f t="shared" si="51"/>
        <v>55</v>
      </c>
    </row>
    <row r="832" spans="1:26" x14ac:dyDescent="0.25">
      <c r="A832" s="5" t="s">
        <v>1011</v>
      </c>
      <c r="B832" s="6">
        <v>51442</v>
      </c>
      <c r="C832" s="7" t="s">
        <v>1012</v>
      </c>
      <c r="D832" s="7" t="s">
        <v>1013</v>
      </c>
      <c r="E832" s="7">
        <v>38</v>
      </c>
      <c r="F832" s="7" t="s">
        <v>24</v>
      </c>
      <c r="G832" s="7" t="s">
        <v>1009</v>
      </c>
      <c r="H832" s="7" t="s">
        <v>1010</v>
      </c>
      <c r="I832" s="7" t="s">
        <v>41</v>
      </c>
      <c r="J832" s="7" t="s">
        <v>28</v>
      </c>
      <c r="K832" s="7" t="s">
        <v>60</v>
      </c>
      <c r="L832" s="7" t="s">
        <v>53</v>
      </c>
      <c r="M832" s="7" t="s">
        <v>103</v>
      </c>
      <c r="N832" s="7">
        <v>1750</v>
      </c>
      <c r="O832" s="7">
        <v>25</v>
      </c>
      <c r="P832" s="16">
        <v>0</v>
      </c>
      <c r="Q832" s="7">
        <v>550</v>
      </c>
      <c r="R832" s="7" t="s">
        <v>55</v>
      </c>
      <c r="S832" s="7" t="s">
        <v>33</v>
      </c>
      <c r="T832" s="7" t="s">
        <v>34</v>
      </c>
      <c r="U832" s="7">
        <v>5</v>
      </c>
      <c r="V832" s="7" t="str">
        <f>TEXT('E-Commerce Sales Data'!$B832,"mmmm")</f>
        <v>November</v>
      </c>
      <c r="W832" s="8">
        <f t="shared" si="48"/>
        <v>2110370</v>
      </c>
      <c r="X832">
        <f t="shared" si="49"/>
        <v>370</v>
      </c>
      <c r="Y832">
        <f t="shared" si="50"/>
        <v>32832.594594594593</v>
      </c>
      <c r="Z832">
        <f t="shared" si="51"/>
        <v>55</v>
      </c>
    </row>
    <row r="833" spans="1:26" x14ac:dyDescent="0.25">
      <c r="A833" s="9" t="s">
        <v>1014</v>
      </c>
      <c r="B833" s="10">
        <v>51449</v>
      </c>
      <c r="C833" s="11" t="s">
        <v>1015</v>
      </c>
      <c r="D833" s="11" t="s">
        <v>1008</v>
      </c>
      <c r="E833" s="11">
        <v>35</v>
      </c>
      <c r="F833" s="11" t="s">
        <v>38</v>
      </c>
      <c r="G833" s="11" t="s">
        <v>1016</v>
      </c>
      <c r="H833" s="11" t="s">
        <v>102</v>
      </c>
      <c r="I833" s="11" t="s">
        <v>41</v>
      </c>
      <c r="J833" s="11" t="s">
        <v>42</v>
      </c>
      <c r="K833" s="11" t="s">
        <v>43</v>
      </c>
      <c r="L833" s="11" t="s">
        <v>68</v>
      </c>
      <c r="M833" s="11" t="s">
        <v>106</v>
      </c>
      <c r="N833" s="11">
        <v>43000</v>
      </c>
      <c r="O833" s="11">
        <v>1</v>
      </c>
      <c r="P833" s="17">
        <v>0.08</v>
      </c>
      <c r="Q833" s="11">
        <v>9200</v>
      </c>
      <c r="R833" s="11" t="s">
        <v>46</v>
      </c>
      <c r="S833" s="11" t="s">
        <v>47</v>
      </c>
      <c r="T833" s="11" t="s">
        <v>34</v>
      </c>
      <c r="U833" s="11">
        <v>4</v>
      </c>
      <c r="V833" s="11" t="str">
        <f>TEXT('E-Commerce Sales Data'!$B833,"mmmm")</f>
        <v>November</v>
      </c>
      <c r="W833" s="8">
        <f t="shared" si="48"/>
        <v>2109820</v>
      </c>
      <c r="X833">
        <f t="shared" si="49"/>
        <v>369</v>
      </c>
      <c r="Y833">
        <f t="shared" si="50"/>
        <v>32916.829268292684</v>
      </c>
      <c r="Z833">
        <f t="shared" si="51"/>
        <v>55</v>
      </c>
    </row>
    <row r="834" spans="1:26" x14ac:dyDescent="0.25">
      <c r="A834" s="5" t="s">
        <v>1017</v>
      </c>
      <c r="B834" s="6">
        <v>51456</v>
      </c>
      <c r="C834" s="7" t="s">
        <v>1018</v>
      </c>
      <c r="D834" s="7" t="s">
        <v>1019</v>
      </c>
      <c r="E834" s="7">
        <v>30</v>
      </c>
      <c r="F834" s="7" t="s">
        <v>24</v>
      </c>
      <c r="G834" s="7" t="s">
        <v>1020</v>
      </c>
      <c r="H834" s="7" t="s">
        <v>965</v>
      </c>
      <c r="I834" s="7" t="s">
        <v>966</v>
      </c>
      <c r="J834" s="7" t="s">
        <v>28</v>
      </c>
      <c r="K834" s="7" t="s">
        <v>29</v>
      </c>
      <c r="L834" s="7" t="s">
        <v>30</v>
      </c>
      <c r="M834" s="7" t="s">
        <v>31</v>
      </c>
      <c r="N834" s="7">
        <v>116000</v>
      </c>
      <c r="O834" s="7">
        <v>1</v>
      </c>
      <c r="P834" s="16">
        <v>0.1</v>
      </c>
      <c r="Q834" s="7">
        <v>13800</v>
      </c>
      <c r="R834" s="7" t="s">
        <v>32</v>
      </c>
      <c r="S834" s="7" t="s">
        <v>47</v>
      </c>
      <c r="T834" s="7" t="s">
        <v>34</v>
      </c>
      <c r="U834" s="7">
        <v>5</v>
      </c>
      <c r="V834" s="7" t="str">
        <f>TEXT('E-Commerce Sales Data'!$B834,"mmmm")</f>
        <v>November</v>
      </c>
      <c r="W834" s="8">
        <f t="shared" si="48"/>
        <v>2100620</v>
      </c>
      <c r="X834">
        <f t="shared" si="49"/>
        <v>368</v>
      </c>
      <c r="Y834">
        <f t="shared" si="50"/>
        <v>32889.429347826088</v>
      </c>
      <c r="Z834">
        <f t="shared" si="51"/>
        <v>55</v>
      </c>
    </row>
    <row r="835" spans="1:26" x14ac:dyDescent="0.25">
      <c r="A835" s="9" t="s">
        <v>1021</v>
      </c>
      <c r="B835" s="10">
        <v>51463</v>
      </c>
      <c r="C835" s="11" t="s">
        <v>1022</v>
      </c>
      <c r="D835" s="11" t="s">
        <v>1023</v>
      </c>
      <c r="E835" s="11">
        <v>27</v>
      </c>
      <c r="F835" s="11" t="s">
        <v>38</v>
      </c>
      <c r="G835" s="11" t="s">
        <v>1024</v>
      </c>
      <c r="H835" s="11" t="s">
        <v>982</v>
      </c>
      <c r="I835" s="11" t="s">
        <v>52</v>
      </c>
      <c r="J835" s="11" t="s">
        <v>28</v>
      </c>
      <c r="K835" s="11" t="s">
        <v>60</v>
      </c>
      <c r="L835" s="11" t="s">
        <v>92</v>
      </c>
      <c r="M835" s="11" t="s">
        <v>111</v>
      </c>
      <c r="N835" s="11">
        <v>2300</v>
      </c>
      <c r="O835" s="11">
        <v>15</v>
      </c>
      <c r="P835" s="17">
        <v>0.05</v>
      </c>
      <c r="Q835" s="11">
        <v>750</v>
      </c>
      <c r="R835" s="11" t="s">
        <v>80</v>
      </c>
      <c r="S835" s="11" t="s">
        <v>33</v>
      </c>
      <c r="T835" s="11" t="s">
        <v>34</v>
      </c>
      <c r="U835" s="11">
        <v>4</v>
      </c>
      <c r="V835" s="11" t="str">
        <f>TEXT('E-Commerce Sales Data'!$B835,"mmmm")</f>
        <v>November</v>
      </c>
      <c r="W835" s="8">
        <f t="shared" ref="W835:W898" si="52">SUM(Q835:Q2034)</f>
        <v>2086820</v>
      </c>
      <c r="X835">
        <f t="shared" ref="X835:X898" si="53">COUNT(E835:E2034)</f>
        <v>367</v>
      </c>
      <c r="Y835">
        <f t="shared" ref="Y835:Y898" si="54">AVERAGE(N835:N2034)</f>
        <v>32662.970027247957</v>
      </c>
      <c r="Z835">
        <f t="shared" ref="Z835:Z898" si="55">MAX(E835:E2034)</f>
        <v>55</v>
      </c>
    </row>
    <row r="836" spans="1:26" x14ac:dyDescent="0.25">
      <c r="A836" s="5" t="s">
        <v>1025</v>
      </c>
      <c r="B836" s="6">
        <v>51470</v>
      </c>
      <c r="C836" s="7" t="s">
        <v>1026</v>
      </c>
      <c r="D836" s="7" t="s">
        <v>1027</v>
      </c>
      <c r="E836" s="7">
        <v>40</v>
      </c>
      <c r="F836" s="7" t="s">
        <v>24</v>
      </c>
      <c r="G836" s="7" t="s">
        <v>1028</v>
      </c>
      <c r="H836" s="7" t="s">
        <v>953</v>
      </c>
      <c r="I836" s="7" t="s">
        <v>27</v>
      </c>
      <c r="J836" s="7" t="s">
        <v>42</v>
      </c>
      <c r="K836" s="7" t="s">
        <v>43</v>
      </c>
      <c r="L836" s="7" t="s">
        <v>44</v>
      </c>
      <c r="M836" s="7" t="s">
        <v>45</v>
      </c>
      <c r="N836" s="7">
        <v>22000</v>
      </c>
      <c r="O836" s="7">
        <v>4</v>
      </c>
      <c r="P836" s="16">
        <v>7.0000000000000007E-2</v>
      </c>
      <c r="Q836" s="7">
        <v>5050</v>
      </c>
      <c r="R836" s="7" t="s">
        <v>46</v>
      </c>
      <c r="S836" s="7" t="s">
        <v>33</v>
      </c>
      <c r="T836" s="7" t="s">
        <v>34</v>
      </c>
      <c r="U836" s="7">
        <v>4</v>
      </c>
      <c r="V836" s="7" t="str">
        <f>TEXT('E-Commerce Sales Data'!$B836,"mmmm")</f>
        <v>November</v>
      </c>
      <c r="W836" s="8">
        <f t="shared" si="52"/>
        <v>2086070</v>
      </c>
      <c r="X836">
        <f t="shared" si="53"/>
        <v>366</v>
      </c>
      <c r="Y836">
        <f t="shared" si="54"/>
        <v>32745.928961748636</v>
      </c>
      <c r="Z836">
        <f t="shared" si="55"/>
        <v>55</v>
      </c>
    </row>
    <row r="837" spans="1:26" x14ac:dyDescent="0.25">
      <c r="A837" s="9" t="s">
        <v>1029</v>
      </c>
      <c r="B837" s="10">
        <v>51477</v>
      </c>
      <c r="C837" s="11" t="s">
        <v>1030</v>
      </c>
      <c r="D837" s="11" t="s">
        <v>37</v>
      </c>
      <c r="E837" s="11">
        <v>24</v>
      </c>
      <c r="F837" s="11" t="s">
        <v>38</v>
      </c>
      <c r="G837" s="11" t="s">
        <v>25</v>
      </c>
      <c r="H837" s="11" t="s">
        <v>26</v>
      </c>
      <c r="I837" s="11" t="s">
        <v>27</v>
      </c>
      <c r="J837" s="11" t="s">
        <v>28</v>
      </c>
      <c r="K837" s="11" t="s">
        <v>29</v>
      </c>
      <c r="L837" s="11" t="s">
        <v>53</v>
      </c>
      <c r="M837" s="11" t="s">
        <v>54</v>
      </c>
      <c r="N837" s="11">
        <v>43900</v>
      </c>
      <c r="O837" s="11">
        <v>2</v>
      </c>
      <c r="P837" s="17">
        <v>0.05</v>
      </c>
      <c r="Q837" s="11">
        <v>8600</v>
      </c>
      <c r="R837" s="11" t="s">
        <v>32</v>
      </c>
      <c r="S837" s="11" t="s">
        <v>47</v>
      </c>
      <c r="T837" s="11" t="s">
        <v>34</v>
      </c>
      <c r="U837" s="11">
        <v>5</v>
      </c>
      <c r="V837" s="11" t="str">
        <f>TEXT('E-Commerce Sales Data'!$B837,"mmmm")</f>
        <v>December</v>
      </c>
      <c r="W837" s="8">
        <f t="shared" si="52"/>
        <v>2081020</v>
      </c>
      <c r="X837">
        <f t="shared" si="53"/>
        <v>365</v>
      </c>
      <c r="Y837">
        <f t="shared" si="54"/>
        <v>32775.369863013701</v>
      </c>
      <c r="Z837">
        <f t="shared" si="55"/>
        <v>55</v>
      </c>
    </row>
    <row r="838" spans="1:26" x14ac:dyDescent="0.25">
      <c r="A838" s="5" t="s">
        <v>1031</v>
      </c>
      <c r="B838" s="6">
        <v>51484</v>
      </c>
      <c r="C838" s="7" t="s">
        <v>1032</v>
      </c>
      <c r="D838" s="7" t="s">
        <v>1033</v>
      </c>
      <c r="E838" s="7">
        <v>36</v>
      </c>
      <c r="F838" s="7" t="s">
        <v>24</v>
      </c>
      <c r="G838" s="7" t="s">
        <v>1034</v>
      </c>
      <c r="H838" s="7" t="s">
        <v>67</v>
      </c>
      <c r="I838" s="7" t="s">
        <v>27</v>
      </c>
      <c r="J838" s="7" t="s">
        <v>42</v>
      </c>
      <c r="K838" s="7" t="s">
        <v>60</v>
      </c>
      <c r="L838" s="7" t="s">
        <v>61</v>
      </c>
      <c r="M838" s="7" t="s">
        <v>62</v>
      </c>
      <c r="N838" s="7">
        <v>10700</v>
      </c>
      <c r="O838" s="7">
        <v>10</v>
      </c>
      <c r="P838" s="16">
        <v>0.03</v>
      </c>
      <c r="Q838" s="7">
        <v>2660</v>
      </c>
      <c r="R838" s="7" t="s">
        <v>55</v>
      </c>
      <c r="S838" s="7" t="s">
        <v>33</v>
      </c>
      <c r="T838" s="7" t="s">
        <v>34</v>
      </c>
      <c r="U838" s="7">
        <v>4</v>
      </c>
      <c r="V838" s="7" t="str">
        <f>TEXT('E-Commerce Sales Data'!$B838,"mmmm")</f>
        <v>December</v>
      </c>
      <c r="W838" s="8">
        <f t="shared" si="52"/>
        <v>2072420</v>
      </c>
      <c r="X838">
        <f t="shared" si="53"/>
        <v>364</v>
      </c>
      <c r="Y838">
        <f t="shared" si="54"/>
        <v>32744.807692307691</v>
      </c>
      <c r="Z838">
        <f t="shared" si="55"/>
        <v>55</v>
      </c>
    </row>
    <row r="839" spans="1:26" x14ac:dyDescent="0.25">
      <c r="A839" s="9" t="s">
        <v>1035</v>
      </c>
      <c r="B839" s="10">
        <v>51491</v>
      </c>
      <c r="C839" s="11" t="s">
        <v>1036</v>
      </c>
      <c r="D839" s="11" t="s">
        <v>1037</v>
      </c>
      <c r="E839" s="11">
        <v>28</v>
      </c>
      <c r="F839" s="11" t="s">
        <v>38</v>
      </c>
      <c r="G839" s="11" t="s">
        <v>73</v>
      </c>
      <c r="H839" s="11" t="s">
        <v>74</v>
      </c>
      <c r="I839" s="11" t="s">
        <v>41</v>
      </c>
      <c r="J839" s="11" t="s">
        <v>28</v>
      </c>
      <c r="K839" s="11" t="s">
        <v>43</v>
      </c>
      <c r="L839" s="11" t="s">
        <v>68</v>
      </c>
      <c r="M839" s="11" t="s">
        <v>69</v>
      </c>
      <c r="N839" s="11">
        <v>41200</v>
      </c>
      <c r="O839" s="11">
        <v>2</v>
      </c>
      <c r="P839" s="17">
        <v>0.1</v>
      </c>
      <c r="Q839" s="11">
        <v>6720</v>
      </c>
      <c r="R839" s="11" t="s">
        <v>32</v>
      </c>
      <c r="S839" s="11" t="s">
        <v>47</v>
      </c>
      <c r="T839" s="11" t="s">
        <v>34</v>
      </c>
      <c r="U839" s="11">
        <v>5</v>
      </c>
      <c r="V839" s="11" t="str">
        <f>TEXT('E-Commerce Sales Data'!$B839,"mmmm")</f>
        <v>December</v>
      </c>
      <c r="W839" s="8">
        <f t="shared" si="52"/>
        <v>2069760</v>
      </c>
      <c r="X839">
        <f t="shared" si="53"/>
        <v>363</v>
      </c>
      <c r="Y839">
        <f t="shared" si="54"/>
        <v>32805.537190082643</v>
      </c>
      <c r="Z839">
        <f t="shared" si="55"/>
        <v>55</v>
      </c>
    </row>
    <row r="840" spans="1:26" x14ac:dyDescent="0.25">
      <c r="A840" s="5" t="s">
        <v>1038</v>
      </c>
      <c r="B840" s="6">
        <v>51498</v>
      </c>
      <c r="C840" s="7" t="s">
        <v>1039</v>
      </c>
      <c r="D840" s="7" t="s">
        <v>1040</v>
      </c>
      <c r="E840" s="7">
        <v>42</v>
      </c>
      <c r="F840" s="7" t="s">
        <v>24</v>
      </c>
      <c r="G840" s="7" t="s">
        <v>51</v>
      </c>
      <c r="H840" s="7" t="s">
        <v>51</v>
      </c>
      <c r="I840" s="7" t="s">
        <v>52</v>
      </c>
      <c r="J840" s="7" t="s">
        <v>42</v>
      </c>
      <c r="K840" s="7" t="s">
        <v>29</v>
      </c>
      <c r="L840" s="7" t="s">
        <v>53</v>
      </c>
      <c r="M840" s="7" t="s">
        <v>75</v>
      </c>
      <c r="N840" s="7">
        <v>6550</v>
      </c>
      <c r="O840" s="7">
        <v>4</v>
      </c>
      <c r="P840" s="16">
        <v>0.05</v>
      </c>
      <c r="Q840" s="7">
        <v>1730</v>
      </c>
      <c r="R840" s="7" t="s">
        <v>46</v>
      </c>
      <c r="S840" s="7" t="s">
        <v>33</v>
      </c>
      <c r="T840" s="7" t="s">
        <v>34</v>
      </c>
      <c r="U840" s="7">
        <v>3</v>
      </c>
      <c r="V840" s="7" t="str">
        <f>TEXT('E-Commerce Sales Data'!$B840,"mmmm")</f>
        <v>December</v>
      </c>
      <c r="W840" s="8">
        <f t="shared" si="52"/>
        <v>2063040</v>
      </c>
      <c r="X840">
        <f t="shared" si="53"/>
        <v>362</v>
      </c>
      <c r="Y840">
        <f t="shared" si="54"/>
        <v>32782.348066298342</v>
      </c>
      <c r="Z840">
        <f t="shared" si="55"/>
        <v>55</v>
      </c>
    </row>
    <row r="841" spans="1:26" x14ac:dyDescent="0.25">
      <c r="A841" s="9" t="s">
        <v>1041</v>
      </c>
      <c r="B841" s="10">
        <v>51505</v>
      </c>
      <c r="C841" s="11" t="s">
        <v>1042</v>
      </c>
      <c r="D841" s="11" t="s">
        <v>1043</v>
      </c>
      <c r="E841" s="11">
        <v>26</v>
      </c>
      <c r="F841" s="11" t="s">
        <v>38</v>
      </c>
      <c r="G841" s="11" t="s">
        <v>1044</v>
      </c>
      <c r="H841" s="11" t="s">
        <v>1045</v>
      </c>
      <c r="I841" s="11" t="s">
        <v>52</v>
      </c>
      <c r="J841" s="11" t="s">
        <v>28</v>
      </c>
      <c r="K841" s="11" t="s">
        <v>29</v>
      </c>
      <c r="L841" s="11" t="s">
        <v>53</v>
      </c>
      <c r="M841" s="11" t="s">
        <v>79</v>
      </c>
      <c r="N841" s="11">
        <v>6800</v>
      </c>
      <c r="O841" s="11">
        <v>7</v>
      </c>
      <c r="P841" s="17">
        <v>0</v>
      </c>
      <c r="Q841" s="11">
        <v>2040</v>
      </c>
      <c r="R841" s="11" t="s">
        <v>32</v>
      </c>
      <c r="S841" s="11" t="s">
        <v>33</v>
      </c>
      <c r="T841" s="11" t="s">
        <v>34</v>
      </c>
      <c r="U841" s="11">
        <v>4</v>
      </c>
      <c r="V841" s="11" t="str">
        <f>TEXT('E-Commerce Sales Data'!$B841,"mmmm")</f>
        <v>January</v>
      </c>
      <c r="W841" s="8">
        <f t="shared" si="52"/>
        <v>2061310</v>
      </c>
      <c r="X841">
        <f t="shared" si="53"/>
        <v>361</v>
      </c>
      <c r="Y841">
        <f t="shared" si="54"/>
        <v>32855.013850415511</v>
      </c>
      <c r="Z841">
        <f t="shared" si="55"/>
        <v>55</v>
      </c>
    </row>
    <row r="842" spans="1:26" x14ac:dyDescent="0.25">
      <c r="A842" s="5" t="s">
        <v>1046</v>
      </c>
      <c r="B842" s="6">
        <v>51512</v>
      </c>
      <c r="C842" s="7" t="s">
        <v>1047</v>
      </c>
      <c r="D842" s="7" t="s">
        <v>910</v>
      </c>
      <c r="E842" s="7">
        <v>34</v>
      </c>
      <c r="F842" s="7" t="s">
        <v>24</v>
      </c>
      <c r="G842" s="7" t="s">
        <v>59</v>
      </c>
      <c r="H842" s="7" t="s">
        <v>26</v>
      </c>
      <c r="I842" s="7" t="s">
        <v>27</v>
      </c>
      <c r="J842" s="7" t="s">
        <v>28</v>
      </c>
      <c r="K842" s="7" t="s">
        <v>29</v>
      </c>
      <c r="L842" s="7" t="s">
        <v>30</v>
      </c>
      <c r="M842" s="7" t="s">
        <v>31</v>
      </c>
      <c r="N842" s="7">
        <v>112000</v>
      </c>
      <c r="O842" s="7">
        <v>1</v>
      </c>
      <c r="P842" s="16">
        <v>0.05</v>
      </c>
      <c r="Q842" s="7">
        <v>14900</v>
      </c>
      <c r="R842" s="7" t="s">
        <v>32</v>
      </c>
      <c r="S842" s="7" t="s">
        <v>47</v>
      </c>
      <c r="T842" s="7" t="s">
        <v>34</v>
      </c>
      <c r="U842" s="7">
        <v>5</v>
      </c>
      <c r="V842" s="7" t="str">
        <f>TEXT('E-Commerce Sales Data'!$B842,"mmmm")</f>
        <v>January</v>
      </c>
      <c r="W842" s="8">
        <f t="shared" si="52"/>
        <v>2059270</v>
      </c>
      <c r="X842">
        <f t="shared" si="53"/>
        <v>360</v>
      </c>
      <c r="Y842">
        <f t="shared" si="54"/>
        <v>32927.388888888891</v>
      </c>
      <c r="Z842">
        <f t="shared" si="55"/>
        <v>55</v>
      </c>
    </row>
    <row r="843" spans="1:26" x14ac:dyDescent="0.25">
      <c r="A843" s="9" t="s">
        <v>1048</v>
      </c>
      <c r="B843" s="10">
        <v>51519</v>
      </c>
      <c r="C843" s="11" t="s">
        <v>1049</v>
      </c>
      <c r="D843" s="11" t="s">
        <v>23</v>
      </c>
      <c r="E843" s="11">
        <v>29</v>
      </c>
      <c r="F843" s="11" t="s">
        <v>38</v>
      </c>
      <c r="G843" s="11" t="s">
        <v>1050</v>
      </c>
      <c r="H843" s="11" t="s">
        <v>26</v>
      </c>
      <c r="I843" s="11" t="s">
        <v>27</v>
      </c>
      <c r="J843" s="11" t="s">
        <v>42</v>
      </c>
      <c r="K843" s="11" t="s">
        <v>43</v>
      </c>
      <c r="L843" s="11" t="s">
        <v>44</v>
      </c>
      <c r="M843" s="11" t="s">
        <v>45</v>
      </c>
      <c r="N843" s="11">
        <v>17800</v>
      </c>
      <c r="O843" s="11">
        <v>3</v>
      </c>
      <c r="P843" s="17">
        <v>0.1</v>
      </c>
      <c r="Q843" s="11">
        <v>4200</v>
      </c>
      <c r="R843" s="11" t="s">
        <v>46</v>
      </c>
      <c r="S843" s="11" t="s">
        <v>33</v>
      </c>
      <c r="T843" s="11" t="s">
        <v>34</v>
      </c>
      <c r="U843" s="11">
        <v>4</v>
      </c>
      <c r="V843" s="11" t="str">
        <f>TEXT('E-Commerce Sales Data'!$B843,"mmmm")</f>
        <v>January</v>
      </c>
      <c r="W843" s="8">
        <f t="shared" si="52"/>
        <v>2044370</v>
      </c>
      <c r="X843">
        <f t="shared" si="53"/>
        <v>359</v>
      </c>
      <c r="Y843">
        <f t="shared" si="54"/>
        <v>32707.130919220057</v>
      </c>
      <c r="Z843">
        <f t="shared" si="55"/>
        <v>55</v>
      </c>
    </row>
    <row r="844" spans="1:26" x14ac:dyDescent="0.25">
      <c r="A844" s="5" t="s">
        <v>1051</v>
      </c>
      <c r="B844" s="6">
        <v>51526</v>
      </c>
      <c r="C844" s="7" t="s">
        <v>1052</v>
      </c>
      <c r="D844" s="7" t="s">
        <v>1053</v>
      </c>
      <c r="E844" s="7">
        <v>37</v>
      </c>
      <c r="F844" s="7" t="s">
        <v>24</v>
      </c>
      <c r="G844" s="7" t="s">
        <v>1054</v>
      </c>
      <c r="H844" s="7" t="s">
        <v>40</v>
      </c>
      <c r="I844" s="7" t="s">
        <v>41</v>
      </c>
      <c r="J844" s="7" t="s">
        <v>28</v>
      </c>
      <c r="K844" s="7" t="s">
        <v>29</v>
      </c>
      <c r="L844" s="7" t="s">
        <v>53</v>
      </c>
      <c r="M844" s="7" t="s">
        <v>54</v>
      </c>
      <c r="N844" s="7">
        <v>41600</v>
      </c>
      <c r="O844" s="7">
        <v>2</v>
      </c>
      <c r="P844" s="16">
        <v>0.05</v>
      </c>
      <c r="Q844" s="7">
        <v>8100</v>
      </c>
      <c r="R844" s="7" t="s">
        <v>55</v>
      </c>
      <c r="S844" s="7" t="s">
        <v>33</v>
      </c>
      <c r="T844" s="7" t="s">
        <v>34</v>
      </c>
      <c r="U844" s="7">
        <v>4</v>
      </c>
      <c r="V844" s="7" t="str">
        <f>TEXT('E-Commerce Sales Data'!$B844,"mmmm")</f>
        <v>January</v>
      </c>
      <c r="W844" s="8">
        <f t="shared" si="52"/>
        <v>2040170</v>
      </c>
      <c r="X844">
        <f t="shared" si="53"/>
        <v>358</v>
      </c>
      <c r="Y844">
        <f t="shared" si="54"/>
        <v>32748.770949720671</v>
      </c>
      <c r="Z844">
        <f t="shared" si="55"/>
        <v>55</v>
      </c>
    </row>
    <row r="845" spans="1:26" x14ac:dyDescent="0.25">
      <c r="A845" s="9" t="s">
        <v>1055</v>
      </c>
      <c r="B845" s="10">
        <v>51533</v>
      </c>
      <c r="C845" s="11" t="s">
        <v>1056</v>
      </c>
      <c r="D845" s="11" t="s">
        <v>1057</v>
      </c>
      <c r="E845" s="11">
        <v>25</v>
      </c>
      <c r="F845" s="11" t="s">
        <v>38</v>
      </c>
      <c r="G845" s="11" t="s">
        <v>1058</v>
      </c>
      <c r="H845" s="11" t="s">
        <v>1059</v>
      </c>
      <c r="I845" s="11" t="s">
        <v>91</v>
      </c>
      <c r="J845" s="11" t="s">
        <v>28</v>
      </c>
      <c r="K845" s="11" t="s">
        <v>60</v>
      </c>
      <c r="L845" s="11" t="s">
        <v>61</v>
      </c>
      <c r="M845" s="11" t="s">
        <v>86</v>
      </c>
      <c r="N845" s="11">
        <v>1240</v>
      </c>
      <c r="O845" s="11">
        <v>20</v>
      </c>
      <c r="P845" s="17">
        <v>0.02</v>
      </c>
      <c r="Q845" s="11">
        <v>360</v>
      </c>
      <c r="R845" s="11" t="s">
        <v>32</v>
      </c>
      <c r="S845" s="11" t="s">
        <v>33</v>
      </c>
      <c r="T845" s="11" t="s">
        <v>34</v>
      </c>
      <c r="U845" s="11">
        <v>5</v>
      </c>
      <c r="V845" s="11" t="str">
        <f>TEXT('E-Commerce Sales Data'!$B845,"mmmm")</f>
        <v>February</v>
      </c>
      <c r="W845" s="8">
        <f t="shared" si="52"/>
        <v>2032070</v>
      </c>
      <c r="X845">
        <f t="shared" si="53"/>
        <v>357</v>
      </c>
      <c r="Y845">
        <f t="shared" si="54"/>
        <v>32723.977591036415</v>
      </c>
      <c r="Z845">
        <f t="shared" si="55"/>
        <v>55</v>
      </c>
    </row>
    <row r="846" spans="1:26" x14ac:dyDescent="0.25">
      <c r="A846" s="5" t="s">
        <v>1060</v>
      </c>
      <c r="B846" s="6">
        <v>51540</v>
      </c>
      <c r="C846" s="7" t="s">
        <v>1061</v>
      </c>
      <c r="D846" s="7" t="s">
        <v>1062</v>
      </c>
      <c r="E846" s="7">
        <v>43</v>
      </c>
      <c r="F846" s="7" t="s">
        <v>24</v>
      </c>
      <c r="G846" s="7" t="s">
        <v>932</v>
      </c>
      <c r="H846" s="7" t="s">
        <v>26</v>
      </c>
      <c r="I846" s="7" t="s">
        <v>27</v>
      </c>
      <c r="J846" s="7" t="s">
        <v>42</v>
      </c>
      <c r="K846" s="7" t="s">
        <v>43</v>
      </c>
      <c r="L846" s="7" t="s">
        <v>68</v>
      </c>
      <c r="M846" s="7" t="s">
        <v>69</v>
      </c>
      <c r="N846" s="7">
        <v>43800</v>
      </c>
      <c r="O846" s="7">
        <v>2</v>
      </c>
      <c r="P846" s="16">
        <v>0.08</v>
      </c>
      <c r="Q846" s="7">
        <v>7560</v>
      </c>
      <c r="R846" s="7" t="s">
        <v>46</v>
      </c>
      <c r="S846" s="7" t="s">
        <v>47</v>
      </c>
      <c r="T846" s="7" t="s">
        <v>34</v>
      </c>
      <c r="U846" s="7">
        <v>4</v>
      </c>
      <c r="V846" s="7" t="str">
        <f>TEXT('E-Commerce Sales Data'!$B846,"mmmm")</f>
        <v>February</v>
      </c>
      <c r="W846" s="8">
        <f t="shared" si="52"/>
        <v>2031710</v>
      </c>
      <c r="X846">
        <f t="shared" si="53"/>
        <v>356</v>
      </c>
      <c r="Y846">
        <f t="shared" si="54"/>
        <v>32812.415730337081</v>
      </c>
      <c r="Z846">
        <f t="shared" si="55"/>
        <v>55</v>
      </c>
    </row>
    <row r="847" spans="1:26" x14ac:dyDescent="0.25">
      <c r="A847" s="9" t="s">
        <v>1063</v>
      </c>
      <c r="B847" s="10">
        <v>51547</v>
      </c>
      <c r="C847" s="11" t="s">
        <v>1064</v>
      </c>
      <c r="D847" s="11" t="s">
        <v>1065</v>
      </c>
      <c r="E847" s="11">
        <v>31</v>
      </c>
      <c r="F847" s="11" t="s">
        <v>38</v>
      </c>
      <c r="G847" s="11" t="s">
        <v>960</v>
      </c>
      <c r="H847" s="11" t="s">
        <v>67</v>
      </c>
      <c r="I847" s="11" t="s">
        <v>27</v>
      </c>
      <c r="J847" s="11" t="s">
        <v>28</v>
      </c>
      <c r="K847" s="11" t="s">
        <v>29</v>
      </c>
      <c r="L847" s="11" t="s">
        <v>53</v>
      </c>
      <c r="M847" s="11" t="s">
        <v>75</v>
      </c>
      <c r="N847" s="11">
        <v>6350</v>
      </c>
      <c r="O847" s="11">
        <v>3</v>
      </c>
      <c r="P847" s="17">
        <v>0.05</v>
      </c>
      <c r="Q847" s="11">
        <v>1680</v>
      </c>
      <c r="R847" s="11" t="s">
        <v>32</v>
      </c>
      <c r="S847" s="11" t="s">
        <v>33</v>
      </c>
      <c r="T847" s="11" t="s">
        <v>34</v>
      </c>
      <c r="U847" s="11">
        <v>4</v>
      </c>
      <c r="V847" s="11" t="str">
        <f>TEXT('E-Commerce Sales Data'!$B847,"mmmm")</f>
        <v>February</v>
      </c>
      <c r="W847" s="8">
        <f t="shared" si="52"/>
        <v>2024150</v>
      </c>
      <c r="X847">
        <f t="shared" si="53"/>
        <v>355</v>
      </c>
      <c r="Y847">
        <f t="shared" si="54"/>
        <v>32781.464788732395</v>
      </c>
      <c r="Z847">
        <f t="shared" si="55"/>
        <v>55</v>
      </c>
    </row>
    <row r="848" spans="1:26" x14ac:dyDescent="0.25">
      <c r="A848" s="5" t="s">
        <v>1066</v>
      </c>
      <c r="B848" s="6">
        <v>51554</v>
      </c>
      <c r="C848" s="7" t="s">
        <v>1067</v>
      </c>
      <c r="D848" s="7" t="s">
        <v>1068</v>
      </c>
      <c r="E848" s="7">
        <v>28</v>
      </c>
      <c r="F848" s="7" t="s">
        <v>24</v>
      </c>
      <c r="G848" s="7" t="s">
        <v>1069</v>
      </c>
      <c r="H848" s="7" t="s">
        <v>26</v>
      </c>
      <c r="I848" s="7" t="s">
        <v>27</v>
      </c>
      <c r="J848" s="7" t="s">
        <v>28</v>
      </c>
      <c r="K848" s="7" t="s">
        <v>29</v>
      </c>
      <c r="L848" s="7" t="s">
        <v>53</v>
      </c>
      <c r="M848" s="7" t="s">
        <v>79</v>
      </c>
      <c r="N848" s="7">
        <v>6900</v>
      </c>
      <c r="O848" s="7">
        <v>6</v>
      </c>
      <c r="P848" s="16">
        <v>0</v>
      </c>
      <c r="Q848" s="7">
        <v>2070</v>
      </c>
      <c r="R848" s="7" t="s">
        <v>80</v>
      </c>
      <c r="S848" s="7" t="s">
        <v>33</v>
      </c>
      <c r="T848" s="7" t="s">
        <v>34</v>
      </c>
      <c r="U848" s="7">
        <v>3</v>
      </c>
      <c r="V848" s="7" t="str">
        <f>TEXT('E-Commerce Sales Data'!$B848,"mmmm")</f>
        <v>February</v>
      </c>
      <c r="W848" s="8">
        <f t="shared" si="52"/>
        <v>2022470</v>
      </c>
      <c r="X848">
        <f t="shared" si="53"/>
        <v>354</v>
      </c>
      <c r="Y848">
        <f t="shared" si="54"/>
        <v>32856.129943502827</v>
      </c>
      <c r="Z848">
        <f t="shared" si="55"/>
        <v>55</v>
      </c>
    </row>
    <row r="849" spans="1:26" x14ac:dyDescent="0.25">
      <c r="A849" s="9" t="s">
        <v>1070</v>
      </c>
      <c r="B849" s="10">
        <v>51561</v>
      </c>
      <c r="C849" s="11" t="s">
        <v>1071</v>
      </c>
      <c r="D849" s="11" t="s">
        <v>1072</v>
      </c>
      <c r="E849" s="11">
        <v>32</v>
      </c>
      <c r="F849" s="11" t="s">
        <v>38</v>
      </c>
      <c r="G849" s="11" t="s">
        <v>84</v>
      </c>
      <c r="H849" s="11" t="s">
        <v>85</v>
      </c>
      <c r="I849" s="11" t="s">
        <v>52</v>
      </c>
      <c r="J849" s="11" t="s">
        <v>42</v>
      </c>
      <c r="K849" s="11" t="s">
        <v>60</v>
      </c>
      <c r="L849" s="11" t="s">
        <v>61</v>
      </c>
      <c r="M849" s="11" t="s">
        <v>62</v>
      </c>
      <c r="N849" s="11">
        <v>10900</v>
      </c>
      <c r="O849" s="11">
        <v>10</v>
      </c>
      <c r="P849" s="17">
        <v>0.02</v>
      </c>
      <c r="Q849" s="11">
        <v>2700</v>
      </c>
      <c r="R849" s="11" t="s">
        <v>32</v>
      </c>
      <c r="S849" s="11" t="s">
        <v>33</v>
      </c>
      <c r="T849" s="11" t="s">
        <v>34</v>
      </c>
      <c r="U849" s="11">
        <v>5</v>
      </c>
      <c r="V849" s="11" t="str">
        <f>TEXT('E-Commerce Sales Data'!$B849,"mmmm")</f>
        <v>March</v>
      </c>
      <c r="W849" s="8">
        <f t="shared" si="52"/>
        <v>2020400</v>
      </c>
      <c r="X849">
        <f t="shared" si="53"/>
        <v>353</v>
      </c>
      <c r="Y849">
        <f t="shared" si="54"/>
        <v>32929.660056657223</v>
      </c>
      <c r="Z849">
        <f t="shared" si="55"/>
        <v>55</v>
      </c>
    </row>
    <row r="850" spans="1:26" x14ac:dyDescent="0.25">
      <c r="A850" s="5" t="s">
        <v>1073</v>
      </c>
      <c r="B850" s="6">
        <v>51568</v>
      </c>
      <c r="C850" s="7" t="s">
        <v>1074</v>
      </c>
      <c r="D850" s="7" t="s">
        <v>1075</v>
      </c>
      <c r="E850" s="7">
        <v>45</v>
      </c>
      <c r="F850" s="7" t="s">
        <v>24</v>
      </c>
      <c r="G850" s="7" t="s">
        <v>1076</v>
      </c>
      <c r="H850" s="7" t="s">
        <v>1045</v>
      </c>
      <c r="I850" s="7" t="s">
        <v>52</v>
      </c>
      <c r="J850" s="7" t="s">
        <v>42</v>
      </c>
      <c r="K850" s="7" t="s">
        <v>43</v>
      </c>
      <c r="L850" s="7" t="s">
        <v>92</v>
      </c>
      <c r="M850" s="7" t="s">
        <v>93</v>
      </c>
      <c r="N850" s="7">
        <v>27200</v>
      </c>
      <c r="O850" s="7">
        <v>1</v>
      </c>
      <c r="P850" s="16">
        <v>0.1</v>
      </c>
      <c r="Q850" s="7">
        <v>4930</v>
      </c>
      <c r="R850" s="7" t="s">
        <v>46</v>
      </c>
      <c r="S850" s="7" t="s">
        <v>47</v>
      </c>
      <c r="T850" s="7" t="s">
        <v>34</v>
      </c>
      <c r="U850" s="7">
        <v>4</v>
      </c>
      <c r="V850" s="7" t="str">
        <f>TEXT('E-Commerce Sales Data'!$B850,"mmmm")</f>
        <v>March</v>
      </c>
      <c r="W850" s="8">
        <f t="shared" si="52"/>
        <v>2017700</v>
      </c>
      <c r="X850">
        <f t="shared" si="53"/>
        <v>352</v>
      </c>
      <c r="Y850">
        <f t="shared" si="54"/>
        <v>32992.244318181816</v>
      </c>
      <c r="Z850">
        <f t="shared" si="55"/>
        <v>55</v>
      </c>
    </row>
    <row r="851" spans="1:26" x14ac:dyDescent="0.25">
      <c r="A851" s="9" t="s">
        <v>1077</v>
      </c>
      <c r="B851" s="10">
        <v>51575</v>
      </c>
      <c r="C851" s="11" t="s">
        <v>1078</v>
      </c>
      <c r="D851" s="11" t="s">
        <v>938</v>
      </c>
      <c r="E851" s="11">
        <v>30</v>
      </c>
      <c r="F851" s="11" t="s">
        <v>38</v>
      </c>
      <c r="G851" s="11" t="s">
        <v>957</v>
      </c>
      <c r="H851" s="11" t="s">
        <v>957</v>
      </c>
      <c r="I851" s="11" t="s">
        <v>52</v>
      </c>
      <c r="J851" s="11" t="s">
        <v>28</v>
      </c>
      <c r="K851" s="11" t="s">
        <v>29</v>
      </c>
      <c r="L851" s="11" t="s">
        <v>96</v>
      </c>
      <c r="M851" s="11" t="s">
        <v>97</v>
      </c>
      <c r="N851" s="11">
        <v>29500</v>
      </c>
      <c r="O851" s="11">
        <v>2</v>
      </c>
      <c r="P851" s="17">
        <v>0.05</v>
      </c>
      <c r="Q851" s="11">
        <v>5680</v>
      </c>
      <c r="R851" s="11" t="s">
        <v>32</v>
      </c>
      <c r="S851" s="11" t="s">
        <v>33</v>
      </c>
      <c r="T851" s="11" t="s">
        <v>34</v>
      </c>
      <c r="U851" s="11">
        <v>4</v>
      </c>
      <c r="V851" s="11" t="str">
        <f>TEXT('E-Commerce Sales Data'!$B851,"mmmm")</f>
        <v>March</v>
      </c>
      <c r="W851" s="8">
        <f t="shared" si="52"/>
        <v>2012770</v>
      </c>
      <c r="X851">
        <f t="shared" si="53"/>
        <v>351</v>
      </c>
      <c r="Y851">
        <f t="shared" si="54"/>
        <v>33008.746438746435</v>
      </c>
      <c r="Z851">
        <f t="shared" si="55"/>
        <v>55</v>
      </c>
    </row>
    <row r="852" spans="1:26" x14ac:dyDescent="0.25">
      <c r="A852" s="5" t="s">
        <v>1079</v>
      </c>
      <c r="B852" s="6">
        <v>51582</v>
      </c>
      <c r="C852" s="7" t="s">
        <v>1080</v>
      </c>
      <c r="D852" s="7" t="s">
        <v>100</v>
      </c>
      <c r="E852" s="7">
        <v>27</v>
      </c>
      <c r="F852" s="7" t="s">
        <v>24</v>
      </c>
      <c r="G852" s="7" t="s">
        <v>1081</v>
      </c>
      <c r="H852" s="7" t="s">
        <v>982</v>
      </c>
      <c r="I852" s="7" t="s">
        <v>52</v>
      </c>
      <c r="J852" s="7" t="s">
        <v>28</v>
      </c>
      <c r="K852" s="7" t="s">
        <v>60</v>
      </c>
      <c r="L852" s="7" t="s">
        <v>53</v>
      </c>
      <c r="M852" s="7" t="s">
        <v>103</v>
      </c>
      <c r="N852" s="7">
        <v>1780</v>
      </c>
      <c r="O852" s="7">
        <v>25</v>
      </c>
      <c r="P852" s="16">
        <v>0</v>
      </c>
      <c r="Q852" s="7">
        <v>560</v>
      </c>
      <c r="R852" s="7" t="s">
        <v>55</v>
      </c>
      <c r="S852" s="7" t="s">
        <v>33</v>
      </c>
      <c r="T852" s="7" t="s">
        <v>34</v>
      </c>
      <c r="U852" s="7">
        <v>5</v>
      </c>
      <c r="V852" s="7" t="str">
        <f>TEXT('E-Commerce Sales Data'!$B852,"mmmm")</f>
        <v>March</v>
      </c>
      <c r="W852" s="8">
        <f t="shared" si="52"/>
        <v>2007090</v>
      </c>
      <c r="X852">
        <f t="shared" si="53"/>
        <v>350</v>
      </c>
      <c r="Y852">
        <f t="shared" si="54"/>
        <v>33018.771428571432</v>
      </c>
      <c r="Z852">
        <f t="shared" si="55"/>
        <v>55</v>
      </c>
    </row>
    <row r="853" spans="1:26" x14ac:dyDescent="0.25">
      <c r="A853" s="9" t="s">
        <v>1082</v>
      </c>
      <c r="B853" s="10">
        <v>51589</v>
      </c>
      <c r="C853" s="11" t="s">
        <v>1083</v>
      </c>
      <c r="D853" s="11" t="s">
        <v>1084</v>
      </c>
      <c r="E853" s="11">
        <v>39</v>
      </c>
      <c r="F853" s="11" t="s">
        <v>38</v>
      </c>
      <c r="G853" s="11" t="s">
        <v>1085</v>
      </c>
      <c r="H853" s="11" t="s">
        <v>85</v>
      </c>
      <c r="I853" s="11" t="s">
        <v>52</v>
      </c>
      <c r="J853" s="11" t="s">
        <v>42</v>
      </c>
      <c r="K853" s="11" t="s">
        <v>43</v>
      </c>
      <c r="L853" s="11" t="s">
        <v>68</v>
      </c>
      <c r="M853" s="11" t="s">
        <v>106</v>
      </c>
      <c r="N853" s="11">
        <v>43700</v>
      </c>
      <c r="O853" s="11">
        <v>1</v>
      </c>
      <c r="P853" s="17">
        <v>0.08</v>
      </c>
      <c r="Q853" s="11">
        <v>9350</v>
      </c>
      <c r="R853" s="11" t="s">
        <v>46</v>
      </c>
      <c r="S853" s="11" t="s">
        <v>47</v>
      </c>
      <c r="T853" s="11" t="s">
        <v>34</v>
      </c>
      <c r="U853" s="11">
        <v>4</v>
      </c>
      <c r="V853" s="11" t="str">
        <f>TEXT('E-Commerce Sales Data'!$B853,"mmmm")</f>
        <v>March</v>
      </c>
      <c r="W853" s="8">
        <f t="shared" si="52"/>
        <v>2006530</v>
      </c>
      <c r="X853">
        <f t="shared" si="53"/>
        <v>349</v>
      </c>
      <c r="Y853">
        <f t="shared" si="54"/>
        <v>33108.280802292262</v>
      </c>
      <c r="Z853">
        <f t="shared" si="55"/>
        <v>55</v>
      </c>
    </row>
    <row r="854" spans="1:26" x14ac:dyDescent="0.25">
      <c r="A854" s="5" t="s">
        <v>1086</v>
      </c>
      <c r="B854" s="6">
        <v>51596</v>
      </c>
      <c r="C854" s="7" t="s">
        <v>22</v>
      </c>
      <c r="D854" s="7" t="s">
        <v>963</v>
      </c>
      <c r="E854" s="7">
        <v>33</v>
      </c>
      <c r="F854" s="7" t="s">
        <v>24</v>
      </c>
      <c r="G854" s="7" t="s">
        <v>1087</v>
      </c>
      <c r="H854" s="7" t="s">
        <v>1088</v>
      </c>
      <c r="I854" s="7" t="s">
        <v>52</v>
      </c>
      <c r="J854" s="7" t="s">
        <v>28</v>
      </c>
      <c r="K854" s="7" t="s">
        <v>29</v>
      </c>
      <c r="L854" s="7" t="s">
        <v>30</v>
      </c>
      <c r="M854" s="7" t="s">
        <v>31</v>
      </c>
      <c r="N854" s="7">
        <v>117500</v>
      </c>
      <c r="O854" s="7">
        <v>1</v>
      </c>
      <c r="P854" s="16">
        <v>0.1</v>
      </c>
      <c r="Q854" s="7">
        <v>14000</v>
      </c>
      <c r="R854" s="7" t="s">
        <v>32</v>
      </c>
      <c r="S854" s="7" t="s">
        <v>47</v>
      </c>
      <c r="T854" s="7" t="s">
        <v>34</v>
      </c>
      <c r="U854" s="7">
        <v>5</v>
      </c>
      <c r="V854" s="7" t="str">
        <f>TEXT('E-Commerce Sales Data'!$B854,"mmmm")</f>
        <v>April</v>
      </c>
      <c r="W854" s="8">
        <f t="shared" si="52"/>
        <v>1997180</v>
      </c>
      <c r="X854">
        <f t="shared" si="53"/>
        <v>348</v>
      </c>
      <c r="Y854">
        <f t="shared" si="54"/>
        <v>33077.84482758621</v>
      </c>
      <c r="Z854">
        <f t="shared" si="55"/>
        <v>55</v>
      </c>
    </row>
    <row r="855" spans="1:26" x14ac:dyDescent="0.25">
      <c r="A855" s="9" t="s">
        <v>1089</v>
      </c>
      <c r="B855" s="10">
        <v>51603</v>
      </c>
      <c r="C855" s="11" t="s">
        <v>1090</v>
      </c>
      <c r="D855" s="11" t="s">
        <v>100</v>
      </c>
      <c r="E855" s="11">
        <v>41</v>
      </c>
      <c r="F855" s="11" t="s">
        <v>38</v>
      </c>
      <c r="G855" s="11" t="s">
        <v>1091</v>
      </c>
      <c r="H855" s="11" t="s">
        <v>982</v>
      </c>
      <c r="I855" s="11" t="s">
        <v>52</v>
      </c>
      <c r="J855" s="11" t="s">
        <v>28</v>
      </c>
      <c r="K855" s="11" t="s">
        <v>60</v>
      </c>
      <c r="L855" s="11" t="s">
        <v>92</v>
      </c>
      <c r="M855" s="11" t="s">
        <v>111</v>
      </c>
      <c r="N855" s="11">
        <v>2340</v>
      </c>
      <c r="O855" s="11">
        <v>15</v>
      </c>
      <c r="P855" s="17">
        <v>0.05</v>
      </c>
      <c r="Q855" s="11">
        <v>765</v>
      </c>
      <c r="R855" s="11" t="s">
        <v>80</v>
      </c>
      <c r="S855" s="11" t="s">
        <v>33</v>
      </c>
      <c r="T855" s="11" t="s">
        <v>34</v>
      </c>
      <c r="U855" s="11">
        <v>4</v>
      </c>
      <c r="V855" s="11" t="str">
        <f>TEXT('E-Commerce Sales Data'!$B855,"mmmm")</f>
        <v>April</v>
      </c>
      <c r="W855" s="8">
        <f t="shared" si="52"/>
        <v>1983180</v>
      </c>
      <c r="X855">
        <f t="shared" si="53"/>
        <v>347</v>
      </c>
      <c r="Y855">
        <f t="shared" si="54"/>
        <v>32834.55331412104</v>
      </c>
      <c r="Z855">
        <f t="shared" si="55"/>
        <v>55</v>
      </c>
    </row>
    <row r="856" spans="1:26" x14ac:dyDescent="0.25">
      <c r="A856" s="5" t="s">
        <v>1092</v>
      </c>
      <c r="B856" s="6">
        <v>51610</v>
      </c>
      <c r="C856" s="7" t="s">
        <v>1093</v>
      </c>
      <c r="D856" s="7" t="s">
        <v>37</v>
      </c>
      <c r="E856" s="7">
        <v>35</v>
      </c>
      <c r="F856" s="7" t="s">
        <v>24</v>
      </c>
      <c r="G856" s="7" t="s">
        <v>960</v>
      </c>
      <c r="H856" s="7" t="s">
        <v>67</v>
      </c>
      <c r="I856" s="7" t="s">
        <v>27</v>
      </c>
      <c r="J856" s="7" t="s">
        <v>42</v>
      </c>
      <c r="K856" s="7" t="s">
        <v>43</v>
      </c>
      <c r="L856" s="7" t="s">
        <v>44</v>
      </c>
      <c r="M856" s="7" t="s">
        <v>45</v>
      </c>
      <c r="N856" s="7">
        <v>22400</v>
      </c>
      <c r="O856" s="7">
        <v>4</v>
      </c>
      <c r="P856" s="16">
        <v>7.0000000000000007E-2</v>
      </c>
      <c r="Q856" s="7">
        <v>5150</v>
      </c>
      <c r="R856" s="7" t="s">
        <v>46</v>
      </c>
      <c r="S856" s="7" t="s">
        <v>33</v>
      </c>
      <c r="T856" s="7" t="s">
        <v>34</v>
      </c>
      <c r="U856" s="7">
        <v>4</v>
      </c>
      <c r="V856" s="7" t="str">
        <f>TEXT('E-Commerce Sales Data'!$B856,"mmmm")</f>
        <v>April</v>
      </c>
      <c r="W856" s="8">
        <f t="shared" si="52"/>
        <v>1982415</v>
      </c>
      <c r="X856">
        <f t="shared" si="53"/>
        <v>346</v>
      </c>
      <c r="Y856">
        <f t="shared" si="54"/>
        <v>32922.687861271676</v>
      </c>
      <c r="Z856">
        <f t="shared" si="55"/>
        <v>55</v>
      </c>
    </row>
    <row r="857" spans="1:26" x14ac:dyDescent="0.25">
      <c r="A857" s="9" t="s">
        <v>1094</v>
      </c>
      <c r="B857" s="10">
        <v>51617</v>
      </c>
      <c r="C857" s="11" t="s">
        <v>1095</v>
      </c>
      <c r="D857" s="11" t="s">
        <v>114</v>
      </c>
      <c r="E857" s="11">
        <v>29</v>
      </c>
      <c r="F857" s="11" t="s">
        <v>38</v>
      </c>
      <c r="G857" s="11" t="s">
        <v>25</v>
      </c>
      <c r="H857" s="11" t="s">
        <v>26</v>
      </c>
      <c r="I857" s="11" t="s">
        <v>27</v>
      </c>
      <c r="J857" s="11" t="s">
        <v>28</v>
      </c>
      <c r="K857" s="11" t="s">
        <v>29</v>
      </c>
      <c r="L857" s="11" t="s">
        <v>53</v>
      </c>
      <c r="M857" s="11" t="s">
        <v>54</v>
      </c>
      <c r="N857" s="11">
        <v>44600</v>
      </c>
      <c r="O857" s="11">
        <v>2</v>
      </c>
      <c r="P857" s="17">
        <v>0.05</v>
      </c>
      <c r="Q857" s="11">
        <v>8750</v>
      </c>
      <c r="R857" s="11" t="s">
        <v>32</v>
      </c>
      <c r="S857" s="11" t="s">
        <v>47</v>
      </c>
      <c r="T857" s="11" t="s">
        <v>34</v>
      </c>
      <c r="U857" s="11">
        <v>5</v>
      </c>
      <c r="V857" s="11" t="str">
        <f>TEXT('E-Commerce Sales Data'!$B857,"mmmm")</f>
        <v>April</v>
      </c>
      <c r="W857" s="8">
        <f t="shared" si="52"/>
        <v>1977265</v>
      </c>
      <c r="X857">
        <f t="shared" si="53"/>
        <v>345</v>
      </c>
      <c r="Y857">
        <f t="shared" si="54"/>
        <v>32953.188405797104</v>
      </c>
      <c r="Z857">
        <f t="shared" si="55"/>
        <v>55</v>
      </c>
    </row>
    <row r="858" spans="1:26" x14ac:dyDescent="0.25">
      <c r="A858" s="5" t="s">
        <v>1096</v>
      </c>
      <c r="B858" s="6">
        <v>51624</v>
      </c>
      <c r="C858" s="7" t="s">
        <v>1097</v>
      </c>
      <c r="D858" s="7" t="s">
        <v>1098</v>
      </c>
      <c r="E858" s="7">
        <v>46</v>
      </c>
      <c r="F858" s="7" t="s">
        <v>24</v>
      </c>
      <c r="G858" s="7" t="s">
        <v>66</v>
      </c>
      <c r="H858" s="7" t="s">
        <v>67</v>
      </c>
      <c r="I858" s="7" t="s">
        <v>27</v>
      </c>
      <c r="J858" s="7" t="s">
        <v>42</v>
      </c>
      <c r="K858" s="7" t="s">
        <v>60</v>
      </c>
      <c r="L858" s="7" t="s">
        <v>61</v>
      </c>
      <c r="M858" s="7" t="s">
        <v>62</v>
      </c>
      <c r="N858" s="7">
        <v>11100</v>
      </c>
      <c r="O858" s="7">
        <v>10</v>
      </c>
      <c r="P858" s="16">
        <v>0.03</v>
      </c>
      <c r="Q858" s="7">
        <v>2760</v>
      </c>
      <c r="R858" s="7" t="s">
        <v>55</v>
      </c>
      <c r="S858" s="7" t="s">
        <v>33</v>
      </c>
      <c r="T858" s="7" t="s">
        <v>34</v>
      </c>
      <c r="U858" s="7">
        <v>4</v>
      </c>
      <c r="V858" s="7" t="str">
        <f>TEXT('E-Commerce Sales Data'!$B858,"mmmm")</f>
        <v>May</v>
      </c>
      <c r="W858" s="8">
        <f t="shared" si="52"/>
        <v>1968515</v>
      </c>
      <c r="X858">
        <f t="shared" si="53"/>
        <v>344</v>
      </c>
      <c r="Y858">
        <f t="shared" si="54"/>
        <v>32919.33139534884</v>
      </c>
      <c r="Z858">
        <f t="shared" si="55"/>
        <v>55</v>
      </c>
    </row>
    <row r="859" spans="1:26" x14ac:dyDescent="0.25">
      <c r="A859" s="9" t="s">
        <v>1099</v>
      </c>
      <c r="B859" s="10">
        <v>51631</v>
      </c>
      <c r="C859" s="11" t="s">
        <v>1100</v>
      </c>
      <c r="D859" s="11" t="s">
        <v>985</v>
      </c>
      <c r="E859" s="11">
        <v>24</v>
      </c>
      <c r="F859" s="11" t="s">
        <v>38</v>
      </c>
      <c r="G859" s="11" t="s">
        <v>964</v>
      </c>
      <c r="H859" s="11" t="s">
        <v>965</v>
      </c>
      <c r="I859" s="11" t="s">
        <v>966</v>
      </c>
      <c r="J859" s="11" t="s">
        <v>28</v>
      </c>
      <c r="K859" s="11" t="s">
        <v>43</v>
      </c>
      <c r="L859" s="11" t="s">
        <v>68</v>
      </c>
      <c r="M859" s="11" t="s">
        <v>69</v>
      </c>
      <c r="N859" s="11">
        <v>41900</v>
      </c>
      <c r="O859" s="11">
        <v>2</v>
      </c>
      <c r="P859" s="17">
        <v>0.1</v>
      </c>
      <c r="Q859" s="11">
        <v>6840</v>
      </c>
      <c r="R859" s="11" t="s">
        <v>32</v>
      </c>
      <c r="S859" s="11" t="s">
        <v>47</v>
      </c>
      <c r="T859" s="11" t="s">
        <v>34</v>
      </c>
      <c r="U859" s="11">
        <v>5</v>
      </c>
      <c r="V859" s="11" t="str">
        <f>TEXT('E-Commerce Sales Data'!$B859,"mmmm")</f>
        <v>May</v>
      </c>
      <c r="W859" s="8">
        <f t="shared" si="52"/>
        <v>1965755</v>
      </c>
      <c r="X859">
        <f t="shared" si="53"/>
        <v>343</v>
      </c>
      <c r="Y859">
        <f t="shared" si="54"/>
        <v>32982.944606413992</v>
      </c>
      <c r="Z859">
        <f t="shared" si="55"/>
        <v>55</v>
      </c>
    </row>
    <row r="860" spans="1:26" x14ac:dyDescent="0.25">
      <c r="A860" s="5" t="s">
        <v>1101</v>
      </c>
      <c r="B860" s="6">
        <v>51638</v>
      </c>
      <c r="C860" s="7" t="s">
        <v>1102</v>
      </c>
      <c r="D860" s="7" t="s">
        <v>1103</v>
      </c>
      <c r="E860" s="7">
        <v>38</v>
      </c>
      <c r="F860" s="7" t="s">
        <v>24</v>
      </c>
      <c r="G860" s="7" t="s">
        <v>970</v>
      </c>
      <c r="H860" s="7" t="s">
        <v>971</v>
      </c>
      <c r="I860" s="7" t="s">
        <v>52</v>
      </c>
      <c r="J860" s="7" t="s">
        <v>42</v>
      </c>
      <c r="K860" s="7" t="s">
        <v>29</v>
      </c>
      <c r="L860" s="7" t="s">
        <v>53</v>
      </c>
      <c r="M860" s="7" t="s">
        <v>75</v>
      </c>
      <c r="N860" s="7">
        <v>6650</v>
      </c>
      <c r="O860" s="7">
        <v>4</v>
      </c>
      <c r="P860" s="16">
        <v>0.05</v>
      </c>
      <c r="Q860" s="7">
        <v>1760</v>
      </c>
      <c r="R860" s="7" t="s">
        <v>46</v>
      </c>
      <c r="S860" s="7" t="s">
        <v>33</v>
      </c>
      <c r="T860" s="7" t="s">
        <v>34</v>
      </c>
      <c r="U860" s="7">
        <v>3</v>
      </c>
      <c r="V860" s="7" t="str">
        <f>TEXT('E-Commerce Sales Data'!$B860,"mmmm")</f>
        <v>May</v>
      </c>
      <c r="W860" s="8">
        <f t="shared" si="52"/>
        <v>1958915</v>
      </c>
      <c r="X860">
        <f t="shared" si="53"/>
        <v>342</v>
      </c>
      <c r="Y860">
        <f t="shared" si="54"/>
        <v>32956.871345029242</v>
      </c>
      <c r="Z860">
        <f t="shared" si="55"/>
        <v>55</v>
      </c>
    </row>
    <row r="861" spans="1:26" x14ac:dyDescent="0.25">
      <c r="A861" s="9" t="s">
        <v>1104</v>
      </c>
      <c r="B861" s="10">
        <v>51645</v>
      </c>
      <c r="C861" s="11" t="s">
        <v>1105</v>
      </c>
      <c r="D861" s="11" t="s">
        <v>1106</v>
      </c>
      <c r="E861" s="11">
        <v>26</v>
      </c>
      <c r="F861" s="11" t="s">
        <v>38</v>
      </c>
      <c r="G861" s="11" t="s">
        <v>89</v>
      </c>
      <c r="H861" s="11" t="s">
        <v>90</v>
      </c>
      <c r="I861" s="11" t="s">
        <v>91</v>
      </c>
      <c r="J861" s="11" t="s">
        <v>28</v>
      </c>
      <c r="K861" s="11" t="s">
        <v>29</v>
      </c>
      <c r="L861" s="11" t="s">
        <v>53</v>
      </c>
      <c r="M861" s="11" t="s">
        <v>79</v>
      </c>
      <c r="N861" s="11">
        <v>7000</v>
      </c>
      <c r="O861" s="11">
        <v>7</v>
      </c>
      <c r="P861" s="17">
        <v>0</v>
      </c>
      <c r="Q861" s="11">
        <v>2100</v>
      </c>
      <c r="R861" s="11" t="s">
        <v>32</v>
      </c>
      <c r="S861" s="11" t="s">
        <v>33</v>
      </c>
      <c r="T861" s="11" t="s">
        <v>34</v>
      </c>
      <c r="U861" s="11">
        <v>4</v>
      </c>
      <c r="V861" s="11" t="str">
        <f>TEXT('E-Commerce Sales Data'!$B861,"mmmm")</f>
        <v>May</v>
      </c>
      <c r="W861" s="8">
        <f t="shared" si="52"/>
        <v>1957155</v>
      </c>
      <c r="X861">
        <f t="shared" si="53"/>
        <v>341</v>
      </c>
      <c r="Y861">
        <f t="shared" si="54"/>
        <v>33034.017595307916</v>
      </c>
      <c r="Z861">
        <f t="shared" si="55"/>
        <v>55</v>
      </c>
    </row>
    <row r="862" spans="1:26" x14ac:dyDescent="0.25">
      <c r="A862" s="5" t="s">
        <v>1107</v>
      </c>
      <c r="B862" s="6">
        <v>51652</v>
      </c>
      <c r="C862" s="7" t="s">
        <v>1108</v>
      </c>
      <c r="D862" s="7" t="s">
        <v>931</v>
      </c>
      <c r="E862" s="7">
        <v>44</v>
      </c>
      <c r="F862" s="7" t="s">
        <v>24</v>
      </c>
      <c r="G862" s="7" t="s">
        <v>914</v>
      </c>
      <c r="H862" s="7" t="s">
        <v>26</v>
      </c>
      <c r="I862" s="7" t="s">
        <v>27</v>
      </c>
      <c r="J862" s="7" t="s">
        <v>28</v>
      </c>
      <c r="K862" s="7" t="s">
        <v>29</v>
      </c>
      <c r="L862" s="7" t="s">
        <v>30</v>
      </c>
      <c r="M862" s="7" t="s">
        <v>31</v>
      </c>
      <c r="N862" s="7">
        <v>113500</v>
      </c>
      <c r="O862" s="7">
        <v>1</v>
      </c>
      <c r="P862" s="16">
        <v>0.05</v>
      </c>
      <c r="Q862" s="7">
        <v>15100</v>
      </c>
      <c r="R862" s="7" t="s">
        <v>32</v>
      </c>
      <c r="S862" s="7" t="s">
        <v>47</v>
      </c>
      <c r="T862" s="7" t="s">
        <v>34</v>
      </c>
      <c r="U862" s="7">
        <v>5</v>
      </c>
      <c r="V862" s="7" t="str">
        <f>TEXT('E-Commerce Sales Data'!$B862,"mmmm")</f>
        <v>May</v>
      </c>
      <c r="W862" s="8">
        <f t="shared" si="52"/>
        <v>1955055</v>
      </c>
      <c r="X862">
        <f t="shared" si="53"/>
        <v>340</v>
      </c>
      <c r="Y862">
        <f t="shared" si="54"/>
        <v>33110.588235294119</v>
      </c>
      <c r="Z862">
        <f t="shared" si="55"/>
        <v>55</v>
      </c>
    </row>
    <row r="863" spans="1:26" x14ac:dyDescent="0.25">
      <c r="A863" s="9" t="s">
        <v>1109</v>
      </c>
      <c r="B863" s="10">
        <v>51659</v>
      </c>
      <c r="C863" s="11" t="s">
        <v>1110</v>
      </c>
      <c r="D863" s="11" t="s">
        <v>1111</v>
      </c>
      <c r="E863" s="11">
        <v>32</v>
      </c>
      <c r="F863" s="11" t="s">
        <v>38</v>
      </c>
      <c r="G863" s="11" t="s">
        <v>73</v>
      </c>
      <c r="H863" s="11" t="s">
        <v>74</v>
      </c>
      <c r="I863" s="11" t="s">
        <v>41</v>
      </c>
      <c r="J863" s="11" t="s">
        <v>42</v>
      </c>
      <c r="K863" s="11" t="s">
        <v>43</v>
      </c>
      <c r="L863" s="11" t="s">
        <v>44</v>
      </c>
      <c r="M863" s="11" t="s">
        <v>45</v>
      </c>
      <c r="N863" s="11">
        <v>18200</v>
      </c>
      <c r="O863" s="11">
        <v>3</v>
      </c>
      <c r="P863" s="17">
        <v>0.1</v>
      </c>
      <c r="Q863" s="11">
        <v>4280</v>
      </c>
      <c r="R863" s="11" t="s">
        <v>46</v>
      </c>
      <c r="S863" s="11" t="s">
        <v>33</v>
      </c>
      <c r="T863" s="11" t="s">
        <v>34</v>
      </c>
      <c r="U863" s="11">
        <v>4</v>
      </c>
      <c r="V863" s="11" t="str">
        <f>TEXT('E-Commerce Sales Data'!$B863,"mmmm")</f>
        <v>June</v>
      </c>
      <c r="W863" s="8">
        <f t="shared" si="52"/>
        <v>1939955</v>
      </c>
      <c r="X863">
        <f t="shared" si="53"/>
        <v>339</v>
      </c>
      <c r="Y863">
        <f t="shared" si="54"/>
        <v>32873.451327433628</v>
      </c>
      <c r="Z863">
        <f t="shared" si="55"/>
        <v>55</v>
      </c>
    </row>
    <row r="864" spans="1:26" x14ac:dyDescent="0.25">
      <c r="A864" s="5" t="s">
        <v>1112</v>
      </c>
      <c r="B864" s="6">
        <v>51666</v>
      </c>
      <c r="C864" s="7" t="s">
        <v>1113</v>
      </c>
      <c r="D864" s="7" t="s">
        <v>1114</v>
      </c>
      <c r="E864" s="7">
        <v>30</v>
      </c>
      <c r="F864" s="7" t="s">
        <v>24</v>
      </c>
      <c r="G864" s="7" t="s">
        <v>953</v>
      </c>
      <c r="H864" s="7" t="s">
        <v>953</v>
      </c>
      <c r="I864" s="7" t="s">
        <v>27</v>
      </c>
      <c r="J864" s="7" t="s">
        <v>28</v>
      </c>
      <c r="K864" s="7" t="s">
        <v>29</v>
      </c>
      <c r="L864" s="7" t="s">
        <v>53</v>
      </c>
      <c r="M864" s="7" t="s">
        <v>54</v>
      </c>
      <c r="N864" s="7">
        <v>42300</v>
      </c>
      <c r="O864" s="7">
        <v>2</v>
      </c>
      <c r="P864" s="16">
        <v>0.05</v>
      </c>
      <c r="Q864" s="7">
        <v>8250</v>
      </c>
      <c r="R864" s="7" t="s">
        <v>55</v>
      </c>
      <c r="S864" s="7" t="s">
        <v>33</v>
      </c>
      <c r="T864" s="7" t="s">
        <v>34</v>
      </c>
      <c r="U864" s="7">
        <v>4</v>
      </c>
      <c r="V864" s="7" t="str">
        <f>TEXT('E-Commerce Sales Data'!$B864,"mmmm")</f>
        <v>June</v>
      </c>
      <c r="W864" s="8">
        <f t="shared" si="52"/>
        <v>1935675</v>
      </c>
      <c r="X864">
        <f t="shared" si="53"/>
        <v>338</v>
      </c>
      <c r="Y864">
        <f t="shared" si="54"/>
        <v>32916.863905325445</v>
      </c>
      <c r="Z864">
        <f t="shared" si="55"/>
        <v>55</v>
      </c>
    </row>
    <row r="865" spans="1:26" x14ac:dyDescent="0.25">
      <c r="A865" s="9" t="s">
        <v>1115</v>
      </c>
      <c r="B865" s="10">
        <v>51673</v>
      </c>
      <c r="C865" s="11" t="s">
        <v>1116</v>
      </c>
      <c r="D865" s="11" t="s">
        <v>1117</v>
      </c>
      <c r="E865" s="11">
        <v>28</v>
      </c>
      <c r="F865" s="11" t="s">
        <v>38</v>
      </c>
      <c r="G865" s="11" t="s">
        <v>59</v>
      </c>
      <c r="H865" s="11" t="s">
        <v>26</v>
      </c>
      <c r="I865" s="11" t="s">
        <v>27</v>
      </c>
      <c r="J865" s="11" t="s">
        <v>28</v>
      </c>
      <c r="K865" s="11" t="s">
        <v>60</v>
      </c>
      <c r="L865" s="11" t="s">
        <v>61</v>
      </c>
      <c r="M865" s="11" t="s">
        <v>86</v>
      </c>
      <c r="N865" s="11">
        <v>1270</v>
      </c>
      <c r="O865" s="11">
        <v>20</v>
      </c>
      <c r="P865" s="17">
        <v>0.02</v>
      </c>
      <c r="Q865" s="11">
        <v>370</v>
      </c>
      <c r="R865" s="11" t="s">
        <v>32</v>
      </c>
      <c r="S865" s="11" t="s">
        <v>33</v>
      </c>
      <c r="T865" s="11" t="s">
        <v>34</v>
      </c>
      <c r="U865" s="11">
        <v>5</v>
      </c>
      <c r="V865" s="11" t="str">
        <f>TEXT('E-Commerce Sales Data'!$B865,"mmmm")</f>
        <v>June</v>
      </c>
      <c r="W865" s="8">
        <f t="shared" si="52"/>
        <v>1927425</v>
      </c>
      <c r="X865">
        <f t="shared" si="53"/>
        <v>337</v>
      </c>
      <c r="Y865">
        <f t="shared" si="54"/>
        <v>32889.020771513351</v>
      </c>
      <c r="Z865">
        <f t="shared" si="55"/>
        <v>55</v>
      </c>
    </row>
    <row r="866" spans="1:26" x14ac:dyDescent="0.25">
      <c r="A866" s="5" t="s">
        <v>1118</v>
      </c>
      <c r="B866" s="6">
        <v>51680</v>
      </c>
      <c r="C866" s="7" t="s">
        <v>1119</v>
      </c>
      <c r="D866" s="7" t="s">
        <v>938</v>
      </c>
      <c r="E866" s="7">
        <v>41</v>
      </c>
      <c r="F866" s="7" t="s">
        <v>24</v>
      </c>
      <c r="G866" s="7" t="s">
        <v>51</v>
      </c>
      <c r="H866" s="7" t="s">
        <v>51</v>
      </c>
      <c r="I866" s="7" t="s">
        <v>52</v>
      </c>
      <c r="J866" s="7" t="s">
        <v>42</v>
      </c>
      <c r="K866" s="7" t="s">
        <v>43</v>
      </c>
      <c r="L866" s="7" t="s">
        <v>68</v>
      </c>
      <c r="M866" s="7" t="s">
        <v>69</v>
      </c>
      <c r="N866" s="7">
        <v>44600</v>
      </c>
      <c r="O866" s="7">
        <v>2</v>
      </c>
      <c r="P866" s="16">
        <v>0.08</v>
      </c>
      <c r="Q866" s="7">
        <v>7720</v>
      </c>
      <c r="R866" s="7" t="s">
        <v>46</v>
      </c>
      <c r="S866" s="7" t="s">
        <v>47</v>
      </c>
      <c r="T866" s="7" t="s">
        <v>34</v>
      </c>
      <c r="U866" s="7">
        <v>4</v>
      </c>
      <c r="V866" s="7" t="str">
        <f>TEXT('E-Commerce Sales Data'!$B866,"mmmm")</f>
        <v>June</v>
      </c>
      <c r="W866" s="8">
        <f t="shared" si="52"/>
        <v>1927055</v>
      </c>
      <c r="X866">
        <f t="shared" si="53"/>
        <v>336</v>
      </c>
      <c r="Y866">
        <f t="shared" si="54"/>
        <v>32983.125</v>
      </c>
      <c r="Z866">
        <f t="shared" si="55"/>
        <v>55</v>
      </c>
    </row>
    <row r="867" spans="1:26" x14ac:dyDescent="0.25">
      <c r="A867" s="9" t="s">
        <v>1120</v>
      </c>
      <c r="B867" s="10">
        <v>51687</v>
      </c>
      <c r="C867" s="11" t="s">
        <v>1121</v>
      </c>
      <c r="D867" s="11" t="s">
        <v>1019</v>
      </c>
      <c r="E867" s="11">
        <v>34</v>
      </c>
      <c r="F867" s="11" t="s">
        <v>38</v>
      </c>
      <c r="G867" s="11" t="s">
        <v>981</v>
      </c>
      <c r="H867" s="11" t="s">
        <v>982</v>
      </c>
      <c r="I867" s="11" t="s">
        <v>52</v>
      </c>
      <c r="J867" s="11" t="s">
        <v>28</v>
      </c>
      <c r="K867" s="11" t="s">
        <v>29</v>
      </c>
      <c r="L867" s="11" t="s">
        <v>53</v>
      </c>
      <c r="M867" s="11" t="s">
        <v>75</v>
      </c>
      <c r="N867" s="11">
        <v>6450</v>
      </c>
      <c r="O867" s="11">
        <v>3</v>
      </c>
      <c r="P867" s="17">
        <v>0.05</v>
      </c>
      <c r="Q867" s="11">
        <v>1710</v>
      </c>
      <c r="R867" s="11" t="s">
        <v>32</v>
      </c>
      <c r="S867" s="11" t="s">
        <v>33</v>
      </c>
      <c r="T867" s="11" t="s">
        <v>34</v>
      </c>
      <c r="U867" s="11">
        <v>4</v>
      </c>
      <c r="V867" s="11" t="str">
        <f>TEXT('E-Commerce Sales Data'!$B867,"mmmm")</f>
        <v>July</v>
      </c>
      <c r="W867" s="8">
        <f t="shared" si="52"/>
        <v>1919335</v>
      </c>
      <c r="X867">
        <f t="shared" si="53"/>
        <v>335</v>
      </c>
      <c r="Y867">
        <f t="shared" si="54"/>
        <v>32948.447761194031</v>
      </c>
      <c r="Z867">
        <f t="shared" si="55"/>
        <v>55</v>
      </c>
    </row>
    <row r="868" spans="1:26" x14ac:dyDescent="0.25">
      <c r="A868" s="5" t="s">
        <v>1122</v>
      </c>
      <c r="B868" s="6">
        <v>51694</v>
      </c>
      <c r="C868" s="7" t="s">
        <v>1123</v>
      </c>
      <c r="D868" s="7" t="s">
        <v>1124</v>
      </c>
      <c r="E868" s="7">
        <v>29</v>
      </c>
      <c r="F868" s="7" t="s">
        <v>24</v>
      </c>
      <c r="G868" s="7" t="s">
        <v>1125</v>
      </c>
      <c r="H868" s="7" t="s">
        <v>26</v>
      </c>
      <c r="I868" s="7" t="s">
        <v>27</v>
      </c>
      <c r="J868" s="7" t="s">
        <v>28</v>
      </c>
      <c r="K868" s="7" t="s">
        <v>29</v>
      </c>
      <c r="L868" s="7" t="s">
        <v>53</v>
      </c>
      <c r="M868" s="7" t="s">
        <v>79</v>
      </c>
      <c r="N868" s="7">
        <v>7100</v>
      </c>
      <c r="O868" s="7">
        <v>6</v>
      </c>
      <c r="P868" s="16">
        <v>0</v>
      </c>
      <c r="Q868" s="7">
        <v>2130</v>
      </c>
      <c r="R868" s="7" t="s">
        <v>80</v>
      </c>
      <c r="S868" s="7" t="s">
        <v>33</v>
      </c>
      <c r="T868" s="7" t="s">
        <v>34</v>
      </c>
      <c r="U868" s="7">
        <v>3</v>
      </c>
      <c r="V868" s="7" t="str">
        <f>TEXT('E-Commerce Sales Data'!$B868,"mmmm")</f>
        <v>July</v>
      </c>
      <c r="W868" s="8">
        <f t="shared" si="52"/>
        <v>1917625</v>
      </c>
      <c r="X868">
        <f t="shared" si="53"/>
        <v>334</v>
      </c>
      <c r="Y868">
        <f t="shared" si="54"/>
        <v>33027.784431137727</v>
      </c>
      <c r="Z868">
        <f t="shared" si="55"/>
        <v>55</v>
      </c>
    </row>
    <row r="869" spans="1:26" x14ac:dyDescent="0.25">
      <c r="A869" s="9" t="s">
        <v>1126</v>
      </c>
      <c r="B869" s="10">
        <v>51701</v>
      </c>
      <c r="C869" s="11" t="s">
        <v>1127</v>
      </c>
      <c r="D869" s="11" t="s">
        <v>1128</v>
      </c>
      <c r="E869" s="11">
        <v>36</v>
      </c>
      <c r="F869" s="11" t="s">
        <v>38</v>
      </c>
      <c r="G869" s="11" t="s">
        <v>1129</v>
      </c>
      <c r="H869" s="11" t="s">
        <v>1130</v>
      </c>
      <c r="I869" s="11" t="s">
        <v>91</v>
      </c>
      <c r="J869" s="11" t="s">
        <v>42</v>
      </c>
      <c r="K869" s="11" t="s">
        <v>60</v>
      </c>
      <c r="L869" s="11" t="s">
        <v>61</v>
      </c>
      <c r="M869" s="11" t="s">
        <v>62</v>
      </c>
      <c r="N869" s="11">
        <v>11300</v>
      </c>
      <c r="O869" s="11">
        <v>10</v>
      </c>
      <c r="P869" s="17">
        <v>0.02</v>
      </c>
      <c r="Q869" s="11">
        <v>2800</v>
      </c>
      <c r="R869" s="11" t="s">
        <v>32</v>
      </c>
      <c r="S869" s="11" t="s">
        <v>33</v>
      </c>
      <c r="T869" s="11" t="s">
        <v>34</v>
      </c>
      <c r="U869" s="11">
        <v>5</v>
      </c>
      <c r="V869" s="11" t="str">
        <f>TEXT('E-Commerce Sales Data'!$B869,"mmmm")</f>
        <v>July</v>
      </c>
      <c r="W869" s="8">
        <f t="shared" si="52"/>
        <v>1915495</v>
      </c>
      <c r="X869">
        <f t="shared" si="53"/>
        <v>333</v>
      </c>
      <c r="Y869">
        <f t="shared" si="54"/>
        <v>33105.645645645644</v>
      </c>
      <c r="Z869">
        <f t="shared" si="55"/>
        <v>55</v>
      </c>
    </row>
    <row r="870" spans="1:26" x14ac:dyDescent="0.25">
      <c r="A870" s="5" t="s">
        <v>1131</v>
      </c>
      <c r="B870" s="6">
        <v>51708</v>
      </c>
      <c r="C870" s="7" t="s">
        <v>1132</v>
      </c>
      <c r="D870" s="7" t="s">
        <v>1133</v>
      </c>
      <c r="E870" s="7">
        <v>43</v>
      </c>
      <c r="F870" s="7" t="s">
        <v>38</v>
      </c>
      <c r="G870" s="7" t="s">
        <v>1009</v>
      </c>
      <c r="H870" s="7" t="s">
        <v>1010</v>
      </c>
      <c r="I870" s="7" t="s">
        <v>41</v>
      </c>
      <c r="J870" s="7" t="s">
        <v>42</v>
      </c>
      <c r="K870" s="7" t="s">
        <v>43</v>
      </c>
      <c r="L870" s="7" t="s">
        <v>92</v>
      </c>
      <c r="M870" s="7" t="s">
        <v>93</v>
      </c>
      <c r="N870" s="7">
        <v>27700</v>
      </c>
      <c r="O870" s="7">
        <v>1</v>
      </c>
      <c r="P870" s="16">
        <v>0.1</v>
      </c>
      <c r="Q870" s="7">
        <v>5020</v>
      </c>
      <c r="R870" s="7" t="s">
        <v>46</v>
      </c>
      <c r="S870" s="7" t="s">
        <v>47</v>
      </c>
      <c r="T870" s="7" t="s">
        <v>34</v>
      </c>
      <c r="U870" s="7">
        <v>4</v>
      </c>
      <c r="V870" s="7" t="str">
        <f>TEXT('E-Commerce Sales Data'!$B870,"mmmm")</f>
        <v>July</v>
      </c>
      <c r="W870" s="8">
        <f t="shared" si="52"/>
        <v>1912695</v>
      </c>
      <c r="X870">
        <f t="shared" si="53"/>
        <v>332</v>
      </c>
      <c r="Y870">
        <f t="shared" si="54"/>
        <v>33171.325301204823</v>
      </c>
      <c r="Z870">
        <f t="shared" si="55"/>
        <v>55</v>
      </c>
    </row>
    <row r="871" spans="1:26" x14ac:dyDescent="0.25">
      <c r="A871" s="9" t="s">
        <v>1134</v>
      </c>
      <c r="B871" s="10">
        <v>51715</v>
      </c>
      <c r="C871" s="11" t="s">
        <v>1135</v>
      </c>
      <c r="D871" s="11" t="s">
        <v>1008</v>
      </c>
      <c r="E871" s="11">
        <v>47</v>
      </c>
      <c r="F871" s="11" t="s">
        <v>24</v>
      </c>
      <c r="G871" s="11" t="s">
        <v>1136</v>
      </c>
      <c r="H871" s="11" t="s">
        <v>1010</v>
      </c>
      <c r="I871" s="11" t="s">
        <v>41</v>
      </c>
      <c r="J871" s="11" t="s">
        <v>28</v>
      </c>
      <c r="K871" s="11" t="s">
        <v>29</v>
      </c>
      <c r="L871" s="11" t="s">
        <v>96</v>
      </c>
      <c r="M871" s="11" t="s">
        <v>97</v>
      </c>
      <c r="N871" s="11">
        <v>30000</v>
      </c>
      <c r="O871" s="11">
        <v>2</v>
      </c>
      <c r="P871" s="17">
        <v>0.05</v>
      </c>
      <c r="Q871" s="11">
        <v>5760</v>
      </c>
      <c r="R871" s="11" t="s">
        <v>32</v>
      </c>
      <c r="S871" s="11" t="s">
        <v>33</v>
      </c>
      <c r="T871" s="11" t="s">
        <v>34</v>
      </c>
      <c r="U871" s="11">
        <v>4</v>
      </c>
      <c r="V871" s="11" t="str">
        <f>TEXT('E-Commerce Sales Data'!$B871,"mmmm")</f>
        <v>August</v>
      </c>
      <c r="W871" s="8">
        <f t="shared" si="52"/>
        <v>1907675</v>
      </c>
      <c r="X871">
        <f t="shared" si="53"/>
        <v>331</v>
      </c>
      <c r="Y871">
        <f t="shared" si="54"/>
        <v>33187.854984894257</v>
      </c>
      <c r="Z871">
        <f t="shared" si="55"/>
        <v>55</v>
      </c>
    </row>
    <row r="872" spans="1:26" x14ac:dyDescent="0.25">
      <c r="A872" s="5" t="s">
        <v>1137</v>
      </c>
      <c r="B872" s="6">
        <v>51722</v>
      </c>
      <c r="C872" s="7" t="s">
        <v>1138</v>
      </c>
      <c r="D872" s="7" t="s">
        <v>83</v>
      </c>
      <c r="E872" s="7">
        <v>31</v>
      </c>
      <c r="F872" s="7" t="s">
        <v>24</v>
      </c>
      <c r="G872" s="7" t="s">
        <v>1139</v>
      </c>
      <c r="H872" s="7" t="s">
        <v>1140</v>
      </c>
      <c r="I872" s="7" t="s">
        <v>41</v>
      </c>
      <c r="J872" s="7" t="s">
        <v>28</v>
      </c>
      <c r="K872" s="7" t="s">
        <v>60</v>
      </c>
      <c r="L872" s="7" t="s">
        <v>53</v>
      </c>
      <c r="M872" s="7" t="s">
        <v>103</v>
      </c>
      <c r="N872" s="7">
        <v>1810</v>
      </c>
      <c r="O872" s="7">
        <v>25</v>
      </c>
      <c r="P872" s="16">
        <v>0</v>
      </c>
      <c r="Q872" s="7">
        <v>570</v>
      </c>
      <c r="R872" s="7" t="s">
        <v>55</v>
      </c>
      <c r="S872" s="7" t="s">
        <v>33</v>
      </c>
      <c r="T872" s="7" t="s">
        <v>34</v>
      </c>
      <c r="U872" s="7">
        <v>5</v>
      </c>
      <c r="V872" s="7" t="str">
        <f>TEXT('E-Commerce Sales Data'!$B872,"mmmm")</f>
        <v>August</v>
      </c>
      <c r="W872" s="8">
        <f t="shared" si="52"/>
        <v>1901915</v>
      </c>
      <c r="X872">
        <f t="shared" si="53"/>
        <v>330</v>
      </c>
      <c r="Y872">
        <f t="shared" si="54"/>
        <v>33197.515151515152</v>
      </c>
      <c r="Z872">
        <f t="shared" si="55"/>
        <v>55</v>
      </c>
    </row>
    <row r="873" spans="1:26" x14ac:dyDescent="0.25">
      <c r="A873" s="9" t="s">
        <v>1141</v>
      </c>
      <c r="B873" s="10">
        <v>51729</v>
      </c>
      <c r="C873" s="11" t="s">
        <v>1142</v>
      </c>
      <c r="D873" s="11" t="s">
        <v>58</v>
      </c>
      <c r="E873" s="11">
        <v>27</v>
      </c>
      <c r="F873" s="11" t="s">
        <v>38</v>
      </c>
      <c r="G873" s="11" t="s">
        <v>78</v>
      </c>
      <c r="H873" s="11" t="s">
        <v>26</v>
      </c>
      <c r="I873" s="11" t="s">
        <v>27</v>
      </c>
      <c r="J873" s="11" t="s">
        <v>42</v>
      </c>
      <c r="K873" s="11" t="s">
        <v>43</v>
      </c>
      <c r="L873" s="11" t="s">
        <v>68</v>
      </c>
      <c r="M873" s="11" t="s">
        <v>106</v>
      </c>
      <c r="N873" s="11">
        <v>44400</v>
      </c>
      <c r="O873" s="11">
        <v>1</v>
      </c>
      <c r="P873" s="17">
        <v>0.08</v>
      </c>
      <c r="Q873" s="11">
        <v>9500</v>
      </c>
      <c r="R873" s="11" t="s">
        <v>46</v>
      </c>
      <c r="S873" s="11" t="s">
        <v>47</v>
      </c>
      <c r="T873" s="11" t="s">
        <v>34</v>
      </c>
      <c r="U873" s="11">
        <v>4</v>
      </c>
      <c r="V873" s="11" t="str">
        <f>TEXT('E-Commerce Sales Data'!$B873,"mmmm")</f>
        <v>August</v>
      </c>
      <c r="W873" s="8">
        <f t="shared" si="52"/>
        <v>1901345</v>
      </c>
      <c r="X873">
        <f t="shared" si="53"/>
        <v>329</v>
      </c>
      <c r="Y873">
        <f t="shared" si="54"/>
        <v>33292.917933130702</v>
      </c>
      <c r="Z873">
        <f t="shared" si="55"/>
        <v>55</v>
      </c>
    </row>
    <row r="874" spans="1:26" x14ac:dyDescent="0.25">
      <c r="A874" s="5" t="s">
        <v>1143</v>
      </c>
      <c r="B874" s="6">
        <v>51736</v>
      </c>
      <c r="C874" s="7" t="s">
        <v>1144</v>
      </c>
      <c r="D874" s="7" t="s">
        <v>1145</v>
      </c>
      <c r="E874" s="7">
        <v>40</v>
      </c>
      <c r="F874" s="7" t="s">
        <v>24</v>
      </c>
      <c r="G874" s="7" t="s">
        <v>84</v>
      </c>
      <c r="H874" s="7" t="s">
        <v>85</v>
      </c>
      <c r="I874" s="7" t="s">
        <v>52</v>
      </c>
      <c r="J874" s="7" t="s">
        <v>28</v>
      </c>
      <c r="K874" s="7" t="s">
        <v>29</v>
      </c>
      <c r="L874" s="7" t="s">
        <v>30</v>
      </c>
      <c r="M874" s="7" t="s">
        <v>31</v>
      </c>
      <c r="N874" s="7">
        <v>119000</v>
      </c>
      <c r="O874" s="7">
        <v>1</v>
      </c>
      <c r="P874" s="16">
        <v>0.1</v>
      </c>
      <c r="Q874" s="7">
        <v>14200</v>
      </c>
      <c r="R874" s="7" t="s">
        <v>32</v>
      </c>
      <c r="S874" s="7" t="s">
        <v>47</v>
      </c>
      <c r="T874" s="7" t="s">
        <v>34</v>
      </c>
      <c r="U874" s="7">
        <v>5</v>
      </c>
      <c r="V874" s="7" t="str">
        <f>TEXT('E-Commerce Sales Data'!$B874,"mmmm")</f>
        <v>August</v>
      </c>
      <c r="W874" s="8">
        <f t="shared" si="52"/>
        <v>1891845</v>
      </c>
      <c r="X874">
        <f t="shared" si="53"/>
        <v>328</v>
      </c>
      <c r="Y874">
        <f t="shared" si="54"/>
        <v>33259.054878048781</v>
      </c>
      <c r="Z874">
        <f t="shared" si="55"/>
        <v>55</v>
      </c>
    </row>
    <row r="875" spans="1:26" x14ac:dyDescent="0.25">
      <c r="A875" s="9" t="s">
        <v>1146</v>
      </c>
      <c r="B875" s="10">
        <v>51743</v>
      </c>
      <c r="C875" s="11" t="s">
        <v>1147</v>
      </c>
      <c r="D875" s="11" t="s">
        <v>1148</v>
      </c>
      <c r="E875" s="11">
        <v>33</v>
      </c>
      <c r="F875" s="11" t="s">
        <v>38</v>
      </c>
      <c r="G875" s="11" t="s">
        <v>51</v>
      </c>
      <c r="H875" s="11" t="s">
        <v>51</v>
      </c>
      <c r="I875" s="11" t="s">
        <v>52</v>
      </c>
      <c r="J875" s="11" t="s">
        <v>28</v>
      </c>
      <c r="K875" s="11" t="s">
        <v>60</v>
      </c>
      <c r="L875" s="11" t="s">
        <v>92</v>
      </c>
      <c r="M875" s="11" t="s">
        <v>111</v>
      </c>
      <c r="N875" s="11">
        <v>2380</v>
      </c>
      <c r="O875" s="11">
        <v>15</v>
      </c>
      <c r="P875" s="17">
        <v>0.05</v>
      </c>
      <c r="Q875" s="11">
        <v>780</v>
      </c>
      <c r="R875" s="11" t="s">
        <v>80</v>
      </c>
      <c r="S875" s="11" t="s">
        <v>33</v>
      </c>
      <c r="T875" s="11" t="s">
        <v>34</v>
      </c>
      <c r="U875" s="11">
        <v>4</v>
      </c>
      <c r="V875" s="11" t="str">
        <f>TEXT('E-Commerce Sales Data'!$B875,"mmmm")</f>
        <v>August</v>
      </c>
      <c r="W875" s="8">
        <f t="shared" si="52"/>
        <v>1877645</v>
      </c>
      <c r="X875">
        <f t="shared" si="53"/>
        <v>327</v>
      </c>
      <c r="Y875">
        <f t="shared" si="54"/>
        <v>32996.850152905201</v>
      </c>
      <c r="Z875">
        <f t="shared" si="55"/>
        <v>55</v>
      </c>
    </row>
    <row r="876" spans="1:26" x14ac:dyDescent="0.25">
      <c r="A876" s="5" t="s">
        <v>1149</v>
      </c>
      <c r="B876" s="6">
        <v>51750</v>
      </c>
      <c r="C876" s="7" t="s">
        <v>1150</v>
      </c>
      <c r="D876" s="7" t="s">
        <v>910</v>
      </c>
      <c r="E876" s="7">
        <v>36</v>
      </c>
      <c r="F876" s="7" t="s">
        <v>24</v>
      </c>
      <c r="G876" s="7" t="s">
        <v>59</v>
      </c>
      <c r="H876" s="7" t="s">
        <v>26</v>
      </c>
      <c r="I876" s="7" t="s">
        <v>27</v>
      </c>
      <c r="J876" s="7" t="s">
        <v>42</v>
      </c>
      <c r="K876" s="7" t="s">
        <v>43</v>
      </c>
      <c r="L876" s="7" t="s">
        <v>44</v>
      </c>
      <c r="M876" s="7" t="s">
        <v>45</v>
      </c>
      <c r="N876" s="7">
        <v>22800</v>
      </c>
      <c r="O876" s="7">
        <v>4</v>
      </c>
      <c r="P876" s="16">
        <v>7.0000000000000007E-2</v>
      </c>
      <c r="Q876" s="7">
        <v>5250</v>
      </c>
      <c r="R876" s="7" t="s">
        <v>46</v>
      </c>
      <c r="S876" s="7" t="s">
        <v>33</v>
      </c>
      <c r="T876" s="7" t="s">
        <v>34</v>
      </c>
      <c r="U876" s="7">
        <v>4</v>
      </c>
      <c r="V876" s="7" t="str">
        <f>TEXT('E-Commerce Sales Data'!$B876,"mmmm")</f>
        <v>September</v>
      </c>
      <c r="W876" s="8">
        <f t="shared" si="52"/>
        <v>1876865</v>
      </c>
      <c r="X876">
        <f t="shared" si="53"/>
        <v>326</v>
      </c>
      <c r="Y876">
        <f t="shared" si="54"/>
        <v>33090.766871165644</v>
      </c>
      <c r="Z876">
        <f t="shared" si="55"/>
        <v>55</v>
      </c>
    </row>
    <row r="877" spans="1:26" x14ac:dyDescent="0.25">
      <c r="A877" s="9" t="s">
        <v>1151</v>
      </c>
      <c r="B877" s="10">
        <v>51757</v>
      </c>
      <c r="C877" s="11" t="s">
        <v>1152</v>
      </c>
      <c r="D877" s="11" t="s">
        <v>1153</v>
      </c>
      <c r="E877" s="11">
        <v>25</v>
      </c>
      <c r="F877" s="11" t="s">
        <v>38</v>
      </c>
      <c r="G877" s="11" t="s">
        <v>25</v>
      </c>
      <c r="H877" s="11" t="s">
        <v>26</v>
      </c>
      <c r="I877" s="11" t="s">
        <v>27</v>
      </c>
      <c r="J877" s="11" t="s">
        <v>28</v>
      </c>
      <c r="K877" s="11" t="s">
        <v>29</v>
      </c>
      <c r="L877" s="11" t="s">
        <v>53</v>
      </c>
      <c r="M877" s="11" t="s">
        <v>54</v>
      </c>
      <c r="N877" s="11">
        <v>45300</v>
      </c>
      <c r="O877" s="11">
        <v>2</v>
      </c>
      <c r="P877" s="17">
        <v>0.05</v>
      </c>
      <c r="Q877" s="11">
        <v>8900</v>
      </c>
      <c r="R877" s="11" t="s">
        <v>32</v>
      </c>
      <c r="S877" s="11" t="s">
        <v>47</v>
      </c>
      <c r="T877" s="11" t="s">
        <v>34</v>
      </c>
      <c r="U877" s="11">
        <v>5</v>
      </c>
      <c r="V877" s="11" t="str">
        <f>TEXT('E-Commerce Sales Data'!$B877,"mmmm")</f>
        <v>September</v>
      </c>
      <c r="W877" s="8">
        <f t="shared" si="52"/>
        <v>1871615</v>
      </c>
      <c r="X877">
        <f t="shared" si="53"/>
        <v>325</v>
      </c>
      <c r="Y877">
        <f t="shared" si="54"/>
        <v>33122.43076923077</v>
      </c>
      <c r="Z877">
        <f t="shared" si="55"/>
        <v>55</v>
      </c>
    </row>
    <row r="878" spans="1:26" x14ac:dyDescent="0.25">
      <c r="A878" s="5" t="s">
        <v>1154</v>
      </c>
      <c r="B878" s="6">
        <v>51764</v>
      </c>
      <c r="C878" s="7" t="s">
        <v>1155</v>
      </c>
      <c r="D878" s="7" t="s">
        <v>58</v>
      </c>
      <c r="E878" s="7">
        <v>45</v>
      </c>
      <c r="F878" s="7" t="s">
        <v>24</v>
      </c>
      <c r="G878" s="7" t="s">
        <v>914</v>
      </c>
      <c r="H878" s="7" t="s">
        <v>26</v>
      </c>
      <c r="I878" s="7" t="s">
        <v>27</v>
      </c>
      <c r="J878" s="7" t="s">
        <v>42</v>
      </c>
      <c r="K878" s="7" t="s">
        <v>60</v>
      </c>
      <c r="L878" s="7" t="s">
        <v>61</v>
      </c>
      <c r="M878" s="7" t="s">
        <v>62</v>
      </c>
      <c r="N878" s="7">
        <v>11500</v>
      </c>
      <c r="O878" s="7">
        <v>10</v>
      </c>
      <c r="P878" s="16">
        <v>0.03</v>
      </c>
      <c r="Q878" s="7">
        <v>2860</v>
      </c>
      <c r="R878" s="7" t="s">
        <v>55</v>
      </c>
      <c r="S878" s="7" t="s">
        <v>33</v>
      </c>
      <c r="T878" s="7" t="s">
        <v>34</v>
      </c>
      <c r="U878" s="7">
        <v>4</v>
      </c>
      <c r="V878" s="7" t="str">
        <f>TEXT('E-Commerce Sales Data'!$B878,"mmmm")</f>
        <v>September</v>
      </c>
      <c r="W878" s="8">
        <f t="shared" si="52"/>
        <v>1862715</v>
      </c>
      <c r="X878">
        <f t="shared" si="53"/>
        <v>324</v>
      </c>
      <c r="Y878">
        <f t="shared" si="54"/>
        <v>33084.845679012345</v>
      </c>
      <c r="Z878">
        <f t="shared" si="55"/>
        <v>55</v>
      </c>
    </row>
    <row r="879" spans="1:26" x14ac:dyDescent="0.25">
      <c r="A879" s="9" t="s">
        <v>1156</v>
      </c>
      <c r="B879" s="10">
        <v>51771</v>
      </c>
      <c r="C879" s="11" t="s">
        <v>1157</v>
      </c>
      <c r="D879" s="11" t="s">
        <v>1158</v>
      </c>
      <c r="E879" s="11">
        <v>30</v>
      </c>
      <c r="F879" s="11" t="s">
        <v>38</v>
      </c>
      <c r="G879" s="11" t="s">
        <v>928</v>
      </c>
      <c r="H879" s="11" t="s">
        <v>26</v>
      </c>
      <c r="I879" s="11" t="s">
        <v>27</v>
      </c>
      <c r="J879" s="11" t="s">
        <v>28</v>
      </c>
      <c r="K879" s="11" t="s">
        <v>43</v>
      </c>
      <c r="L879" s="11" t="s">
        <v>68</v>
      </c>
      <c r="M879" s="11" t="s">
        <v>69</v>
      </c>
      <c r="N879" s="11">
        <v>42600</v>
      </c>
      <c r="O879" s="11">
        <v>2</v>
      </c>
      <c r="P879" s="17">
        <v>0.1</v>
      </c>
      <c r="Q879" s="11">
        <v>6960</v>
      </c>
      <c r="R879" s="11" t="s">
        <v>32</v>
      </c>
      <c r="S879" s="11" t="s">
        <v>47</v>
      </c>
      <c r="T879" s="11" t="s">
        <v>34</v>
      </c>
      <c r="U879" s="11">
        <v>5</v>
      </c>
      <c r="V879" s="11" t="str">
        <f>TEXT('E-Commerce Sales Data'!$B879,"mmmm")</f>
        <v>September</v>
      </c>
      <c r="W879" s="8">
        <f t="shared" si="52"/>
        <v>1859855</v>
      </c>
      <c r="X879">
        <f t="shared" si="53"/>
        <v>323</v>
      </c>
      <c r="Y879">
        <f t="shared" si="54"/>
        <v>33151.671826625388</v>
      </c>
      <c r="Z879">
        <f t="shared" si="55"/>
        <v>55</v>
      </c>
    </row>
    <row r="880" spans="1:26" x14ac:dyDescent="0.25">
      <c r="A880" s="5" t="s">
        <v>1159</v>
      </c>
      <c r="B880" s="6">
        <v>51778</v>
      </c>
      <c r="C880" s="7" t="s">
        <v>1160</v>
      </c>
      <c r="D880" s="7" t="s">
        <v>1161</v>
      </c>
      <c r="E880" s="7">
        <v>39</v>
      </c>
      <c r="F880" s="7" t="s">
        <v>24</v>
      </c>
      <c r="G880" s="7" t="s">
        <v>78</v>
      </c>
      <c r="H880" s="7" t="s">
        <v>26</v>
      </c>
      <c r="I880" s="7" t="s">
        <v>27</v>
      </c>
      <c r="J880" s="7" t="s">
        <v>42</v>
      </c>
      <c r="K880" s="7" t="s">
        <v>29</v>
      </c>
      <c r="L880" s="7" t="s">
        <v>53</v>
      </c>
      <c r="M880" s="7" t="s">
        <v>75</v>
      </c>
      <c r="N880" s="7">
        <v>6750</v>
      </c>
      <c r="O880" s="7">
        <v>4</v>
      </c>
      <c r="P880" s="16">
        <v>0.05</v>
      </c>
      <c r="Q880" s="7">
        <v>1790</v>
      </c>
      <c r="R880" s="7" t="s">
        <v>46</v>
      </c>
      <c r="S880" s="7" t="s">
        <v>33</v>
      </c>
      <c r="T880" s="7" t="s">
        <v>34</v>
      </c>
      <c r="U880" s="7">
        <v>3</v>
      </c>
      <c r="V880" s="7" t="str">
        <f>TEXT('E-Commerce Sales Data'!$B880,"mmmm")</f>
        <v>October</v>
      </c>
      <c r="W880" s="8">
        <f t="shared" si="52"/>
        <v>1852895</v>
      </c>
      <c r="X880">
        <f t="shared" si="53"/>
        <v>322</v>
      </c>
      <c r="Y880">
        <f t="shared" si="54"/>
        <v>33122.329192546582</v>
      </c>
      <c r="Z880">
        <f t="shared" si="55"/>
        <v>55</v>
      </c>
    </row>
    <row r="881" spans="1:26" x14ac:dyDescent="0.25">
      <c r="A881" s="9" t="s">
        <v>1162</v>
      </c>
      <c r="B881" s="10">
        <v>51785</v>
      </c>
      <c r="C881" s="11" t="s">
        <v>1163</v>
      </c>
      <c r="D881" s="11" t="s">
        <v>1164</v>
      </c>
      <c r="E881" s="11">
        <v>26</v>
      </c>
      <c r="F881" s="11" t="s">
        <v>38</v>
      </c>
      <c r="G881" s="11" t="s">
        <v>1028</v>
      </c>
      <c r="H881" s="11" t="s">
        <v>953</v>
      </c>
      <c r="I881" s="11" t="s">
        <v>27</v>
      </c>
      <c r="J881" s="11" t="s">
        <v>28</v>
      </c>
      <c r="K881" s="11" t="s">
        <v>29</v>
      </c>
      <c r="L881" s="11" t="s">
        <v>53</v>
      </c>
      <c r="M881" s="11" t="s">
        <v>79</v>
      </c>
      <c r="N881" s="11">
        <v>7200</v>
      </c>
      <c r="O881" s="11">
        <v>7</v>
      </c>
      <c r="P881" s="17">
        <v>0</v>
      </c>
      <c r="Q881" s="11">
        <v>2160</v>
      </c>
      <c r="R881" s="11" t="s">
        <v>32</v>
      </c>
      <c r="S881" s="11" t="s">
        <v>33</v>
      </c>
      <c r="T881" s="11" t="s">
        <v>34</v>
      </c>
      <c r="U881" s="11">
        <v>4</v>
      </c>
      <c r="V881" s="11" t="str">
        <f>TEXT('E-Commerce Sales Data'!$B881,"mmmm")</f>
        <v>October</v>
      </c>
      <c r="W881" s="8">
        <f t="shared" si="52"/>
        <v>1851105</v>
      </c>
      <c r="X881">
        <f t="shared" si="53"/>
        <v>321</v>
      </c>
      <c r="Y881">
        <f t="shared" si="54"/>
        <v>33204.485981308411</v>
      </c>
      <c r="Z881">
        <f t="shared" si="55"/>
        <v>55</v>
      </c>
    </row>
    <row r="882" spans="1:26" x14ac:dyDescent="0.25">
      <c r="A882" s="5" t="s">
        <v>1165</v>
      </c>
      <c r="B882" s="6">
        <v>51792</v>
      </c>
      <c r="C882" s="7" t="s">
        <v>1166</v>
      </c>
      <c r="D882" s="7" t="s">
        <v>1167</v>
      </c>
      <c r="E882" s="7">
        <v>42</v>
      </c>
      <c r="F882" s="7" t="s">
        <v>24</v>
      </c>
      <c r="G882" s="7" t="s">
        <v>1168</v>
      </c>
      <c r="H882" s="7" t="s">
        <v>26</v>
      </c>
      <c r="I882" s="7" t="s">
        <v>27</v>
      </c>
      <c r="J882" s="7" t="s">
        <v>28</v>
      </c>
      <c r="K882" s="7" t="s">
        <v>29</v>
      </c>
      <c r="L882" s="7" t="s">
        <v>30</v>
      </c>
      <c r="M882" s="7" t="s">
        <v>31</v>
      </c>
      <c r="N882" s="7">
        <v>115000</v>
      </c>
      <c r="O882" s="7">
        <v>1</v>
      </c>
      <c r="P882" s="16">
        <v>0.05</v>
      </c>
      <c r="Q882" s="7">
        <v>15300</v>
      </c>
      <c r="R882" s="7" t="s">
        <v>32</v>
      </c>
      <c r="S882" s="7" t="s">
        <v>47</v>
      </c>
      <c r="T882" s="7" t="s">
        <v>34</v>
      </c>
      <c r="U882" s="7">
        <v>5</v>
      </c>
      <c r="V882" s="7" t="str">
        <f>TEXT('E-Commerce Sales Data'!$B882,"mmmm")</f>
        <v>October</v>
      </c>
      <c r="W882" s="8">
        <f t="shared" si="52"/>
        <v>1848945</v>
      </c>
      <c r="X882">
        <f t="shared" si="53"/>
        <v>320</v>
      </c>
      <c r="Y882">
        <f t="shared" si="54"/>
        <v>33285.75</v>
      </c>
      <c r="Z882">
        <f t="shared" si="55"/>
        <v>55</v>
      </c>
    </row>
    <row r="883" spans="1:26" x14ac:dyDescent="0.25">
      <c r="A883" s="9" t="s">
        <v>1169</v>
      </c>
      <c r="B883" s="10">
        <v>51799</v>
      </c>
      <c r="C883" s="11" t="s">
        <v>1170</v>
      </c>
      <c r="D883" s="11" t="s">
        <v>1171</v>
      </c>
      <c r="E883" s="11">
        <v>29</v>
      </c>
      <c r="F883" s="11" t="s">
        <v>38</v>
      </c>
      <c r="G883" s="11" t="s">
        <v>992</v>
      </c>
      <c r="H883" s="11" t="s">
        <v>67</v>
      </c>
      <c r="I883" s="11" t="s">
        <v>27</v>
      </c>
      <c r="J883" s="11" t="s">
        <v>42</v>
      </c>
      <c r="K883" s="11" t="s">
        <v>43</v>
      </c>
      <c r="L883" s="11" t="s">
        <v>44</v>
      </c>
      <c r="M883" s="11" t="s">
        <v>45</v>
      </c>
      <c r="N883" s="11">
        <v>18600</v>
      </c>
      <c r="O883" s="11">
        <v>3</v>
      </c>
      <c r="P883" s="17">
        <v>0.1</v>
      </c>
      <c r="Q883" s="11">
        <v>4360</v>
      </c>
      <c r="R883" s="11" t="s">
        <v>46</v>
      </c>
      <c r="S883" s="11" t="s">
        <v>33</v>
      </c>
      <c r="T883" s="11" t="s">
        <v>34</v>
      </c>
      <c r="U883" s="11">
        <v>4</v>
      </c>
      <c r="V883" s="11" t="str">
        <f>TEXT('E-Commerce Sales Data'!$B883,"mmmm")</f>
        <v>October</v>
      </c>
      <c r="W883" s="8">
        <f t="shared" si="52"/>
        <v>1833645</v>
      </c>
      <c r="X883">
        <f t="shared" si="53"/>
        <v>319</v>
      </c>
      <c r="Y883">
        <f t="shared" si="54"/>
        <v>33029.59247648903</v>
      </c>
      <c r="Z883">
        <f t="shared" si="55"/>
        <v>55</v>
      </c>
    </row>
    <row r="884" spans="1:26" x14ac:dyDescent="0.25">
      <c r="A884" s="5" t="s">
        <v>1172</v>
      </c>
      <c r="B884" s="6">
        <v>51806</v>
      </c>
      <c r="C884" s="7" t="s">
        <v>1173</v>
      </c>
      <c r="D884" s="7" t="s">
        <v>23</v>
      </c>
      <c r="E884" s="7">
        <v>34</v>
      </c>
      <c r="F884" s="7" t="s">
        <v>24</v>
      </c>
      <c r="G884" s="7" t="s">
        <v>1174</v>
      </c>
      <c r="H884" s="7" t="s">
        <v>26</v>
      </c>
      <c r="I884" s="7" t="s">
        <v>27</v>
      </c>
      <c r="J884" s="7" t="s">
        <v>28</v>
      </c>
      <c r="K884" s="7" t="s">
        <v>29</v>
      </c>
      <c r="L884" s="7" t="s">
        <v>53</v>
      </c>
      <c r="M884" s="7" t="s">
        <v>54</v>
      </c>
      <c r="N884" s="7">
        <v>43000</v>
      </c>
      <c r="O884" s="7">
        <v>2</v>
      </c>
      <c r="P884" s="16">
        <v>0.05</v>
      </c>
      <c r="Q884" s="7">
        <v>8400</v>
      </c>
      <c r="R884" s="7" t="s">
        <v>55</v>
      </c>
      <c r="S884" s="7" t="s">
        <v>33</v>
      </c>
      <c r="T884" s="7" t="s">
        <v>34</v>
      </c>
      <c r="U884" s="7">
        <v>4</v>
      </c>
      <c r="V884" s="7" t="str">
        <f>TEXT('E-Commerce Sales Data'!$B884,"mmmm")</f>
        <v>November</v>
      </c>
      <c r="W884" s="8">
        <f t="shared" si="52"/>
        <v>1829285</v>
      </c>
      <c r="X884">
        <f t="shared" si="53"/>
        <v>318</v>
      </c>
      <c r="Y884">
        <f t="shared" si="54"/>
        <v>33074.968553459119</v>
      </c>
      <c r="Z884">
        <f t="shared" si="55"/>
        <v>55</v>
      </c>
    </row>
    <row r="885" spans="1:26" x14ac:dyDescent="0.25">
      <c r="A885" s="9" t="s">
        <v>1175</v>
      </c>
      <c r="B885" s="10">
        <v>51813</v>
      </c>
      <c r="C885" s="11" t="s">
        <v>1176</v>
      </c>
      <c r="D885" s="11" t="s">
        <v>1177</v>
      </c>
      <c r="E885" s="11">
        <v>37</v>
      </c>
      <c r="F885" s="11" t="s">
        <v>38</v>
      </c>
      <c r="G885" s="11" t="s">
        <v>1009</v>
      </c>
      <c r="H885" s="11" t="s">
        <v>1010</v>
      </c>
      <c r="I885" s="11" t="s">
        <v>41</v>
      </c>
      <c r="J885" s="11" t="s">
        <v>28</v>
      </c>
      <c r="K885" s="11" t="s">
        <v>60</v>
      </c>
      <c r="L885" s="11" t="s">
        <v>61</v>
      </c>
      <c r="M885" s="11" t="s">
        <v>86</v>
      </c>
      <c r="N885" s="11">
        <v>1300</v>
      </c>
      <c r="O885" s="11">
        <v>20</v>
      </c>
      <c r="P885" s="17">
        <v>0.02</v>
      </c>
      <c r="Q885" s="11">
        <v>380</v>
      </c>
      <c r="R885" s="11" t="s">
        <v>32</v>
      </c>
      <c r="S885" s="11" t="s">
        <v>33</v>
      </c>
      <c r="T885" s="11" t="s">
        <v>34</v>
      </c>
      <c r="U885" s="11">
        <v>5</v>
      </c>
      <c r="V885" s="11" t="str">
        <f>TEXT('E-Commerce Sales Data'!$B885,"mmmm")</f>
        <v>November</v>
      </c>
      <c r="W885" s="8">
        <f t="shared" si="52"/>
        <v>1820885</v>
      </c>
      <c r="X885">
        <f t="shared" si="53"/>
        <v>317</v>
      </c>
      <c r="Y885">
        <f t="shared" si="54"/>
        <v>33043.659305993693</v>
      </c>
      <c r="Z885">
        <f t="shared" si="55"/>
        <v>55</v>
      </c>
    </row>
    <row r="886" spans="1:26" x14ac:dyDescent="0.25">
      <c r="A886" s="5" t="s">
        <v>1178</v>
      </c>
      <c r="B886" s="6">
        <v>51820</v>
      </c>
      <c r="C886" s="7" t="s">
        <v>1179</v>
      </c>
      <c r="D886" s="7" t="s">
        <v>1180</v>
      </c>
      <c r="E886" s="7">
        <v>48</v>
      </c>
      <c r="F886" s="7" t="s">
        <v>24</v>
      </c>
      <c r="G886" s="7" t="s">
        <v>51</v>
      </c>
      <c r="H886" s="7" t="s">
        <v>51</v>
      </c>
      <c r="I886" s="7" t="s">
        <v>52</v>
      </c>
      <c r="J886" s="7" t="s">
        <v>42</v>
      </c>
      <c r="K886" s="7" t="s">
        <v>43</v>
      </c>
      <c r="L886" s="7" t="s">
        <v>68</v>
      </c>
      <c r="M886" s="7" t="s">
        <v>69</v>
      </c>
      <c r="N886" s="7">
        <v>45400</v>
      </c>
      <c r="O886" s="7">
        <v>2</v>
      </c>
      <c r="P886" s="16">
        <v>0.08</v>
      </c>
      <c r="Q886" s="7">
        <v>7880</v>
      </c>
      <c r="R886" s="7" t="s">
        <v>46</v>
      </c>
      <c r="S886" s="7" t="s">
        <v>47</v>
      </c>
      <c r="T886" s="7" t="s">
        <v>34</v>
      </c>
      <c r="U886" s="7">
        <v>4</v>
      </c>
      <c r="V886" s="7" t="str">
        <f>TEXT('E-Commerce Sales Data'!$B886,"mmmm")</f>
        <v>November</v>
      </c>
      <c r="W886" s="8">
        <f t="shared" si="52"/>
        <v>1820505</v>
      </c>
      <c r="X886">
        <f t="shared" si="53"/>
        <v>316</v>
      </c>
      <c r="Y886">
        <f t="shared" si="54"/>
        <v>33144.113924050631</v>
      </c>
      <c r="Z886">
        <f t="shared" si="55"/>
        <v>55</v>
      </c>
    </row>
    <row r="887" spans="1:26" x14ac:dyDescent="0.25">
      <c r="A887" s="9" t="s">
        <v>1181</v>
      </c>
      <c r="B887" s="10">
        <v>51827</v>
      </c>
      <c r="C887" s="11" t="s">
        <v>1182</v>
      </c>
      <c r="D887" s="11" t="s">
        <v>23</v>
      </c>
      <c r="E887" s="11">
        <v>31</v>
      </c>
      <c r="F887" s="11" t="s">
        <v>38</v>
      </c>
      <c r="G887" s="11" t="s">
        <v>1050</v>
      </c>
      <c r="H887" s="11" t="s">
        <v>26</v>
      </c>
      <c r="I887" s="11" t="s">
        <v>27</v>
      </c>
      <c r="J887" s="11" t="s">
        <v>28</v>
      </c>
      <c r="K887" s="11" t="s">
        <v>29</v>
      </c>
      <c r="L887" s="11" t="s">
        <v>53</v>
      </c>
      <c r="M887" s="11" t="s">
        <v>75</v>
      </c>
      <c r="N887" s="11">
        <v>6550</v>
      </c>
      <c r="O887" s="11">
        <v>3</v>
      </c>
      <c r="P887" s="17">
        <v>0.05</v>
      </c>
      <c r="Q887" s="11">
        <v>1740</v>
      </c>
      <c r="R887" s="11" t="s">
        <v>32</v>
      </c>
      <c r="S887" s="11" t="s">
        <v>33</v>
      </c>
      <c r="T887" s="11" t="s">
        <v>34</v>
      </c>
      <c r="U887" s="11">
        <v>4</v>
      </c>
      <c r="V887" s="11" t="str">
        <f>TEXT('E-Commerce Sales Data'!$B887,"mmmm")</f>
        <v>November</v>
      </c>
      <c r="W887" s="8">
        <f t="shared" si="52"/>
        <v>1812625</v>
      </c>
      <c r="X887">
        <f t="shared" si="53"/>
        <v>315</v>
      </c>
      <c r="Y887">
        <f t="shared" si="54"/>
        <v>33105.206349206346</v>
      </c>
      <c r="Z887">
        <f t="shared" si="55"/>
        <v>55</v>
      </c>
    </row>
    <row r="888" spans="1:26" x14ac:dyDescent="0.25">
      <c r="A888" s="5" t="s">
        <v>1183</v>
      </c>
      <c r="B888" s="6">
        <v>51834</v>
      </c>
      <c r="C888" s="7" t="s">
        <v>1184</v>
      </c>
      <c r="D888" s="7" t="s">
        <v>1185</v>
      </c>
      <c r="E888" s="7">
        <v>28</v>
      </c>
      <c r="F888" s="7" t="s">
        <v>24</v>
      </c>
      <c r="G888" s="7" t="s">
        <v>59</v>
      </c>
      <c r="H888" s="7" t="s">
        <v>26</v>
      </c>
      <c r="I888" s="7" t="s">
        <v>27</v>
      </c>
      <c r="J888" s="7" t="s">
        <v>28</v>
      </c>
      <c r="K888" s="7" t="s">
        <v>29</v>
      </c>
      <c r="L888" s="7" t="s">
        <v>53</v>
      </c>
      <c r="M888" s="7" t="s">
        <v>79</v>
      </c>
      <c r="N888" s="7">
        <v>7300</v>
      </c>
      <c r="O888" s="7">
        <v>6</v>
      </c>
      <c r="P888" s="16">
        <v>0</v>
      </c>
      <c r="Q888" s="7">
        <v>2190</v>
      </c>
      <c r="R888" s="7" t="s">
        <v>80</v>
      </c>
      <c r="S888" s="7" t="s">
        <v>33</v>
      </c>
      <c r="T888" s="7" t="s">
        <v>34</v>
      </c>
      <c r="U888" s="7">
        <v>3</v>
      </c>
      <c r="V888" s="7" t="str">
        <f>TEXT('E-Commerce Sales Data'!$B888,"mmmm")</f>
        <v>November</v>
      </c>
      <c r="W888" s="8">
        <f t="shared" si="52"/>
        <v>1810885</v>
      </c>
      <c r="X888">
        <f t="shared" si="53"/>
        <v>314</v>
      </c>
      <c r="Y888">
        <f t="shared" si="54"/>
        <v>33189.777070063697</v>
      </c>
      <c r="Z888">
        <f t="shared" si="55"/>
        <v>55</v>
      </c>
    </row>
    <row r="889" spans="1:26" x14ac:dyDescent="0.25">
      <c r="A889" s="9" t="s">
        <v>1186</v>
      </c>
      <c r="B889" s="10">
        <v>51841</v>
      </c>
      <c r="C889" s="11" t="s">
        <v>1187</v>
      </c>
      <c r="D889" s="11" t="s">
        <v>941</v>
      </c>
      <c r="E889" s="11">
        <v>35</v>
      </c>
      <c r="F889" s="11" t="s">
        <v>38</v>
      </c>
      <c r="G889" s="11" t="s">
        <v>1087</v>
      </c>
      <c r="H889" s="11" t="s">
        <v>1088</v>
      </c>
      <c r="I889" s="11" t="s">
        <v>52</v>
      </c>
      <c r="J889" s="11" t="s">
        <v>42</v>
      </c>
      <c r="K889" s="11" t="s">
        <v>60</v>
      </c>
      <c r="L889" s="11" t="s">
        <v>61</v>
      </c>
      <c r="M889" s="11" t="s">
        <v>62</v>
      </c>
      <c r="N889" s="11">
        <v>11700</v>
      </c>
      <c r="O889" s="11">
        <v>10</v>
      </c>
      <c r="P889" s="17">
        <v>0.02</v>
      </c>
      <c r="Q889" s="11">
        <v>2900</v>
      </c>
      <c r="R889" s="11" t="s">
        <v>32</v>
      </c>
      <c r="S889" s="11" t="s">
        <v>33</v>
      </c>
      <c r="T889" s="11" t="s">
        <v>34</v>
      </c>
      <c r="U889" s="11">
        <v>5</v>
      </c>
      <c r="V889" s="11" t="str">
        <f>TEXT('E-Commerce Sales Data'!$B889,"mmmm")</f>
        <v>December</v>
      </c>
      <c r="W889" s="8">
        <f t="shared" si="52"/>
        <v>1808695</v>
      </c>
      <c r="X889">
        <f t="shared" si="53"/>
        <v>313</v>
      </c>
      <c r="Y889">
        <f t="shared" si="54"/>
        <v>33272.492012779556</v>
      </c>
      <c r="Z889">
        <f t="shared" si="55"/>
        <v>55</v>
      </c>
    </row>
    <row r="890" spans="1:26" x14ac:dyDescent="0.25">
      <c r="A890" s="5" t="s">
        <v>1188</v>
      </c>
      <c r="B890" s="6">
        <v>51848</v>
      </c>
      <c r="C890" s="7" t="s">
        <v>1189</v>
      </c>
      <c r="D890" s="7" t="s">
        <v>1190</v>
      </c>
      <c r="E890" s="7">
        <v>44</v>
      </c>
      <c r="F890" s="7" t="s">
        <v>24</v>
      </c>
      <c r="G890" s="7" t="s">
        <v>1044</v>
      </c>
      <c r="H890" s="7" t="s">
        <v>1045</v>
      </c>
      <c r="I890" s="7" t="s">
        <v>52</v>
      </c>
      <c r="J890" s="7" t="s">
        <v>42</v>
      </c>
      <c r="K890" s="7" t="s">
        <v>43</v>
      </c>
      <c r="L890" s="7" t="s">
        <v>92</v>
      </c>
      <c r="M890" s="7" t="s">
        <v>93</v>
      </c>
      <c r="N890" s="7">
        <v>28200</v>
      </c>
      <c r="O890" s="7">
        <v>1</v>
      </c>
      <c r="P890" s="16">
        <v>0.1</v>
      </c>
      <c r="Q890" s="7">
        <v>5110</v>
      </c>
      <c r="R890" s="7" t="s">
        <v>46</v>
      </c>
      <c r="S890" s="7" t="s">
        <v>47</v>
      </c>
      <c r="T890" s="7" t="s">
        <v>34</v>
      </c>
      <c r="U890" s="7">
        <v>4</v>
      </c>
      <c r="V890" s="7" t="str">
        <f>TEXT('E-Commerce Sales Data'!$B890,"mmmm")</f>
        <v>December</v>
      </c>
      <c r="W890" s="8">
        <f t="shared" si="52"/>
        <v>1805795</v>
      </c>
      <c r="X890">
        <f t="shared" si="53"/>
        <v>312</v>
      </c>
      <c r="Y890">
        <f t="shared" si="54"/>
        <v>33341.634615384617</v>
      </c>
      <c r="Z890">
        <f t="shared" si="55"/>
        <v>55</v>
      </c>
    </row>
    <row r="891" spans="1:26" x14ac:dyDescent="0.25">
      <c r="A891" s="9" t="s">
        <v>1191</v>
      </c>
      <c r="B891" s="10">
        <v>51855</v>
      </c>
      <c r="C891" s="11" t="s">
        <v>1192</v>
      </c>
      <c r="D891" s="11" t="s">
        <v>980</v>
      </c>
      <c r="E891" s="11">
        <v>27</v>
      </c>
      <c r="F891" s="11" t="s">
        <v>38</v>
      </c>
      <c r="G891" s="11" t="s">
        <v>981</v>
      </c>
      <c r="H891" s="11" t="s">
        <v>982</v>
      </c>
      <c r="I891" s="11" t="s">
        <v>52</v>
      </c>
      <c r="J891" s="11" t="s">
        <v>28</v>
      </c>
      <c r="K891" s="11" t="s">
        <v>29</v>
      </c>
      <c r="L891" s="11" t="s">
        <v>96</v>
      </c>
      <c r="M891" s="11" t="s">
        <v>97</v>
      </c>
      <c r="N891" s="11">
        <v>30500</v>
      </c>
      <c r="O891" s="11">
        <v>2</v>
      </c>
      <c r="P891" s="17">
        <v>0.05</v>
      </c>
      <c r="Q891" s="11">
        <v>5840</v>
      </c>
      <c r="R891" s="11" t="s">
        <v>32</v>
      </c>
      <c r="S891" s="11" t="s">
        <v>33</v>
      </c>
      <c r="T891" s="11" t="s">
        <v>34</v>
      </c>
      <c r="U891" s="11">
        <v>4</v>
      </c>
      <c r="V891" s="11" t="str">
        <f>TEXT('E-Commerce Sales Data'!$B891,"mmmm")</f>
        <v>December</v>
      </c>
      <c r="W891" s="8">
        <f t="shared" si="52"/>
        <v>1800685</v>
      </c>
      <c r="X891">
        <f t="shared" si="53"/>
        <v>311</v>
      </c>
      <c r="Y891">
        <f t="shared" si="54"/>
        <v>33358.167202572346</v>
      </c>
      <c r="Z891">
        <f t="shared" si="55"/>
        <v>55</v>
      </c>
    </row>
    <row r="892" spans="1:26" x14ac:dyDescent="0.25">
      <c r="A892" s="5" t="s">
        <v>1193</v>
      </c>
      <c r="B892" s="6">
        <v>51862</v>
      </c>
      <c r="C892" s="7" t="s">
        <v>1194</v>
      </c>
      <c r="D892" s="7" t="s">
        <v>1195</v>
      </c>
      <c r="E892" s="7">
        <v>32</v>
      </c>
      <c r="F892" s="7" t="s">
        <v>24</v>
      </c>
      <c r="G892" s="7" t="s">
        <v>1196</v>
      </c>
      <c r="H892" s="7" t="s">
        <v>982</v>
      </c>
      <c r="I892" s="7" t="s">
        <v>52</v>
      </c>
      <c r="J892" s="7" t="s">
        <v>28</v>
      </c>
      <c r="K892" s="7" t="s">
        <v>60</v>
      </c>
      <c r="L892" s="7" t="s">
        <v>53</v>
      </c>
      <c r="M892" s="7" t="s">
        <v>103</v>
      </c>
      <c r="N892" s="7">
        <v>1840</v>
      </c>
      <c r="O892" s="7">
        <v>25</v>
      </c>
      <c r="P892" s="16">
        <v>0</v>
      </c>
      <c r="Q892" s="7">
        <v>580</v>
      </c>
      <c r="R892" s="7" t="s">
        <v>55</v>
      </c>
      <c r="S892" s="7" t="s">
        <v>33</v>
      </c>
      <c r="T892" s="7" t="s">
        <v>34</v>
      </c>
      <c r="U892" s="7">
        <v>5</v>
      </c>
      <c r="V892" s="7" t="str">
        <f>TEXT('E-Commerce Sales Data'!$B892,"mmmm")</f>
        <v>December</v>
      </c>
      <c r="W892" s="8">
        <f t="shared" si="52"/>
        <v>1794845</v>
      </c>
      <c r="X892">
        <f t="shared" si="53"/>
        <v>310</v>
      </c>
      <c r="Y892">
        <f t="shared" si="54"/>
        <v>33367.387096774197</v>
      </c>
      <c r="Z892">
        <f t="shared" si="55"/>
        <v>55</v>
      </c>
    </row>
    <row r="893" spans="1:26" x14ac:dyDescent="0.25">
      <c r="A893" s="9" t="s">
        <v>1197</v>
      </c>
      <c r="B893" s="10">
        <v>51869</v>
      </c>
      <c r="C893" s="11" t="s">
        <v>71</v>
      </c>
      <c r="D893" s="11" t="s">
        <v>1084</v>
      </c>
      <c r="E893" s="11">
        <v>39</v>
      </c>
      <c r="F893" s="11" t="s">
        <v>38</v>
      </c>
      <c r="G893" s="11" t="s">
        <v>1085</v>
      </c>
      <c r="H893" s="11" t="s">
        <v>85</v>
      </c>
      <c r="I893" s="11" t="s">
        <v>52</v>
      </c>
      <c r="J893" s="11" t="s">
        <v>42</v>
      </c>
      <c r="K893" s="11" t="s">
        <v>43</v>
      </c>
      <c r="L893" s="11" t="s">
        <v>68</v>
      </c>
      <c r="M893" s="11" t="s">
        <v>106</v>
      </c>
      <c r="N893" s="11">
        <v>45100</v>
      </c>
      <c r="O893" s="11">
        <v>1</v>
      </c>
      <c r="P893" s="17">
        <v>0.08</v>
      </c>
      <c r="Q893" s="11">
        <v>9650</v>
      </c>
      <c r="R893" s="11" t="s">
        <v>46</v>
      </c>
      <c r="S893" s="11" t="s">
        <v>47</v>
      </c>
      <c r="T893" s="11" t="s">
        <v>34</v>
      </c>
      <c r="U893" s="11">
        <v>4</v>
      </c>
      <c r="V893" s="11" t="str">
        <f>TEXT('E-Commerce Sales Data'!$B893,"mmmm")</f>
        <v>January</v>
      </c>
      <c r="W893" s="8">
        <f t="shared" si="52"/>
        <v>1794265</v>
      </c>
      <c r="X893">
        <f t="shared" si="53"/>
        <v>309</v>
      </c>
      <c r="Y893">
        <f t="shared" si="54"/>
        <v>33469.417475728158</v>
      </c>
      <c r="Z893">
        <f t="shared" si="55"/>
        <v>55</v>
      </c>
    </row>
    <row r="894" spans="1:26" x14ac:dyDescent="0.25">
      <c r="A894" s="5" t="s">
        <v>1198</v>
      </c>
      <c r="B894" s="6">
        <v>51876</v>
      </c>
      <c r="C894" s="7" t="s">
        <v>951</v>
      </c>
      <c r="D894" s="7" t="s">
        <v>1019</v>
      </c>
      <c r="E894" s="7">
        <v>41</v>
      </c>
      <c r="F894" s="7" t="s">
        <v>24</v>
      </c>
      <c r="G894" s="7" t="s">
        <v>1020</v>
      </c>
      <c r="H894" s="7" t="s">
        <v>965</v>
      </c>
      <c r="I894" s="7" t="s">
        <v>966</v>
      </c>
      <c r="J894" s="7" t="s">
        <v>28</v>
      </c>
      <c r="K894" s="7" t="s">
        <v>29</v>
      </c>
      <c r="L894" s="7" t="s">
        <v>30</v>
      </c>
      <c r="M894" s="7" t="s">
        <v>31</v>
      </c>
      <c r="N894" s="7">
        <v>120500</v>
      </c>
      <c r="O894" s="7">
        <v>1</v>
      </c>
      <c r="P894" s="16">
        <v>0.1</v>
      </c>
      <c r="Q894" s="7">
        <v>14400</v>
      </c>
      <c r="R894" s="7" t="s">
        <v>32</v>
      </c>
      <c r="S894" s="7" t="s">
        <v>47</v>
      </c>
      <c r="T894" s="7" t="s">
        <v>34</v>
      </c>
      <c r="U894" s="7">
        <v>5</v>
      </c>
      <c r="V894" s="7" t="str">
        <f>TEXT('E-Commerce Sales Data'!$B894,"mmmm")</f>
        <v>January</v>
      </c>
      <c r="W894" s="8">
        <f t="shared" si="52"/>
        <v>1784615</v>
      </c>
      <c r="X894">
        <f t="shared" si="53"/>
        <v>308</v>
      </c>
      <c r="Y894">
        <f t="shared" si="54"/>
        <v>33431.655844155845</v>
      </c>
      <c r="Z894">
        <f t="shared" si="55"/>
        <v>55</v>
      </c>
    </row>
    <row r="895" spans="1:26" x14ac:dyDescent="0.25">
      <c r="A895" s="9" t="s">
        <v>1199</v>
      </c>
      <c r="B895" s="10">
        <v>51883</v>
      </c>
      <c r="C895" s="11" t="s">
        <v>1200</v>
      </c>
      <c r="D895" s="11" t="s">
        <v>1023</v>
      </c>
      <c r="E895" s="11">
        <v>30</v>
      </c>
      <c r="F895" s="11" t="s">
        <v>38</v>
      </c>
      <c r="G895" s="11" t="s">
        <v>1024</v>
      </c>
      <c r="H895" s="11" t="s">
        <v>982</v>
      </c>
      <c r="I895" s="11" t="s">
        <v>52</v>
      </c>
      <c r="J895" s="11" t="s">
        <v>28</v>
      </c>
      <c r="K895" s="11" t="s">
        <v>60</v>
      </c>
      <c r="L895" s="11" t="s">
        <v>92</v>
      </c>
      <c r="M895" s="11" t="s">
        <v>111</v>
      </c>
      <c r="N895" s="11">
        <v>2420</v>
      </c>
      <c r="O895" s="11">
        <v>15</v>
      </c>
      <c r="P895" s="17">
        <v>0.05</v>
      </c>
      <c r="Q895" s="11">
        <v>795</v>
      </c>
      <c r="R895" s="11" t="s">
        <v>80</v>
      </c>
      <c r="S895" s="11" t="s">
        <v>33</v>
      </c>
      <c r="T895" s="11" t="s">
        <v>34</v>
      </c>
      <c r="U895" s="11">
        <v>4</v>
      </c>
      <c r="V895" s="11" t="str">
        <f>TEXT('E-Commerce Sales Data'!$B895,"mmmm")</f>
        <v>January</v>
      </c>
      <c r="W895" s="8">
        <f t="shared" si="52"/>
        <v>1770215</v>
      </c>
      <c r="X895">
        <f t="shared" si="53"/>
        <v>307</v>
      </c>
      <c r="Y895">
        <f t="shared" si="54"/>
        <v>33148.04560260586</v>
      </c>
      <c r="Z895">
        <f t="shared" si="55"/>
        <v>55</v>
      </c>
    </row>
    <row r="896" spans="1:26" x14ac:dyDescent="0.25">
      <c r="A896" s="5" t="s">
        <v>1201</v>
      </c>
      <c r="B896" s="6">
        <v>51890</v>
      </c>
      <c r="C896" s="7" t="s">
        <v>997</v>
      </c>
      <c r="D896" s="7" t="s">
        <v>977</v>
      </c>
      <c r="E896" s="7">
        <v>36</v>
      </c>
      <c r="F896" s="7" t="s">
        <v>24</v>
      </c>
      <c r="G896" s="7" t="s">
        <v>924</v>
      </c>
      <c r="H896" s="7" t="s">
        <v>26</v>
      </c>
      <c r="I896" s="7" t="s">
        <v>27</v>
      </c>
      <c r="J896" s="7" t="s">
        <v>42</v>
      </c>
      <c r="K896" s="7" t="s">
        <v>43</v>
      </c>
      <c r="L896" s="7" t="s">
        <v>44</v>
      </c>
      <c r="M896" s="7" t="s">
        <v>45</v>
      </c>
      <c r="N896" s="7">
        <v>23200</v>
      </c>
      <c r="O896" s="7">
        <v>4</v>
      </c>
      <c r="P896" s="16">
        <v>7.0000000000000007E-2</v>
      </c>
      <c r="Q896" s="7">
        <v>5350</v>
      </c>
      <c r="R896" s="7" t="s">
        <v>46</v>
      </c>
      <c r="S896" s="7" t="s">
        <v>33</v>
      </c>
      <c r="T896" s="7" t="s">
        <v>34</v>
      </c>
      <c r="U896" s="7">
        <v>4</v>
      </c>
      <c r="V896" s="7" t="str">
        <f>TEXT('E-Commerce Sales Data'!$B896,"mmmm")</f>
        <v>January</v>
      </c>
      <c r="W896" s="8">
        <f t="shared" si="52"/>
        <v>1769420</v>
      </c>
      <c r="X896">
        <f t="shared" si="53"/>
        <v>306</v>
      </c>
      <c r="Y896">
        <f t="shared" si="54"/>
        <v>33248.464052287585</v>
      </c>
      <c r="Z896">
        <f t="shared" si="55"/>
        <v>55</v>
      </c>
    </row>
    <row r="897" spans="1:26" x14ac:dyDescent="0.25">
      <c r="A897" s="9" t="s">
        <v>1202</v>
      </c>
      <c r="B897" s="10">
        <v>51897</v>
      </c>
      <c r="C897" s="11" t="s">
        <v>1036</v>
      </c>
      <c r="D897" s="11" t="s">
        <v>1203</v>
      </c>
      <c r="E897" s="11">
        <v>28</v>
      </c>
      <c r="F897" s="11" t="s">
        <v>38</v>
      </c>
      <c r="G897" s="11" t="s">
        <v>932</v>
      </c>
      <c r="H897" s="11" t="s">
        <v>26</v>
      </c>
      <c r="I897" s="11" t="s">
        <v>27</v>
      </c>
      <c r="J897" s="11" t="s">
        <v>28</v>
      </c>
      <c r="K897" s="11" t="s">
        <v>29</v>
      </c>
      <c r="L897" s="11" t="s">
        <v>53</v>
      </c>
      <c r="M897" s="11" t="s">
        <v>54</v>
      </c>
      <c r="N897" s="11">
        <v>46000</v>
      </c>
      <c r="O897" s="11">
        <v>2</v>
      </c>
      <c r="P897" s="17">
        <v>0.05</v>
      </c>
      <c r="Q897" s="11">
        <v>9050</v>
      </c>
      <c r="R897" s="11" t="s">
        <v>32</v>
      </c>
      <c r="S897" s="11" t="s">
        <v>47</v>
      </c>
      <c r="T897" s="11" t="s">
        <v>34</v>
      </c>
      <c r="U897" s="11">
        <v>5</v>
      </c>
      <c r="V897" s="11" t="str">
        <f>TEXT('E-Commerce Sales Data'!$B897,"mmmm")</f>
        <v>January</v>
      </c>
      <c r="W897" s="8">
        <f t="shared" si="52"/>
        <v>1764070</v>
      </c>
      <c r="X897">
        <f t="shared" si="53"/>
        <v>305</v>
      </c>
      <c r="Y897">
        <f t="shared" si="54"/>
        <v>33281.409836065577</v>
      </c>
      <c r="Z897">
        <f t="shared" si="55"/>
        <v>55</v>
      </c>
    </row>
    <row r="898" spans="1:26" x14ac:dyDescent="0.25">
      <c r="A898" s="5" t="s">
        <v>1204</v>
      </c>
      <c r="B898" s="6">
        <v>51904</v>
      </c>
      <c r="C898" s="7" t="s">
        <v>1205</v>
      </c>
      <c r="D898" s="7" t="s">
        <v>1206</v>
      </c>
      <c r="E898" s="7">
        <v>46</v>
      </c>
      <c r="F898" s="7" t="s">
        <v>24</v>
      </c>
      <c r="G898" s="7" t="s">
        <v>1207</v>
      </c>
      <c r="H898" s="7" t="s">
        <v>1140</v>
      </c>
      <c r="I898" s="7" t="s">
        <v>41</v>
      </c>
      <c r="J898" s="7" t="s">
        <v>42</v>
      </c>
      <c r="K898" s="7" t="s">
        <v>60</v>
      </c>
      <c r="L898" s="7" t="s">
        <v>61</v>
      </c>
      <c r="M898" s="7" t="s">
        <v>62</v>
      </c>
      <c r="N898" s="7">
        <v>11900</v>
      </c>
      <c r="O898" s="7">
        <v>10</v>
      </c>
      <c r="P898" s="16">
        <v>0.03</v>
      </c>
      <c r="Q898" s="7">
        <v>2960</v>
      </c>
      <c r="R898" s="7" t="s">
        <v>55</v>
      </c>
      <c r="S898" s="7" t="s">
        <v>33</v>
      </c>
      <c r="T898" s="7" t="s">
        <v>34</v>
      </c>
      <c r="U898" s="7">
        <v>4</v>
      </c>
      <c r="V898" s="7" t="str">
        <f>TEXT('E-Commerce Sales Data'!$B898,"mmmm")</f>
        <v>February</v>
      </c>
      <c r="W898" s="8">
        <f t="shared" si="52"/>
        <v>1755020</v>
      </c>
      <c r="X898">
        <f t="shared" si="53"/>
        <v>304</v>
      </c>
      <c r="Y898">
        <f t="shared" si="54"/>
        <v>33239.572368421053</v>
      </c>
      <c r="Z898">
        <f t="shared" si="55"/>
        <v>55</v>
      </c>
    </row>
    <row r="899" spans="1:26" x14ac:dyDescent="0.25">
      <c r="A899" s="9" t="s">
        <v>1208</v>
      </c>
      <c r="B899" s="10">
        <v>51911</v>
      </c>
      <c r="C899" s="11" t="s">
        <v>1209</v>
      </c>
      <c r="D899" s="11" t="s">
        <v>1210</v>
      </c>
      <c r="E899" s="11">
        <v>26</v>
      </c>
      <c r="F899" s="11" t="s">
        <v>38</v>
      </c>
      <c r="G899" s="11" t="s">
        <v>914</v>
      </c>
      <c r="H899" s="11" t="s">
        <v>26</v>
      </c>
      <c r="I899" s="11" t="s">
        <v>27</v>
      </c>
      <c r="J899" s="11" t="s">
        <v>28</v>
      </c>
      <c r="K899" s="11" t="s">
        <v>43</v>
      </c>
      <c r="L899" s="11" t="s">
        <v>68</v>
      </c>
      <c r="M899" s="11" t="s">
        <v>69</v>
      </c>
      <c r="N899" s="11">
        <v>43300</v>
      </c>
      <c r="O899" s="11">
        <v>2</v>
      </c>
      <c r="P899" s="17">
        <v>0.1</v>
      </c>
      <c r="Q899" s="11">
        <v>7080</v>
      </c>
      <c r="R899" s="11" t="s">
        <v>32</v>
      </c>
      <c r="S899" s="11" t="s">
        <v>47</v>
      </c>
      <c r="T899" s="11" t="s">
        <v>34</v>
      </c>
      <c r="U899" s="11">
        <v>5</v>
      </c>
      <c r="V899" s="11" t="str">
        <f>TEXT('E-Commerce Sales Data'!$B899,"mmmm")</f>
        <v>February</v>
      </c>
      <c r="W899" s="8">
        <f t="shared" ref="W899:W962" si="56">SUM(Q899:Q2098)</f>
        <v>1752060</v>
      </c>
      <c r="X899">
        <f t="shared" ref="X899:X962" si="57">COUNT(E899:E2098)</f>
        <v>303</v>
      </c>
      <c r="Y899">
        <f t="shared" ref="Y899:Y962" si="58">AVERAGE(N899:N2098)</f>
        <v>33310</v>
      </c>
      <c r="Z899">
        <f t="shared" ref="Z899:Z962" si="59">MAX(E899:E2098)</f>
        <v>55</v>
      </c>
    </row>
    <row r="900" spans="1:26" x14ac:dyDescent="0.25">
      <c r="A900" s="5" t="s">
        <v>1211</v>
      </c>
      <c r="B900" s="6">
        <v>51918</v>
      </c>
      <c r="C900" s="7" t="s">
        <v>1212</v>
      </c>
      <c r="D900" s="7" t="s">
        <v>977</v>
      </c>
      <c r="E900" s="7">
        <v>43</v>
      </c>
      <c r="F900" s="7" t="s">
        <v>24</v>
      </c>
      <c r="G900" s="7" t="s">
        <v>1168</v>
      </c>
      <c r="H900" s="7" t="s">
        <v>26</v>
      </c>
      <c r="I900" s="7" t="s">
        <v>27</v>
      </c>
      <c r="J900" s="7" t="s">
        <v>42</v>
      </c>
      <c r="K900" s="7" t="s">
        <v>29</v>
      </c>
      <c r="L900" s="7" t="s">
        <v>53</v>
      </c>
      <c r="M900" s="7" t="s">
        <v>75</v>
      </c>
      <c r="N900" s="7">
        <v>6850</v>
      </c>
      <c r="O900" s="7">
        <v>4</v>
      </c>
      <c r="P900" s="16">
        <v>0.05</v>
      </c>
      <c r="Q900" s="7">
        <v>1820</v>
      </c>
      <c r="R900" s="7" t="s">
        <v>46</v>
      </c>
      <c r="S900" s="7" t="s">
        <v>33</v>
      </c>
      <c r="T900" s="7" t="s">
        <v>34</v>
      </c>
      <c r="U900" s="7">
        <v>3</v>
      </c>
      <c r="V900" s="7" t="str">
        <f>TEXT('E-Commerce Sales Data'!$B900,"mmmm")</f>
        <v>February</v>
      </c>
      <c r="W900" s="8">
        <f t="shared" si="56"/>
        <v>1744980</v>
      </c>
      <c r="X900">
        <f t="shared" si="57"/>
        <v>302</v>
      </c>
      <c r="Y900">
        <f t="shared" si="58"/>
        <v>33276.920529801326</v>
      </c>
      <c r="Z900">
        <f t="shared" si="59"/>
        <v>55</v>
      </c>
    </row>
    <row r="901" spans="1:26" x14ac:dyDescent="0.25">
      <c r="A901" s="9" t="s">
        <v>1213</v>
      </c>
      <c r="B901" s="10">
        <v>51925</v>
      </c>
      <c r="C901" s="11" t="s">
        <v>1214</v>
      </c>
      <c r="D901" s="11" t="s">
        <v>927</v>
      </c>
      <c r="E901" s="11">
        <v>29</v>
      </c>
      <c r="F901" s="11" t="s">
        <v>38</v>
      </c>
      <c r="G901" s="11" t="s">
        <v>924</v>
      </c>
      <c r="H901" s="11" t="s">
        <v>26</v>
      </c>
      <c r="I901" s="11" t="s">
        <v>27</v>
      </c>
      <c r="J901" s="11" t="s">
        <v>28</v>
      </c>
      <c r="K901" s="11" t="s">
        <v>29</v>
      </c>
      <c r="L901" s="11" t="s">
        <v>53</v>
      </c>
      <c r="M901" s="11" t="s">
        <v>79</v>
      </c>
      <c r="N901" s="11">
        <v>7400</v>
      </c>
      <c r="O901" s="11">
        <v>7</v>
      </c>
      <c r="P901" s="17">
        <v>0</v>
      </c>
      <c r="Q901" s="11">
        <v>2220</v>
      </c>
      <c r="R901" s="11" t="s">
        <v>32</v>
      </c>
      <c r="S901" s="11" t="s">
        <v>33</v>
      </c>
      <c r="T901" s="11" t="s">
        <v>34</v>
      </c>
      <c r="U901" s="11">
        <v>4</v>
      </c>
      <c r="V901" s="11" t="str">
        <f>TEXT('E-Commerce Sales Data'!$B901,"mmmm")</f>
        <v>February</v>
      </c>
      <c r="W901" s="8">
        <f t="shared" si="56"/>
        <v>1743160</v>
      </c>
      <c r="X901">
        <f t="shared" si="57"/>
        <v>301</v>
      </c>
      <c r="Y901">
        <f t="shared" si="58"/>
        <v>33364.71760797342</v>
      </c>
      <c r="Z901">
        <f t="shared" si="59"/>
        <v>55</v>
      </c>
    </row>
    <row r="902" spans="1:26" x14ac:dyDescent="0.25">
      <c r="A902" s="5" t="s">
        <v>1215</v>
      </c>
      <c r="B902" s="6">
        <v>51932</v>
      </c>
      <c r="C902" s="7" t="s">
        <v>1216</v>
      </c>
      <c r="D902" s="7" t="s">
        <v>920</v>
      </c>
      <c r="E902" s="7">
        <v>37</v>
      </c>
      <c r="F902" s="7" t="s">
        <v>24</v>
      </c>
      <c r="G902" s="7" t="s">
        <v>59</v>
      </c>
      <c r="H902" s="7" t="s">
        <v>26</v>
      </c>
      <c r="I902" s="7" t="s">
        <v>27</v>
      </c>
      <c r="J902" s="7" t="s">
        <v>28</v>
      </c>
      <c r="K902" s="7" t="s">
        <v>29</v>
      </c>
      <c r="L902" s="7" t="s">
        <v>30</v>
      </c>
      <c r="M902" s="7" t="s">
        <v>31</v>
      </c>
      <c r="N902" s="7">
        <v>117000</v>
      </c>
      <c r="O902" s="7">
        <v>1</v>
      </c>
      <c r="P902" s="16">
        <v>0.05</v>
      </c>
      <c r="Q902" s="7">
        <v>15500</v>
      </c>
      <c r="R902" s="7" t="s">
        <v>32</v>
      </c>
      <c r="S902" s="7" t="s">
        <v>47</v>
      </c>
      <c r="T902" s="7" t="s">
        <v>34</v>
      </c>
      <c r="U902" s="7">
        <v>5</v>
      </c>
      <c r="V902" s="7" t="str">
        <f>TEXT('E-Commerce Sales Data'!$B902,"mmmm")</f>
        <v>March</v>
      </c>
      <c r="W902" s="8">
        <f t="shared" si="56"/>
        <v>1740940</v>
      </c>
      <c r="X902">
        <f t="shared" si="57"/>
        <v>300</v>
      </c>
      <c r="Y902">
        <f t="shared" si="58"/>
        <v>33451.26666666667</v>
      </c>
      <c r="Z902">
        <f t="shared" si="59"/>
        <v>55</v>
      </c>
    </row>
    <row r="903" spans="1:26" x14ac:dyDescent="0.25">
      <c r="A903" s="9" t="s">
        <v>1217</v>
      </c>
      <c r="B903" s="10">
        <v>51939</v>
      </c>
      <c r="C903" s="11" t="s">
        <v>1218</v>
      </c>
      <c r="D903" s="11" t="s">
        <v>1219</v>
      </c>
      <c r="E903" s="11">
        <v>25</v>
      </c>
      <c r="F903" s="11" t="s">
        <v>38</v>
      </c>
      <c r="G903" s="11" t="s">
        <v>78</v>
      </c>
      <c r="H903" s="11" t="s">
        <v>26</v>
      </c>
      <c r="I903" s="11" t="s">
        <v>27</v>
      </c>
      <c r="J903" s="11" t="s">
        <v>42</v>
      </c>
      <c r="K903" s="11" t="s">
        <v>43</v>
      </c>
      <c r="L903" s="11" t="s">
        <v>44</v>
      </c>
      <c r="M903" s="11" t="s">
        <v>45</v>
      </c>
      <c r="N903" s="11">
        <v>19000</v>
      </c>
      <c r="O903" s="11">
        <v>3</v>
      </c>
      <c r="P903" s="17">
        <v>0.1</v>
      </c>
      <c r="Q903" s="11">
        <v>4440</v>
      </c>
      <c r="R903" s="11" t="s">
        <v>46</v>
      </c>
      <c r="S903" s="11" t="s">
        <v>33</v>
      </c>
      <c r="T903" s="11" t="s">
        <v>34</v>
      </c>
      <c r="U903" s="11">
        <v>4</v>
      </c>
      <c r="V903" s="11" t="str">
        <f>TEXT('E-Commerce Sales Data'!$B903,"mmmm")</f>
        <v>March</v>
      </c>
      <c r="W903" s="8">
        <f t="shared" si="56"/>
        <v>1725440</v>
      </c>
      <c r="X903">
        <f t="shared" si="57"/>
        <v>299</v>
      </c>
      <c r="Y903">
        <f t="shared" si="58"/>
        <v>33171.839464882942</v>
      </c>
      <c r="Z903">
        <f t="shared" si="59"/>
        <v>55</v>
      </c>
    </row>
    <row r="904" spans="1:26" x14ac:dyDescent="0.25">
      <c r="A904" s="5" t="s">
        <v>1220</v>
      </c>
      <c r="B904" s="6">
        <v>51946</v>
      </c>
      <c r="C904" s="7" t="s">
        <v>1221</v>
      </c>
      <c r="D904" s="7" t="s">
        <v>1222</v>
      </c>
      <c r="E904" s="7">
        <v>33</v>
      </c>
      <c r="F904" s="7" t="s">
        <v>24</v>
      </c>
      <c r="G904" s="7" t="s">
        <v>928</v>
      </c>
      <c r="H904" s="7" t="s">
        <v>26</v>
      </c>
      <c r="I904" s="7" t="s">
        <v>27</v>
      </c>
      <c r="J904" s="7" t="s">
        <v>28</v>
      </c>
      <c r="K904" s="7" t="s">
        <v>29</v>
      </c>
      <c r="L904" s="7" t="s">
        <v>53</v>
      </c>
      <c r="M904" s="7" t="s">
        <v>54</v>
      </c>
      <c r="N904" s="7">
        <v>43700</v>
      </c>
      <c r="O904" s="7">
        <v>2</v>
      </c>
      <c r="P904" s="16">
        <v>0.05</v>
      </c>
      <c r="Q904" s="7">
        <v>8550</v>
      </c>
      <c r="R904" s="7" t="s">
        <v>55</v>
      </c>
      <c r="S904" s="7" t="s">
        <v>33</v>
      </c>
      <c r="T904" s="7" t="s">
        <v>34</v>
      </c>
      <c r="U904" s="7">
        <v>4</v>
      </c>
      <c r="V904" s="7" t="str">
        <f>TEXT('E-Commerce Sales Data'!$B904,"mmmm")</f>
        <v>March</v>
      </c>
      <c r="W904" s="8">
        <f t="shared" si="56"/>
        <v>1721000</v>
      </c>
      <c r="X904">
        <f t="shared" si="57"/>
        <v>298</v>
      </c>
      <c r="Y904">
        <f t="shared" si="58"/>
        <v>33219.395973154365</v>
      </c>
      <c r="Z904">
        <f t="shared" si="59"/>
        <v>55</v>
      </c>
    </row>
    <row r="905" spans="1:26" x14ac:dyDescent="0.25">
      <c r="A905" s="9" t="s">
        <v>1223</v>
      </c>
      <c r="B905" s="10">
        <v>51953</v>
      </c>
      <c r="C905" s="11" t="s">
        <v>1224</v>
      </c>
      <c r="D905" s="11" t="s">
        <v>1225</v>
      </c>
      <c r="E905" s="11">
        <v>31</v>
      </c>
      <c r="F905" s="11" t="s">
        <v>38</v>
      </c>
      <c r="G905" s="11" t="s">
        <v>1050</v>
      </c>
      <c r="H905" s="11" t="s">
        <v>26</v>
      </c>
      <c r="I905" s="11" t="s">
        <v>27</v>
      </c>
      <c r="J905" s="11" t="s">
        <v>28</v>
      </c>
      <c r="K905" s="11" t="s">
        <v>60</v>
      </c>
      <c r="L905" s="11" t="s">
        <v>61</v>
      </c>
      <c r="M905" s="11" t="s">
        <v>86</v>
      </c>
      <c r="N905" s="11">
        <v>1330</v>
      </c>
      <c r="O905" s="11">
        <v>20</v>
      </c>
      <c r="P905" s="17">
        <v>0.02</v>
      </c>
      <c r="Q905" s="11">
        <v>390</v>
      </c>
      <c r="R905" s="11" t="s">
        <v>32</v>
      </c>
      <c r="S905" s="11" t="s">
        <v>33</v>
      </c>
      <c r="T905" s="11" t="s">
        <v>34</v>
      </c>
      <c r="U905" s="11">
        <v>5</v>
      </c>
      <c r="V905" s="11" t="str">
        <f>TEXT('E-Commerce Sales Data'!$B905,"mmmm")</f>
        <v>March</v>
      </c>
      <c r="W905" s="8">
        <f t="shared" si="56"/>
        <v>1712450</v>
      </c>
      <c r="X905">
        <f t="shared" si="57"/>
        <v>297</v>
      </c>
      <c r="Y905">
        <f t="shared" si="58"/>
        <v>33184.107744107743</v>
      </c>
      <c r="Z905">
        <f t="shared" si="59"/>
        <v>55</v>
      </c>
    </row>
    <row r="906" spans="1:26" x14ac:dyDescent="0.25">
      <c r="A906" s="5" t="s">
        <v>1226</v>
      </c>
      <c r="B906" s="6">
        <v>51960</v>
      </c>
      <c r="C906" s="7" t="s">
        <v>1227</v>
      </c>
      <c r="D906" s="7" t="s">
        <v>1228</v>
      </c>
      <c r="E906" s="7">
        <v>45</v>
      </c>
      <c r="F906" s="7" t="s">
        <v>24</v>
      </c>
      <c r="G906" s="7" t="s">
        <v>59</v>
      </c>
      <c r="H906" s="7" t="s">
        <v>26</v>
      </c>
      <c r="I906" s="7" t="s">
        <v>27</v>
      </c>
      <c r="J906" s="7" t="s">
        <v>42</v>
      </c>
      <c r="K906" s="7" t="s">
        <v>43</v>
      </c>
      <c r="L906" s="7" t="s">
        <v>68</v>
      </c>
      <c r="M906" s="7" t="s">
        <v>69</v>
      </c>
      <c r="N906" s="7">
        <v>46200</v>
      </c>
      <c r="O906" s="7">
        <v>2</v>
      </c>
      <c r="P906" s="16">
        <v>0.08</v>
      </c>
      <c r="Q906" s="7">
        <v>8000</v>
      </c>
      <c r="R906" s="7" t="s">
        <v>46</v>
      </c>
      <c r="S906" s="7" t="s">
        <v>47</v>
      </c>
      <c r="T906" s="7" t="s">
        <v>34</v>
      </c>
      <c r="U906" s="7">
        <v>4</v>
      </c>
      <c r="V906" s="7" t="str">
        <f>TEXT('E-Commerce Sales Data'!$B906,"mmmm")</f>
        <v>April</v>
      </c>
      <c r="W906" s="8">
        <f t="shared" si="56"/>
        <v>1712060</v>
      </c>
      <c r="X906">
        <f t="shared" si="57"/>
        <v>296</v>
      </c>
      <c r="Y906">
        <f t="shared" si="58"/>
        <v>33291.722972972973</v>
      </c>
      <c r="Z906">
        <f t="shared" si="59"/>
        <v>55</v>
      </c>
    </row>
    <row r="907" spans="1:26" x14ac:dyDescent="0.25">
      <c r="A907" s="9" t="s">
        <v>1229</v>
      </c>
      <c r="B907" s="10">
        <v>51967</v>
      </c>
      <c r="C907" s="11" t="s">
        <v>1230</v>
      </c>
      <c r="D907" s="11" t="s">
        <v>1068</v>
      </c>
      <c r="E907" s="11">
        <v>27</v>
      </c>
      <c r="F907" s="11" t="s">
        <v>38</v>
      </c>
      <c r="G907" s="11" t="s">
        <v>914</v>
      </c>
      <c r="H907" s="11" t="s">
        <v>26</v>
      </c>
      <c r="I907" s="11" t="s">
        <v>27</v>
      </c>
      <c r="J907" s="11" t="s">
        <v>28</v>
      </c>
      <c r="K907" s="11" t="s">
        <v>29</v>
      </c>
      <c r="L907" s="11" t="s">
        <v>53</v>
      </c>
      <c r="M907" s="11" t="s">
        <v>75</v>
      </c>
      <c r="N907" s="11">
        <v>6650</v>
      </c>
      <c r="O907" s="11">
        <v>3</v>
      </c>
      <c r="P907" s="17">
        <v>0.05</v>
      </c>
      <c r="Q907" s="11">
        <v>1770</v>
      </c>
      <c r="R907" s="11" t="s">
        <v>32</v>
      </c>
      <c r="S907" s="11" t="s">
        <v>33</v>
      </c>
      <c r="T907" s="11" t="s">
        <v>34</v>
      </c>
      <c r="U907" s="11">
        <v>4</v>
      </c>
      <c r="V907" s="11" t="str">
        <f>TEXT('E-Commerce Sales Data'!$B907,"mmmm")</f>
        <v>April</v>
      </c>
      <c r="W907" s="8">
        <f t="shared" si="56"/>
        <v>1704060</v>
      </c>
      <c r="X907">
        <f t="shared" si="57"/>
        <v>295</v>
      </c>
      <c r="Y907">
        <f t="shared" si="58"/>
        <v>33247.966101694918</v>
      </c>
      <c r="Z907">
        <f t="shared" si="59"/>
        <v>55</v>
      </c>
    </row>
    <row r="908" spans="1:26" x14ac:dyDescent="0.25">
      <c r="A908" s="5" t="s">
        <v>1231</v>
      </c>
      <c r="B908" s="6">
        <v>51974</v>
      </c>
      <c r="C908" s="7" t="s">
        <v>1232</v>
      </c>
      <c r="D908" s="7" t="s">
        <v>1233</v>
      </c>
      <c r="E908" s="7">
        <v>30</v>
      </c>
      <c r="F908" s="7" t="s">
        <v>24</v>
      </c>
      <c r="G908" s="7" t="s">
        <v>1069</v>
      </c>
      <c r="H908" s="7" t="s">
        <v>26</v>
      </c>
      <c r="I908" s="7" t="s">
        <v>27</v>
      </c>
      <c r="J908" s="7" t="s">
        <v>28</v>
      </c>
      <c r="K908" s="7" t="s">
        <v>29</v>
      </c>
      <c r="L908" s="7" t="s">
        <v>53</v>
      </c>
      <c r="M908" s="7" t="s">
        <v>79</v>
      </c>
      <c r="N908" s="7">
        <v>7500</v>
      </c>
      <c r="O908" s="7">
        <v>6</v>
      </c>
      <c r="P908" s="16">
        <v>0</v>
      </c>
      <c r="Q908" s="7">
        <v>2250</v>
      </c>
      <c r="R908" s="7" t="s">
        <v>80</v>
      </c>
      <c r="S908" s="7" t="s">
        <v>33</v>
      </c>
      <c r="T908" s="7" t="s">
        <v>34</v>
      </c>
      <c r="U908" s="7">
        <v>3</v>
      </c>
      <c r="V908" s="7" t="str">
        <f>TEXT('E-Commerce Sales Data'!$B908,"mmmm")</f>
        <v>April</v>
      </c>
      <c r="W908" s="8">
        <f t="shared" si="56"/>
        <v>1702290</v>
      </c>
      <c r="X908">
        <f t="shared" si="57"/>
        <v>294</v>
      </c>
      <c r="Y908">
        <f t="shared" si="58"/>
        <v>33338.43537414966</v>
      </c>
      <c r="Z908">
        <f t="shared" si="59"/>
        <v>55</v>
      </c>
    </row>
    <row r="909" spans="1:26" x14ac:dyDescent="0.25">
      <c r="A909" s="9" t="s">
        <v>1234</v>
      </c>
      <c r="B909" s="10">
        <v>51981</v>
      </c>
      <c r="C909" s="11" t="s">
        <v>1235</v>
      </c>
      <c r="D909" s="11" t="s">
        <v>1236</v>
      </c>
      <c r="E909" s="11">
        <v>34</v>
      </c>
      <c r="F909" s="11" t="s">
        <v>38</v>
      </c>
      <c r="G909" s="11" t="s">
        <v>932</v>
      </c>
      <c r="H909" s="11" t="s">
        <v>26</v>
      </c>
      <c r="I909" s="11" t="s">
        <v>27</v>
      </c>
      <c r="J909" s="11" t="s">
        <v>42</v>
      </c>
      <c r="K909" s="11" t="s">
        <v>60</v>
      </c>
      <c r="L909" s="11" t="s">
        <v>61</v>
      </c>
      <c r="M909" s="11" t="s">
        <v>62</v>
      </c>
      <c r="N909" s="11">
        <v>12100</v>
      </c>
      <c r="O909" s="11">
        <v>10</v>
      </c>
      <c r="P909" s="17">
        <v>0.02</v>
      </c>
      <c r="Q909" s="11">
        <v>3000</v>
      </c>
      <c r="R909" s="11" t="s">
        <v>32</v>
      </c>
      <c r="S909" s="11" t="s">
        <v>33</v>
      </c>
      <c r="T909" s="11" t="s">
        <v>34</v>
      </c>
      <c r="U909" s="11">
        <v>5</v>
      </c>
      <c r="V909" s="11" t="str">
        <f>TEXT('E-Commerce Sales Data'!$B909,"mmmm")</f>
        <v>April</v>
      </c>
      <c r="W909" s="8">
        <f t="shared" si="56"/>
        <v>1700040</v>
      </c>
      <c r="X909">
        <f t="shared" si="57"/>
        <v>293</v>
      </c>
      <c r="Y909">
        <f t="shared" si="58"/>
        <v>33426.621160409559</v>
      </c>
      <c r="Z909">
        <f t="shared" si="59"/>
        <v>55</v>
      </c>
    </row>
    <row r="910" spans="1:26" x14ac:dyDescent="0.25">
      <c r="A910" s="5" t="s">
        <v>1237</v>
      </c>
      <c r="B910" s="6">
        <v>51988</v>
      </c>
      <c r="C910" s="7" t="s">
        <v>1238</v>
      </c>
      <c r="D910" s="7" t="s">
        <v>1062</v>
      </c>
      <c r="E910" s="7">
        <v>48</v>
      </c>
      <c r="F910" s="7" t="s">
        <v>24</v>
      </c>
      <c r="G910" s="7" t="s">
        <v>78</v>
      </c>
      <c r="H910" s="7" t="s">
        <v>26</v>
      </c>
      <c r="I910" s="7" t="s">
        <v>27</v>
      </c>
      <c r="J910" s="7" t="s">
        <v>42</v>
      </c>
      <c r="K910" s="7" t="s">
        <v>43</v>
      </c>
      <c r="L910" s="7" t="s">
        <v>92</v>
      </c>
      <c r="M910" s="7" t="s">
        <v>93</v>
      </c>
      <c r="N910" s="7">
        <v>28700</v>
      </c>
      <c r="O910" s="7">
        <v>1</v>
      </c>
      <c r="P910" s="16">
        <v>0.1</v>
      </c>
      <c r="Q910" s="7">
        <v>5200</v>
      </c>
      <c r="R910" s="7" t="s">
        <v>46</v>
      </c>
      <c r="S910" s="7" t="s">
        <v>47</v>
      </c>
      <c r="T910" s="7" t="s">
        <v>34</v>
      </c>
      <c r="U910" s="7">
        <v>4</v>
      </c>
      <c r="V910" s="7" t="str">
        <f>TEXT('E-Commerce Sales Data'!$B910,"mmmm")</f>
        <v>May</v>
      </c>
      <c r="W910" s="8">
        <f t="shared" si="56"/>
        <v>1697040</v>
      </c>
      <c r="X910">
        <f t="shared" si="57"/>
        <v>292</v>
      </c>
      <c r="Y910">
        <f t="shared" si="58"/>
        <v>33499.657534246573</v>
      </c>
      <c r="Z910">
        <f t="shared" si="59"/>
        <v>55</v>
      </c>
    </row>
    <row r="911" spans="1:26" x14ac:dyDescent="0.25">
      <c r="A911" s="9" t="s">
        <v>1239</v>
      </c>
      <c r="B911" s="10">
        <v>51995</v>
      </c>
      <c r="C911" s="11" t="s">
        <v>1240</v>
      </c>
      <c r="D911" s="11" t="s">
        <v>1241</v>
      </c>
      <c r="E911" s="11">
        <v>26</v>
      </c>
      <c r="F911" s="11" t="s">
        <v>38</v>
      </c>
      <c r="G911" s="11" t="s">
        <v>1125</v>
      </c>
      <c r="H911" s="11" t="s">
        <v>26</v>
      </c>
      <c r="I911" s="11" t="s">
        <v>27</v>
      </c>
      <c r="J911" s="11" t="s">
        <v>28</v>
      </c>
      <c r="K911" s="11" t="s">
        <v>29</v>
      </c>
      <c r="L911" s="11" t="s">
        <v>96</v>
      </c>
      <c r="M911" s="11" t="s">
        <v>97</v>
      </c>
      <c r="N911" s="11">
        <v>31000</v>
      </c>
      <c r="O911" s="11">
        <v>2</v>
      </c>
      <c r="P911" s="17">
        <v>0.05</v>
      </c>
      <c r="Q911" s="11">
        <v>5920</v>
      </c>
      <c r="R911" s="11" t="s">
        <v>32</v>
      </c>
      <c r="S911" s="11" t="s">
        <v>33</v>
      </c>
      <c r="T911" s="11" t="s">
        <v>34</v>
      </c>
      <c r="U911" s="11">
        <v>4</v>
      </c>
      <c r="V911" s="11" t="str">
        <f>TEXT('E-Commerce Sales Data'!$B911,"mmmm")</f>
        <v>May</v>
      </c>
      <c r="W911" s="8">
        <f t="shared" si="56"/>
        <v>1691840</v>
      </c>
      <c r="X911">
        <f t="shared" si="57"/>
        <v>291</v>
      </c>
      <c r="Y911">
        <f t="shared" si="58"/>
        <v>33516.151202749141</v>
      </c>
      <c r="Z911">
        <f t="shared" si="59"/>
        <v>55</v>
      </c>
    </row>
    <row r="912" spans="1:26" x14ac:dyDescent="0.25">
      <c r="A912" s="5" t="s">
        <v>1242</v>
      </c>
      <c r="B912" s="6">
        <v>52002</v>
      </c>
      <c r="C912" s="7" t="s">
        <v>1243</v>
      </c>
      <c r="D912" s="7" t="s">
        <v>1244</v>
      </c>
      <c r="E912" s="7">
        <v>35</v>
      </c>
      <c r="F912" s="7" t="s">
        <v>24</v>
      </c>
      <c r="G912" s="7" t="s">
        <v>59</v>
      </c>
      <c r="H912" s="7" t="s">
        <v>26</v>
      </c>
      <c r="I912" s="7" t="s">
        <v>27</v>
      </c>
      <c r="J912" s="7" t="s">
        <v>28</v>
      </c>
      <c r="K912" s="7" t="s">
        <v>60</v>
      </c>
      <c r="L912" s="7" t="s">
        <v>53</v>
      </c>
      <c r="M912" s="7" t="s">
        <v>103</v>
      </c>
      <c r="N912" s="7">
        <v>1870</v>
      </c>
      <c r="O912" s="7">
        <v>25</v>
      </c>
      <c r="P912" s="16">
        <v>0</v>
      </c>
      <c r="Q912" s="7">
        <v>590</v>
      </c>
      <c r="R912" s="7" t="s">
        <v>55</v>
      </c>
      <c r="S912" s="7" t="s">
        <v>33</v>
      </c>
      <c r="T912" s="7" t="s">
        <v>34</v>
      </c>
      <c r="U912" s="7">
        <v>5</v>
      </c>
      <c r="V912" s="7" t="str">
        <f>TEXT('E-Commerce Sales Data'!$B912,"mmmm")</f>
        <v>May</v>
      </c>
      <c r="W912" s="8">
        <f t="shared" si="56"/>
        <v>1685920</v>
      </c>
      <c r="X912">
        <f t="shared" si="57"/>
        <v>290</v>
      </c>
      <c r="Y912">
        <f t="shared" si="58"/>
        <v>33524.827586206899</v>
      </c>
      <c r="Z912">
        <f t="shared" si="59"/>
        <v>55</v>
      </c>
    </row>
    <row r="913" spans="1:26" x14ac:dyDescent="0.25">
      <c r="A913" s="9" t="s">
        <v>1245</v>
      </c>
      <c r="B913" s="10">
        <v>52009</v>
      </c>
      <c r="C913" s="11" t="s">
        <v>1246</v>
      </c>
      <c r="D913" s="11" t="s">
        <v>1247</v>
      </c>
      <c r="E913" s="11">
        <v>32</v>
      </c>
      <c r="F913" s="11" t="s">
        <v>38</v>
      </c>
      <c r="G913" s="11" t="s">
        <v>78</v>
      </c>
      <c r="H913" s="11" t="s">
        <v>26</v>
      </c>
      <c r="I913" s="11" t="s">
        <v>27</v>
      </c>
      <c r="J913" s="11" t="s">
        <v>42</v>
      </c>
      <c r="K913" s="11" t="s">
        <v>43</v>
      </c>
      <c r="L913" s="11" t="s">
        <v>68</v>
      </c>
      <c r="M913" s="11" t="s">
        <v>106</v>
      </c>
      <c r="N913" s="11">
        <v>45800</v>
      </c>
      <c r="O913" s="11">
        <v>1</v>
      </c>
      <c r="P913" s="17">
        <v>0.08</v>
      </c>
      <c r="Q913" s="11">
        <v>9800</v>
      </c>
      <c r="R913" s="11" t="s">
        <v>46</v>
      </c>
      <c r="S913" s="11" t="s">
        <v>47</v>
      </c>
      <c r="T913" s="11" t="s">
        <v>34</v>
      </c>
      <c r="U913" s="11">
        <v>4</v>
      </c>
      <c r="V913" s="11" t="str">
        <f>TEXT('E-Commerce Sales Data'!$B913,"mmmm")</f>
        <v>May</v>
      </c>
      <c r="W913" s="8">
        <f t="shared" si="56"/>
        <v>1685330</v>
      </c>
      <c r="X913">
        <f t="shared" si="57"/>
        <v>289</v>
      </c>
      <c r="Y913">
        <f t="shared" si="58"/>
        <v>33634.359861591693</v>
      </c>
      <c r="Z913">
        <f t="shared" si="59"/>
        <v>55</v>
      </c>
    </row>
    <row r="914" spans="1:26" x14ac:dyDescent="0.25">
      <c r="A914" s="5" t="s">
        <v>1248</v>
      </c>
      <c r="B914" s="6">
        <v>52016</v>
      </c>
      <c r="C914" s="7" t="s">
        <v>1249</v>
      </c>
      <c r="D914" s="7" t="s">
        <v>1250</v>
      </c>
      <c r="E914" s="7">
        <v>40</v>
      </c>
      <c r="F914" s="7" t="s">
        <v>24</v>
      </c>
      <c r="G914" s="7" t="s">
        <v>25</v>
      </c>
      <c r="H914" s="7" t="s">
        <v>26</v>
      </c>
      <c r="I914" s="7" t="s">
        <v>27</v>
      </c>
      <c r="J914" s="7" t="s">
        <v>28</v>
      </c>
      <c r="K914" s="7" t="s">
        <v>29</v>
      </c>
      <c r="L914" s="7" t="s">
        <v>30</v>
      </c>
      <c r="M914" s="7" t="s">
        <v>31</v>
      </c>
      <c r="N914" s="7">
        <v>122000</v>
      </c>
      <c r="O914" s="7">
        <v>1</v>
      </c>
      <c r="P914" s="16">
        <v>0.1</v>
      </c>
      <c r="Q914" s="7">
        <v>14600</v>
      </c>
      <c r="R914" s="7" t="s">
        <v>32</v>
      </c>
      <c r="S914" s="7" t="s">
        <v>47</v>
      </c>
      <c r="T914" s="7" t="s">
        <v>34</v>
      </c>
      <c r="U914" s="7">
        <v>5</v>
      </c>
      <c r="V914" s="7" t="str">
        <f>TEXT('E-Commerce Sales Data'!$B914,"mmmm")</f>
        <v>May</v>
      </c>
      <c r="W914" s="8">
        <f t="shared" si="56"/>
        <v>1675530</v>
      </c>
      <c r="X914">
        <f t="shared" si="57"/>
        <v>288</v>
      </c>
      <c r="Y914">
        <f t="shared" si="58"/>
        <v>33592.118055555555</v>
      </c>
      <c r="Z914">
        <f t="shared" si="59"/>
        <v>55</v>
      </c>
    </row>
    <row r="915" spans="1:26" x14ac:dyDescent="0.25">
      <c r="A915" s="9" t="s">
        <v>1251</v>
      </c>
      <c r="B915" s="10">
        <v>52023</v>
      </c>
      <c r="C915" s="11" t="s">
        <v>1252</v>
      </c>
      <c r="D915" s="11" t="s">
        <v>1253</v>
      </c>
      <c r="E915" s="11">
        <v>28</v>
      </c>
      <c r="F915" s="11" t="s">
        <v>38</v>
      </c>
      <c r="G915" s="11" t="s">
        <v>964</v>
      </c>
      <c r="H915" s="11" t="s">
        <v>965</v>
      </c>
      <c r="I915" s="11" t="s">
        <v>966</v>
      </c>
      <c r="J915" s="11" t="s">
        <v>28</v>
      </c>
      <c r="K915" s="11" t="s">
        <v>60</v>
      </c>
      <c r="L915" s="11" t="s">
        <v>92</v>
      </c>
      <c r="M915" s="11" t="s">
        <v>111</v>
      </c>
      <c r="N915" s="11">
        <v>2460</v>
      </c>
      <c r="O915" s="11">
        <v>15</v>
      </c>
      <c r="P915" s="17">
        <v>0.05</v>
      </c>
      <c r="Q915" s="11">
        <v>810</v>
      </c>
      <c r="R915" s="11" t="s">
        <v>80</v>
      </c>
      <c r="S915" s="11" t="s">
        <v>33</v>
      </c>
      <c r="T915" s="11" t="s">
        <v>34</v>
      </c>
      <c r="U915" s="11">
        <v>4</v>
      </c>
      <c r="V915" s="11" t="str">
        <f>TEXT('E-Commerce Sales Data'!$B915,"mmmm")</f>
        <v>June</v>
      </c>
      <c r="W915" s="8">
        <f t="shared" si="56"/>
        <v>1660930</v>
      </c>
      <c r="X915">
        <f t="shared" si="57"/>
        <v>287</v>
      </c>
      <c r="Y915">
        <f t="shared" si="58"/>
        <v>33284.076655052268</v>
      </c>
      <c r="Z915">
        <f t="shared" si="59"/>
        <v>55</v>
      </c>
    </row>
    <row r="916" spans="1:26" x14ac:dyDescent="0.25">
      <c r="A916" s="5" t="s">
        <v>1254</v>
      </c>
      <c r="B916" s="6">
        <v>52030</v>
      </c>
      <c r="C916" s="7" t="s">
        <v>1255</v>
      </c>
      <c r="D916" s="7" t="s">
        <v>1111</v>
      </c>
      <c r="E916" s="7">
        <v>36</v>
      </c>
      <c r="F916" s="7" t="s">
        <v>38</v>
      </c>
      <c r="G916" s="7" t="s">
        <v>73</v>
      </c>
      <c r="H916" s="7" t="s">
        <v>74</v>
      </c>
      <c r="I916" s="7" t="s">
        <v>41</v>
      </c>
      <c r="J916" s="7" t="s">
        <v>42</v>
      </c>
      <c r="K916" s="7" t="s">
        <v>43</v>
      </c>
      <c r="L916" s="7" t="s">
        <v>44</v>
      </c>
      <c r="M916" s="7" t="s">
        <v>45</v>
      </c>
      <c r="N916" s="7">
        <v>23600</v>
      </c>
      <c r="O916" s="7">
        <v>4</v>
      </c>
      <c r="P916" s="16">
        <v>7.0000000000000007E-2</v>
      </c>
      <c r="Q916" s="7">
        <v>5450</v>
      </c>
      <c r="R916" s="7" t="s">
        <v>46</v>
      </c>
      <c r="S916" s="7" t="s">
        <v>33</v>
      </c>
      <c r="T916" s="7" t="s">
        <v>34</v>
      </c>
      <c r="U916" s="7">
        <v>4</v>
      </c>
      <c r="V916" s="7" t="str">
        <f>TEXT('E-Commerce Sales Data'!$B916,"mmmm")</f>
        <v>June</v>
      </c>
      <c r="W916" s="8">
        <f t="shared" si="56"/>
        <v>1660120</v>
      </c>
      <c r="X916">
        <f t="shared" si="57"/>
        <v>286</v>
      </c>
      <c r="Y916">
        <f t="shared" si="58"/>
        <v>33391.853146853144</v>
      </c>
      <c r="Z916">
        <f t="shared" si="59"/>
        <v>55</v>
      </c>
    </row>
    <row r="917" spans="1:26" x14ac:dyDescent="0.25">
      <c r="A917" s="9" t="s">
        <v>1256</v>
      </c>
      <c r="B917" s="10">
        <v>52037</v>
      </c>
      <c r="C917" s="11" t="s">
        <v>1257</v>
      </c>
      <c r="D917" s="11" t="s">
        <v>917</v>
      </c>
      <c r="E917" s="11">
        <v>39</v>
      </c>
      <c r="F917" s="11" t="s">
        <v>24</v>
      </c>
      <c r="G917" s="11" t="s">
        <v>39</v>
      </c>
      <c r="H917" s="11" t="s">
        <v>40</v>
      </c>
      <c r="I917" s="11" t="s">
        <v>41</v>
      </c>
      <c r="J917" s="11" t="s">
        <v>28</v>
      </c>
      <c r="K917" s="11" t="s">
        <v>29</v>
      </c>
      <c r="L917" s="11" t="s">
        <v>53</v>
      </c>
      <c r="M917" s="11" t="s">
        <v>54</v>
      </c>
      <c r="N917" s="11">
        <v>46700</v>
      </c>
      <c r="O917" s="11">
        <v>2</v>
      </c>
      <c r="P917" s="17">
        <v>0.05</v>
      </c>
      <c r="Q917" s="11">
        <v>9200</v>
      </c>
      <c r="R917" s="11" t="s">
        <v>32</v>
      </c>
      <c r="S917" s="11" t="s">
        <v>47</v>
      </c>
      <c r="T917" s="11" t="s">
        <v>34</v>
      </c>
      <c r="U917" s="11">
        <v>5</v>
      </c>
      <c r="V917" s="11" t="str">
        <f>TEXT('E-Commerce Sales Data'!$B917,"mmmm")</f>
        <v>June</v>
      </c>
      <c r="W917" s="8">
        <f t="shared" si="56"/>
        <v>1654670</v>
      </c>
      <c r="X917">
        <f t="shared" si="57"/>
        <v>285</v>
      </c>
      <c r="Y917">
        <f t="shared" si="58"/>
        <v>33426.210526315786</v>
      </c>
      <c r="Z917">
        <f t="shared" si="59"/>
        <v>55</v>
      </c>
    </row>
    <row r="918" spans="1:26" x14ac:dyDescent="0.25">
      <c r="A918" s="5" t="s">
        <v>1258</v>
      </c>
      <c r="B918" s="6">
        <v>52044</v>
      </c>
      <c r="C918" s="7" t="s">
        <v>1259</v>
      </c>
      <c r="D918" s="7" t="s">
        <v>1260</v>
      </c>
      <c r="E918" s="7">
        <v>29</v>
      </c>
      <c r="F918" s="7" t="s">
        <v>24</v>
      </c>
      <c r="G918" s="7" t="s">
        <v>66</v>
      </c>
      <c r="H918" s="7" t="s">
        <v>67</v>
      </c>
      <c r="I918" s="7" t="s">
        <v>27</v>
      </c>
      <c r="J918" s="7" t="s">
        <v>42</v>
      </c>
      <c r="K918" s="7" t="s">
        <v>60</v>
      </c>
      <c r="L918" s="7" t="s">
        <v>61</v>
      </c>
      <c r="M918" s="7" t="s">
        <v>62</v>
      </c>
      <c r="N918" s="7">
        <v>12300</v>
      </c>
      <c r="O918" s="7">
        <v>10</v>
      </c>
      <c r="P918" s="16">
        <v>0.03</v>
      </c>
      <c r="Q918" s="7">
        <v>3060</v>
      </c>
      <c r="R918" s="7" t="s">
        <v>55</v>
      </c>
      <c r="S918" s="7" t="s">
        <v>33</v>
      </c>
      <c r="T918" s="7" t="s">
        <v>34</v>
      </c>
      <c r="U918" s="7">
        <v>4</v>
      </c>
      <c r="V918" s="7" t="str">
        <f>TEXT('E-Commerce Sales Data'!$B918,"mmmm")</f>
        <v>June</v>
      </c>
      <c r="W918" s="8">
        <f t="shared" si="56"/>
        <v>1645470</v>
      </c>
      <c r="X918">
        <f t="shared" si="57"/>
        <v>284</v>
      </c>
      <c r="Y918">
        <f t="shared" si="58"/>
        <v>33379.471830985916</v>
      </c>
      <c r="Z918">
        <f t="shared" si="59"/>
        <v>55</v>
      </c>
    </row>
    <row r="919" spans="1:26" x14ac:dyDescent="0.25">
      <c r="A919" s="9" t="s">
        <v>1261</v>
      </c>
      <c r="B919" s="10">
        <v>52051</v>
      </c>
      <c r="C919" s="11" t="s">
        <v>1262</v>
      </c>
      <c r="D919" s="11" t="s">
        <v>1263</v>
      </c>
      <c r="E919" s="11">
        <v>27</v>
      </c>
      <c r="F919" s="11" t="s">
        <v>38</v>
      </c>
      <c r="G919" s="11" t="s">
        <v>992</v>
      </c>
      <c r="H919" s="11" t="s">
        <v>67</v>
      </c>
      <c r="I919" s="11" t="s">
        <v>27</v>
      </c>
      <c r="J919" s="11" t="s">
        <v>28</v>
      </c>
      <c r="K919" s="11" t="s">
        <v>43</v>
      </c>
      <c r="L919" s="11" t="s">
        <v>68</v>
      </c>
      <c r="M919" s="11" t="s">
        <v>69</v>
      </c>
      <c r="N919" s="11">
        <v>44000</v>
      </c>
      <c r="O919" s="11">
        <v>2</v>
      </c>
      <c r="P919" s="17">
        <v>0.1</v>
      </c>
      <c r="Q919" s="11">
        <v>7200</v>
      </c>
      <c r="R919" s="11" t="s">
        <v>32</v>
      </c>
      <c r="S919" s="11" t="s">
        <v>47</v>
      </c>
      <c r="T919" s="11" t="s">
        <v>34</v>
      </c>
      <c r="U919" s="11">
        <v>5</v>
      </c>
      <c r="V919" s="11" t="str">
        <f>TEXT('E-Commerce Sales Data'!$B919,"mmmm")</f>
        <v>July</v>
      </c>
      <c r="W919" s="8">
        <f t="shared" si="56"/>
        <v>1642410</v>
      </c>
      <c r="X919">
        <f t="shared" si="57"/>
        <v>283</v>
      </c>
      <c r="Y919">
        <f t="shared" si="58"/>
        <v>33453.957597173146</v>
      </c>
      <c r="Z919">
        <f t="shared" si="59"/>
        <v>55</v>
      </c>
    </row>
    <row r="920" spans="1:26" x14ac:dyDescent="0.25">
      <c r="A920" s="5" t="s">
        <v>1264</v>
      </c>
      <c r="B920" s="6">
        <v>52058</v>
      </c>
      <c r="C920" s="7" t="s">
        <v>113</v>
      </c>
      <c r="D920" s="7" t="s">
        <v>1265</v>
      </c>
      <c r="E920" s="7">
        <v>42</v>
      </c>
      <c r="F920" s="7" t="s">
        <v>24</v>
      </c>
      <c r="G920" s="7" t="s">
        <v>1020</v>
      </c>
      <c r="H920" s="7" t="s">
        <v>965</v>
      </c>
      <c r="I920" s="7" t="s">
        <v>966</v>
      </c>
      <c r="J920" s="7" t="s">
        <v>42</v>
      </c>
      <c r="K920" s="7" t="s">
        <v>29</v>
      </c>
      <c r="L920" s="7" t="s">
        <v>53</v>
      </c>
      <c r="M920" s="7" t="s">
        <v>75</v>
      </c>
      <c r="N920" s="7">
        <v>6950</v>
      </c>
      <c r="O920" s="7">
        <v>4</v>
      </c>
      <c r="P920" s="16">
        <v>0.05</v>
      </c>
      <c r="Q920" s="7">
        <v>1850</v>
      </c>
      <c r="R920" s="7" t="s">
        <v>46</v>
      </c>
      <c r="S920" s="7" t="s">
        <v>33</v>
      </c>
      <c r="T920" s="7" t="s">
        <v>34</v>
      </c>
      <c r="U920" s="7">
        <v>3</v>
      </c>
      <c r="V920" s="7" t="str">
        <f>TEXT('E-Commerce Sales Data'!$B920,"mmmm")</f>
        <v>July</v>
      </c>
      <c r="W920" s="8">
        <f t="shared" si="56"/>
        <v>1635210</v>
      </c>
      <c r="X920">
        <f t="shared" si="57"/>
        <v>282</v>
      </c>
      <c r="Y920">
        <f t="shared" si="58"/>
        <v>33416.560283687941</v>
      </c>
      <c r="Z920">
        <f t="shared" si="59"/>
        <v>55</v>
      </c>
    </row>
    <row r="921" spans="1:26" x14ac:dyDescent="0.25">
      <c r="A921" s="9" t="s">
        <v>1266</v>
      </c>
      <c r="B921" s="10">
        <v>52065</v>
      </c>
      <c r="C921" s="11" t="s">
        <v>1170</v>
      </c>
      <c r="D921" s="11" t="s">
        <v>83</v>
      </c>
      <c r="E921" s="11">
        <v>30</v>
      </c>
      <c r="F921" s="11" t="s">
        <v>38</v>
      </c>
      <c r="G921" s="11" t="s">
        <v>1267</v>
      </c>
      <c r="H921" s="11" t="s">
        <v>40</v>
      </c>
      <c r="I921" s="11" t="s">
        <v>41</v>
      </c>
      <c r="J921" s="11" t="s">
        <v>28</v>
      </c>
      <c r="K921" s="11" t="s">
        <v>29</v>
      </c>
      <c r="L921" s="11" t="s">
        <v>53</v>
      </c>
      <c r="M921" s="11" t="s">
        <v>79</v>
      </c>
      <c r="N921" s="11">
        <v>7600</v>
      </c>
      <c r="O921" s="11">
        <v>7</v>
      </c>
      <c r="P921" s="17">
        <v>0</v>
      </c>
      <c r="Q921" s="11">
        <v>2280</v>
      </c>
      <c r="R921" s="11" t="s">
        <v>32</v>
      </c>
      <c r="S921" s="11" t="s">
        <v>33</v>
      </c>
      <c r="T921" s="11" t="s">
        <v>34</v>
      </c>
      <c r="U921" s="11">
        <v>4</v>
      </c>
      <c r="V921" s="11" t="str">
        <f>TEXT('E-Commerce Sales Data'!$B921,"mmmm")</f>
        <v>July</v>
      </c>
      <c r="W921" s="8">
        <f t="shared" si="56"/>
        <v>1633360</v>
      </c>
      <c r="X921">
        <f t="shared" si="57"/>
        <v>281</v>
      </c>
      <c r="Y921">
        <f t="shared" si="58"/>
        <v>33510.747330960854</v>
      </c>
      <c r="Z921">
        <f t="shared" si="59"/>
        <v>55</v>
      </c>
    </row>
    <row r="922" spans="1:26" x14ac:dyDescent="0.25">
      <c r="A922" s="5" t="s">
        <v>1268</v>
      </c>
      <c r="B922" s="6">
        <v>52072</v>
      </c>
      <c r="C922" s="7" t="s">
        <v>1269</v>
      </c>
      <c r="D922" s="7" t="s">
        <v>917</v>
      </c>
      <c r="E922" s="7">
        <v>25</v>
      </c>
      <c r="F922" s="7" t="s">
        <v>38</v>
      </c>
      <c r="G922" s="7" t="s">
        <v>1009</v>
      </c>
      <c r="H922" s="7" t="s">
        <v>1010</v>
      </c>
      <c r="I922" s="7" t="s">
        <v>41</v>
      </c>
      <c r="J922" s="7" t="s">
        <v>28</v>
      </c>
      <c r="K922" s="7" t="s">
        <v>29</v>
      </c>
      <c r="L922" s="7" t="s">
        <v>30</v>
      </c>
      <c r="M922" s="7" t="s">
        <v>31</v>
      </c>
      <c r="N922" s="7">
        <v>119500</v>
      </c>
      <c r="O922" s="7">
        <v>1</v>
      </c>
      <c r="P922" s="16">
        <v>0.05</v>
      </c>
      <c r="Q922" s="7">
        <v>15700</v>
      </c>
      <c r="R922" s="7" t="s">
        <v>32</v>
      </c>
      <c r="S922" s="7" t="s">
        <v>47</v>
      </c>
      <c r="T922" s="7" t="s">
        <v>34</v>
      </c>
      <c r="U922" s="7">
        <v>5</v>
      </c>
      <c r="V922" s="7" t="str">
        <f>TEXT('E-Commerce Sales Data'!$B922,"mmmm")</f>
        <v>July</v>
      </c>
      <c r="W922" s="8">
        <f t="shared" si="56"/>
        <v>1631080</v>
      </c>
      <c r="X922">
        <f t="shared" si="57"/>
        <v>280</v>
      </c>
      <c r="Y922">
        <f t="shared" si="58"/>
        <v>33603.285714285717</v>
      </c>
      <c r="Z922">
        <f t="shared" si="59"/>
        <v>55</v>
      </c>
    </row>
    <row r="923" spans="1:26" x14ac:dyDescent="0.25">
      <c r="A923" s="9" t="s">
        <v>1270</v>
      </c>
      <c r="B923" s="10">
        <v>52079</v>
      </c>
      <c r="C923" s="11" t="s">
        <v>1271</v>
      </c>
      <c r="D923" s="11" t="s">
        <v>1013</v>
      </c>
      <c r="E923" s="11">
        <v>44</v>
      </c>
      <c r="F923" s="11" t="s">
        <v>24</v>
      </c>
      <c r="G923" s="11" t="s">
        <v>1136</v>
      </c>
      <c r="H923" s="11" t="s">
        <v>1010</v>
      </c>
      <c r="I923" s="11" t="s">
        <v>41</v>
      </c>
      <c r="J923" s="11" t="s">
        <v>42</v>
      </c>
      <c r="K923" s="11" t="s">
        <v>43</v>
      </c>
      <c r="L923" s="11" t="s">
        <v>44</v>
      </c>
      <c r="M923" s="11" t="s">
        <v>45</v>
      </c>
      <c r="N923" s="11">
        <v>19400</v>
      </c>
      <c r="O923" s="11">
        <v>3</v>
      </c>
      <c r="P923" s="17">
        <v>0.1</v>
      </c>
      <c r="Q923" s="11">
        <v>4520</v>
      </c>
      <c r="R923" s="11" t="s">
        <v>46</v>
      </c>
      <c r="S923" s="11" t="s">
        <v>33</v>
      </c>
      <c r="T923" s="11" t="s">
        <v>34</v>
      </c>
      <c r="U923" s="11">
        <v>4</v>
      </c>
      <c r="V923" s="11" t="str">
        <f>TEXT('E-Commerce Sales Data'!$B923,"mmmm")</f>
        <v>August</v>
      </c>
      <c r="W923" s="8">
        <f t="shared" si="56"/>
        <v>1615380</v>
      </c>
      <c r="X923">
        <f t="shared" si="57"/>
        <v>279</v>
      </c>
      <c r="Y923">
        <f t="shared" si="58"/>
        <v>33295.41218637993</v>
      </c>
      <c r="Z923">
        <f t="shared" si="59"/>
        <v>55</v>
      </c>
    </row>
    <row r="924" spans="1:26" x14ac:dyDescent="0.25">
      <c r="A924" s="5" t="s">
        <v>1272</v>
      </c>
      <c r="B924" s="6">
        <v>52086</v>
      </c>
      <c r="C924" s="7" t="s">
        <v>1273</v>
      </c>
      <c r="D924" s="7" t="s">
        <v>1274</v>
      </c>
      <c r="E924" s="7">
        <v>47</v>
      </c>
      <c r="F924" s="7" t="s">
        <v>24</v>
      </c>
      <c r="G924" s="7" t="s">
        <v>101</v>
      </c>
      <c r="H924" s="7" t="s">
        <v>102</v>
      </c>
      <c r="I924" s="7" t="s">
        <v>41</v>
      </c>
      <c r="J924" s="7" t="s">
        <v>28</v>
      </c>
      <c r="K924" s="7" t="s">
        <v>29</v>
      </c>
      <c r="L924" s="7" t="s">
        <v>53</v>
      </c>
      <c r="M924" s="7" t="s">
        <v>54</v>
      </c>
      <c r="N924" s="7">
        <v>44400</v>
      </c>
      <c r="O924" s="7">
        <v>2</v>
      </c>
      <c r="P924" s="16">
        <v>0.05</v>
      </c>
      <c r="Q924" s="7">
        <v>8700</v>
      </c>
      <c r="R924" s="7" t="s">
        <v>55</v>
      </c>
      <c r="S924" s="7" t="s">
        <v>33</v>
      </c>
      <c r="T924" s="7" t="s">
        <v>34</v>
      </c>
      <c r="U924" s="7">
        <v>4</v>
      </c>
      <c r="V924" s="7" t="str">
        <f>TEXT('E-Commerce Sales Data'!$B924,"mmmm")</f>
        <v>August</v>
      </c>
      <c r="W924" s="8">
        <f t="shared" si="56"/>
        <v>1610860</v>
      </c>
      <c r="X924">
        <f t="shared" si="57"/>
        <v>278</v>
      </c>
      <c r="Y924">
        <f t="shared" si="58"/>
        <v>33345.395683453236</v>
      </c>
      <c r="Z924">
        <f t="shared" si="59"/>
        <v>55</v>
      </c>
    </row>
    <row r="925" spans="1:26" x14ac:dyDescent="0.25">
      <c r="A925" s="9" t="s">
        <v>1275</v>
      </c>
      <c r="B925" s="10">
        <v>52093</v>
      </c>
      <c r="C925" s="11" t="s">
        <v>1276</v>
      </c>
      <c r="D925" s="11" t="s">
        <v>1277</v>
      </c>
      <c r="E925" s="11">
        <v>33</v>
      </c>
      <c r="F925" s="11" t="s">
        <v>38</v>
      </c>
      <c r="G925" s="11" t="s">
        <v>1016</v>
      </c>
      <c r="H925" s="11" t="s">
        <v>102</v>
      </c>
      <c r="I925" s="11" t="s">
        <v>41</v>
      </c>
      <c r="J925" s="11" t="s">
        <v>28</v>
      </c>
      <c r="K925" s="11" t="s">
        <v>60</v>
      </c>
      <c r="L925" s="11" t="s">
        <v>61</v>
      </c>
      <c r="M925" s="11" t="s">
        <v>86</v>
      </c>
      <c r="N925" s="11">
        <v>1360</v>
      </c>
      <c r="O925" s="11">
        <v>20</v>
      </c>
      <c r="P925" s="17">
        <v>0.02</v>
      </c>
      <c r="Q925" s="11">
        <v>400</v>
      </c>
      <c r="R925" s="11" t="s">
        <v>32</v>
      </c>
      <c r="S925" s="11" t="s">
        <v>33</v>
      </c>
      <c r="T925" s="11" t="s">
        <v>34</v>
      </c>
      <c r="U925" s="11">
        <v>5</v>
      </c>
      <c r="V925" s="11" t="str">
        <f>TEXT('E-Commerce Sales Data'!$B925,"mmmm")</f>
        <v>August</v>
      </c>
      <c r="W925" s="8">
        <f t="shared" si="56"/>
        <v>1602160</v>
      </c>
      <c r="X925">
        <f t="shared" si="57"/>
        <v>277</v>
      </c>
      <c r="Y925">
        <f t="shared" si="58"/>
        <v>33305.487364620938</v>
      </c>
      <c r="Z925">
        <f t="shared" si="59"/>
        <v>55</v>
      </c>
    </row>
    <row r="926" spans="1:26" x14ac:dyDescent="0.25">
      <c r="A926" s="5" t="s">
        <v>1278</v>
      </c>
      <c r="B926" s="6">
        <v>52100</v>
      </c>
      <c r="C926" s="7" t="s">
        <v>1279</v>
      </c>
      <c r="D926" s="7" t="s">
        <v>1205</v>
      </c>
      <c r="E926" s="7">
        <v>41</v>
      </c>
      <c r="F926" s="7" t="s">
        <v>24</v>
      </c>
      <c r="G926" s="7" t="s">
        <v>101</v>
      </c>
      <c r="H926" s="7" t="s">
        <v>102</v>
      </c>
      <c r="I926" s="7" t="s">
        <v>41</v>
      </c>
      <c r="J926" s="7" t="s">
        <v>42</v>
      </c>
      <c r="K926" s="7" t="s">
        <v>43</v>
      </c>
      <c r="L926" s="7" t="s">
        <v>68</v>
      </c>
      <c r="M926" s="7" t="s">
        <v>69</v>
      </c>
      <c r="N926" s="7">
        <v>47000</v>
      </c>
      <c r="O926" s="7">
        <v>2</v>
      </c>
      <c r="P926" s="16">
        <v>0.08</v>
      </c>
      <c r="Q926" s="7">
        <v>8140</v>
      </c>
      <c r="R926" s="7" t="s">
        <v>46</v>
      </c>
      <c r="S926" s="7" t="s">
        <v>47</v>
      </c>
      <c r="T926" s="7" t="s">
        <v>34</v>
      </c>
      <c r="U926" s="7">
        <v>4</v>
      </c>
      <c r="V926" s="7" t="str">
        <f>TEXT('E-Commerce Sales Data'!$B926,"mmmm")</f>
        <v>August</v>
      </c>
      <c r="W926" s="8">
        <f t="shared" si="56"/>
        <v>1601760</v>
      </c>
      <c r="X926">
        <f t="shared" si="57"/>
        <v>276</v>
      </c>
      <c r="Y926">
        <f t="shared" si="58"/>
        <v>33421.231884057968</v>
      </c>
      <c r="Z926">
        <f t="shared" si="59"/>
        <v>55</v>
      </c>
    </row>
    <row r="927" spans="1:26" x14ac:dyDescent="0.25">
      <c r="A927" s="9" t="s">
        <v>1280</v>
      </c>
      <c r="B927" s="10">
        <v>52107</v>
      </c>
      <c r="C927" s="11" t="s">
        <v>1281</v>
      </c>
      <c r="D927" s="11" t="s">
        <v>944</v>
      </c>
      <c r="E927" s="11">
        <v>29</v>
      </c>
      <c r="F927" s="11" t="s">
        <v>38</v>
      </c>
      <c r="G927" s="11" t="s">
        <v>39</v>
      </c>
      <c r="H927" s="11" t="s">
        <v>40</v>
      </c>
      <c r="I927" s="11" t="s">
        <v>41</v>
      </c>
      <c r="J927" s="11" t="s">
        <v>28</v>
      </c>
      <c r="K927" s="11" t="s">
        <v>29</v>
      </c>
      <c r="L927" s="11" t="s">
        <v>53</v>
      </c>
      <c r="M927" s="11" t="s">
        <v>75</v>
      </c>
      <c r="N927" s="11">
        <v>6750</v>
      </c>
      <c r="O927" s="11">
        <v>3</v>
      </c>
      <c r="P927" s="17">
        <v>0.05</v>
      </c>
      <c r="Q927" s="11">
        <v>1800</v>
      </c>
      <c r="R927" s="11" t="s">
        <v>32</v>
      </c>
      <c r="S927" s="11" t="s">
        <v>33</v>
      </c>
      <c r="T927" s="11" t="s">
        <v>34</v>
      </c>
      <c r="U927" s="11">
        <v>4</v>
      </c>
      <c r="V927" s="11" t="str">
        <f>TEXT('E-Commerce Sales Data'!$B927,"mmmm")</f>
        <v>August</v>
      </c>
      <c r="W927" s="8">
        <f t="shared" si="56"/>
        <v>1593620</v>
      </c>
      <c r="X927">
        <f t="shared" si="57"/>
        <v>275</v>
      </c>
      <c r="Y927">
        <f t="shared" si="58"/>
        <v>33371.854545454546</v>
      </c>
      <c r="Z927">
        <f t="shared" si="59"/>
        <v>55</v>
      </c>
    </row>
    <row r="928" spans="1:26" x14ac:dyDescent="0.25">
      <c r="A928" s="5" t="s">
        <v>1282</v>
      </c>
      <c r="B928" s="6">
        <v>52114</v>
      </c>
      <c r="C928" s="7" t="s">
        <v>1283</v>
      </c>
      <c r="D928" s="7" t="s">
        <v>952</v>
      </c>
      <c r="E928" s="7">
        <v>38</v>
      </c>
      <c r="F928" s="7" t="s">
        <v>24</v>
      </c>
      <c r="G928" s="7" t="s">
        <v>1054</v>
      </c>
      <c r="H928" s="7" t="s">
        <v>40</v>
      </c>
      <c r="I928" s="7" t="s">
        <v>41</v>
      </c>
      <c r="J928" s="7" t="s">
        <v>28</v>
      </c>
      <c r="K928" s="7" t="s">
        <v>29</v>
      </c>
      <c r="L928" s="7" t="s">
        <v>53</v>
      </c>
      <c r="M928" s="7" t="s">
        <v>79</v>
      </c>
      <c r="N928" s="7">
        <v>7700</v>
      </c>
      <c r="O928" s="7">
        <v>6</v>
      </c>
      <c r="P928" s="16">
        <v>0</v>
      </c>
      <c r="Q928" s="7">
        <v>2310</v>
      </c>
      <c r="R928" s="7" t="s">
        <v>80</v>
      </c>
      <c r="S928" s="7" t="s">
        <v>33</v>
      </c>
      <c r="T928" s="7" t="s">
        <v>34</v>
      </c>
      <c r="U928" s="7">
        <v>3</v>
      </c>
      <c r="V928" s="7" t="str">
        <f>TEXT('E-Commerce Sales Data'!$B928,"mmmm")</f>
        <v>September</v>
      </c>
      <c r="W928" s="8">
        <f t="shared" si="56"/>
        <v>1591820</v>
      </c>
      <c r="X928">
        <f t="shared" si="57"/>
        <v>274</v>
      </c>
      <c r="Y928">
        <f t="shared" si="58"/>
        <v>33469.014598540147</v>
      </c>
      <c r="Z928">
        <f t="shared" si="59"/>
        <v>55</v>
      </c>
    </row>
    <row r="929" spans="1:26" x14ac:dyDescent="0.25">
      <c r="A929" s="9" t="s">
        <v>1284</v>
      </c>
      <c r="B929" s="10">
        <v>52121</v>
      </c>
      <c r="C929" s="11" t="s">
        <v>1285</v>
      </c>
      <c r="D929" s="11" t="s">
        <v>83</v>
      </c>
      <c r="E929" s="11">
        <v>31</v>
      </c>
      <c r="F929" s="11" t="s">
        <v>38</v>
      </c>
      <c r="G929" s="11" t="s">
        <v>73</v>
      </c>
      <c r="H929" s="11" t="s">
        <v>74</v>
      </c>
      <c r="I929" s="11" t="s">
        <v>41</v>
      </c>
      <c r="J929" s="11" t="s">
        <v>42</v>
      </c>
      <c r="K929" s="11" t="s">
        <v>60</v>
      </c>
      <c r="L929" s="11" t="s">
        <v>61</v>
      </c>
      <c r="M929" s="11" t="s">
        <v>62</v>
      </c>
      <c r="N929" s="11">
        <v>12500</v>
      </c>
      <c r="O929" s="11">
        <v>10</v>
      </c>
      <c r="P929" s="17">
        <v>0.02</v>
      </c>
      <c r="Q929" s="11">
        <v>3100</v>
      </c>
      <c r="R929" s="11" t="s">
        <v>32</v>
      </c>
      <c r="S929" s="11" t="s">
        <v>33</v>
      </c>
      <c r="T929" s="11" t="s">
        <v>34</v>
      </c>
      <c r="U929" s="11">
        <v>5</v>
      </c>
      <c r="V929" s="11" t="str">
        <f>TEXT('E-Commerce Sales Data'!$B929,"mmmm")</f>
        <v>September</v>
      </c>
      <c r="W929" s="8">
        <f t="shared" si="56"/>
        <v>1589510</v>
      </c>
      <c r="X929">
        <f t="shared" si="57"/>
        <v>273</v>
      </c>
      <c r="Y929">
        <f t="shared" si="58"/>
        <v>33563.406593406595</v>
      </c>
      <c r="Z929">
        <f t="shared" si="59"/>
        <v>55</v>
      </c>
    </row>
    <row r="930" spans="1:26" x14ac:dyDescent="0.25">
      <c r="A930" s="5" t="s">
        <v>1286</v>
      </c>
      <c r="B930" s="6">
        <v>52128</v>
      </c>
      <c r="C930" s="7" t="s">
        <v>1287</v>
      </c>
      <c r="D930" s="7" t="s">
        <v>1111</v>
      </c>
      <c r="E930" s="7">
        <v>45</v>
      </c>
      <c r="F930" s="7" t="s">
        <v>24</v>
      </c>
      <c r="G930" s="7" t="s">
        <v>73</v>
      </c>
      <c r="H930" s="7" t="s">
        <v>74</v>
      </c>
      <c r="I930" s="7" t="s">
        <v>41</v>
      </c>
      <c r="J930" s="7" t="s">
        <v>42</v>
      </c>
      <c r="K930" s="7" t="s">
        <v>43</v>
      </c>
      <c r="L930" s="7" t="s">
        <v>92</v>
      </c>
      <c r="M930" s="7" t="s">
        <v>93</v>
      </c>
      <c r="N930" s="7">
        <v>29200</v>
      </c>
      <c r="O930" s="7">
        <v>1</v>
      </c>
      <c r="P930" s="16">
        <v>0.1</v>
      </c>
      <c r="Q930" s="7">
        <v>5290</v>
      </c>
      <c r="R930" s="7" t="s">
        <v>46</v>
      </c>
      <c r="S930" s="7" t="s">
        <v>47</v>
      </c>
      <c r="T930" s="7" t="s">
        <v>34</v>
      </c>
      <c r="U930" s="7">
        <v>4</v>
      </c>
      <c r="V930" s="7" t="str">
        <f>TEXT('E-Commerce Sales Data'!$B930,"mmmm")</f>
        <v>September</v>
      </c>
      <c r="W930" s="8">
        <f t="shared" si="56"/>
        <v>1586410</v>
      </c>
      <c r="X930">
        <f t="shared" si="57"/>
        <v>272</v>
      </c>
      <c r="Y930">
        <f t="shared" si="58"/>
        <v>33640.845588235294</v>
      </c>
      <c r="Z930">
        <f t="shared" si="59"/>
        <v>55</v>
      </c>
    </row>
    <row r="931" spans="1:26" x14ac:dyDescent="0.25">
      <c r="A931" s="9" t="s">
        <v>1288</v>
      </c>
      <c r="B931" s="10">
        <v>52135</v>
      </c>
      <c r="C931" s="11" t="s">
        <v>1289</v>
      </c>
      <c r="D931" s="11" t="s">
        <v>83</v>
      </c>
      <c r="E931" s="11">
        <v>27</v>
      </c>
      <c r="F931" s="11" t="s">
        <v>38</v>
      </c>
      <c r="G931" s="11" t="s">
        <v>1139</v>
      </c>
      <c r="H931" s="11" t="s">
        <v>1140</v>
      </c>
      <c r="I931" s="11" t="s">
        <v>41</v>
      </c>
      <c r="J931" s="11" t="s">
        <v>28</v>
      </c>
      <c r="K931" s="11" t="s">
        <v>29</v>
      </c>
      <c r="L931" s="11" t="s">
        <v>96</v>
      </c>
      <c r="M931" s="11" t="s">
        <v>97</v>
      </c>
      <c r="N931" s="11">
        <v>31500</v>
      </c>
      <c r="O931" s="11">
        <v>2</v>
      </c>
      <c r="P931" s="17">
        <v>0.05</v>
      </c>
      <c r="Q931" s="11">
        <v>6000</v>
      </c>
      <c r="R931" s="11" t="s">
        <v>32</v>
      </c>
      <c r="S931" s="11" t="s">
        <v>33</v>
      </c>
      <c r="T931" s="11" t="s">
        <v>34</v>
      </c>
      <c r="U931" s="11">
        <v>4</v>
      </c>
      <c r="V931" s="11" t="str">
        <f>TEXT('E-Commerce Sales Data'!$B931,"mmmm")</f>
        <v>September</v>
      </c>
      <c r="W931" s="8">
        <f t="shared" si="56"/>
        <v>1581120</v>
      </c>
      <c r="X931">
        <f t="shared" si="57"/>
        <v>271</v>
      </c>
      <c r="Y931">
        <f t="shared" si="58"/>
        <v>33657.232472324722</v>
      </c>
      <c r="Z931">
        <f t="shared" si="59"/>
        <v>55</v>
      </c>
    </row>
    <row r="932" spans="1:26" x14ac:dyDescent="0.25">
      <c r="A932" s="5" t="s">
        <v>1290</v>
      </c>
      <c r="B932" s="6">
        <v>52142</v>
      </c>
      <c r="C932" s="7" t="s">
        <v>1132</v>
      </c>
      <c r="D932" s="7" t="s">
        <v>1111</v>
      </c>
      <c r="E932" s="7">
        <v>34</v>
      </c>
      <c r="F932" s="7" t="s">
        <v>38</v>
      </c>
      <c r="G932" s="7" t="s">
        <v>1207</v>
      </c>
      <c r="H932" s="7" t="s">
        <v>1140</v>
      </c>
      <c r="I932" s="7" t="s">
        <v>41</v>
      </c>
      <c r="J932" s="7" t="s">
        <v>28</v>
      </c>
      <c r="K932" s="7" t="s">
        <v>60</v>
      </c>
      <c r="L932" s="7" t="s">
        <v>53</v>
      </c>
      <c r="M932" s="7" t="s">
        <v>103</v>
      </c>
      <c r="N932" s="7">
        <v>1900</v>
      </c>
      <c r="O932" s="7">
        <v>25</v>
      </c>
      <c r="P932" s="16">
        <v>0</v>
      </c>
      <c r="Q932" s="7">
        <v>600</v>
      </c>
      <c r="R932" s="7" t="s">
        <v>55</v>
      </c>
      <c r="S932" s="7" t="s">
        <v>33</v>
      </c>
      <c r="T932" s="7" t="s">
        <v>34</v>
      </c>
      <c r="U932" s="7">
        <v>5</v>
      </c>
      <c r="V932" s="7" t="str">
        <f>TEXT('E-Commerce Sales Data'!$B932,"mmmm")</f>
        <v>October</v>
      </c>
      <c r="W932" s="8">
        <f t="shared" si="56"/>
        <v>1575120</v>
      </c>
      <c r="X932">
        <f t="shared" si="57"/>
        <v>270</v>
      </c>
      <c r="Y932">
        <f t="shared" si="58"/>
        <v>33665.222222222219</v>
      </c>
      <c r="Z932">
        <f t="shared" si="59"/>
        <v>55</v>
      </c>
    </row>
    <row r="933" spans="1:26" x14ac:dyDescent="0.25">
      <c r="A933" s="9" t="s">
        <v>1291</v>
      </c>
      <c r="B933" s="10">
        <v>52149</v>
      </c>
      <c r="C933" s="11" t="s">
        <v>1292</v>
      </c>
      <c r="D933" s="11" t="s">
        <v>50</v>
      </c>
      <c r="E933" s="11">
        <v>40</v>
      </c>
      <c r="F933" s="11" t="s">
        <v>24</v>
      </c>
      <c r="G933" s="11" t="s">
        <v>73</v>
      </c>
      <c r="H933" s="11" t="s">
        <v>74</v>
      </c>
      <c r="I933" s="11" t="s">
        <v>41</v>
      </c>
      <c r="J933" s="11" t="s">
        <v>42</v>
      </c>
      <c r="K933" s="11" t="s">
        <v>43</v>
      </c>
      <c r="L933" s="11" t="s">
        <v>68</v>
      </c>
      <c r="M933" s="11" t="s">
        <v>106</v>
      </c>
      <c r="N933" s="11">
        <v>46500</v>
      </c>
      <c r="O933" s="11">
        <v>1</v>
      </c>
      <c r="P933" s="17">
        <v>0.08</v>
      </c>
      <c r="Q933" s="11">
        <v>9950</v>
      </c>
      <c r="R933" s="11" t="s">
        <v>46</v>
      </c>
      <c r="S933" s="11" t="s">
        <v>47</v>
      </c>
      <c r="T933" s="11" t="s">
        <v>34</v>
      </c>
      <c r="U933" s="11">
        <v>4</v>
      </c>
      <c r="V933" s="11" t="str">
        <f>TEXT('E-Commerce Sales Data'!$B933,"mmmm")</f>
        <v>October</v>
      </c>
      <c r="W933" s="8">
        <f t="shared" si="56"/>
        <v>1574520</v>
      </c>
      <c r="X933">
        <f t="shared" si="57"/>
        <v>269</v>
      </c>
      <c r="Y933">
        <f t="shared" si="58"/>
        <v>33783.308550185873</v>
      </c>
      <c r="Z933">
        <f t="shared" si="59"/>
        <v>55</v>
      </c>
    </row>
    <row r="934" spans="1:26" x14ac:dyDescent="0.25">
      <c r="A934" s="5" t="s">
        <v>1293</v>
      </c>
      <c r="B934" s="6">
        <v>52156</v>
      </c>
      <c r="C934" s="7" t="s">
        <v>1294</v>
      </c>
      <c r="D934" s="7" t="s">
        <v>105</v>
      </c>
      <c r="E934" s="7">
        <v>26</v>
      </c>
      <c r="F934" s="7" t="s">
        <v>24</v>
      </c>
      <c r="G934" s="7" t="s">
        <v>1295</v>
      </c>
      <c r="H934" s="7" t="s">
        <v>74</v>
      </c>
      <c r="I934" s="7" t="s">
        <v>41</v>
      </c>
      <c r="J934" s="7" t="s">
        <v>28</v>
      </c>
      <c r="K934" s="7" t="s">
        <v>29</v>
      </c>
      <c r="L934" s="7" t="s">
        <v>30</v>
      </c>
      <c r="M934" s="7" t="s">
        <v>31</v>
      </c>
      <c r="N934" s="7">
        <v>123500</v>
      </c>
      <c r="O934" s="7">
        <v>1</v>
      </c>
      <c r="P934" s="16">
        <v>0.1</v>
      </c>
      <c r="Q934" s="7">
        <v>14800</v>
      </c>
      <c r="R934" s="7" t="s">
        <v>32</v>
      </c>
      <c r="S934" s="7" t="s">
        <v>47</v>
      </c>
      <c r="T934" s="7" t="s">
        <v>34</v>
      </c>
      <c r="U934" s="7">
        <v>5</v>
      </c>
      <c r="V934" s="7" t="str">
        <f>TEXT('E-Commerce Sales Data'!$B934,"mmmm")</f>
        <v>October</v>
      </c>
      <c r="W934" s="8">
        <f t="shared" si="56"/>
        <v>1564570</v>
      </c>
      <c r="X934">
        <f t="shared" si="57"/>
        <v>268</v>
      </c>
      <c r="Y934">
        <f t="shared" si="58"/>
        <v>33735.858208955222</v>
      </c>
      <c r="Z934">
        <f t="shared" si="59"/>
        <v>55</v>
      </c>
    </row>
    <row r="935" spans="1:26" x14ac:dyDescent="0.25">
      <c r="A935" s="9" t="s">
        <v>1296</v>
      </c>
      <c r="B935" s="10">
        <v>52163</v>
      </c>
      <c r="C935" s="11" t="s">
        <v>1297</v>
      </c>
      <c r="D935" s="11" t="s">
        <v>1111</v>
      </c>
      <c r="E935" s="11">
        <v>28</v>
      </c>
      <c r="F935" s="11" t="s">
        <v>38</v>
      </c>
      <c r="G935" s="11" t="s">
        <v>73</v>
      </c>
      <c r="H935" s="11" t="s">
        <v>74</v>
      </c>
      <c r="I935" s="11" t="s">
        <v>41</v>
      </c>
      <c r="J935" s="11" t="s">
        <v>28</v>
      </c>
      <c r="K935" s="11" t="s">
        <v>60</v>
      </c>
      <c r="L935" s="11" t="s">
        <v>92</v>
      </c>
      <c r="M935" s="11" t="s">
        <v>111</v>
      </c>
      <c r="N935" s="11">
        <v>2500</v>
      </c>
      <c r="O935" s="11">
        <v>15</v>
      </c>
      <c r="P935" s="17">
        <v>0.05</v>
      </c>
      <c r="Q935" s="11">
        <v>825</v>
      </c>
      <c r="R935" s="11" t="s">
        <v>80</v>
      </c>
      <c r="S935" s="11" t="s">
        <v>33</v>
      </c>
      <c r="T935" s="11" t="s">
        <v>34</v>
      </c>
      <c r="U935" s="11">
        <v>4</v>
      </c>
      <c r="V935" s="11" t="str">
        <f>TEXT('E-Commerce Sales Data'!$B935,"mmmm")</f>
        <v>October</v>
      </c>
      <c r="W935" s="8">
        <f t="shared" si="56"/>
        <v>1549770</v>
      </c>
      <c r="X935">
        <f t="shared" si="57"/>
        <v>267</v>
      </c>
      <c r="Y935">
        <f t="shared" si="58"/>
        <v>33399.662921348317</v>
      </c>
      <c r="Z935">
        <f t="shared" si="59"/>
        <v>55</v>
      </c>
    </row>
    <row r="936" spans="1:26" x14ac:dyDescent="0.25">
      <c r="A936" s="5" t="s">
        <v>1298</v>
      </c>
      <c r="B936" s="6">
        <v>52170</v>
      </c>
      <c r="C936" s="7" t="s">
        <v>1144</v>
      </c>
      <c r="D936" s="7" t="s">
        <v>1164</v>
      </c>
      <c r="E936" s="7">
        <v>43</v>
      </c>
      <c r="F936" s="7" t="s">
        <v>24</v>
      </c>
      <c r="G936" s="7" t="s">
        <v>1054</v>
      </c>
      <c r="H936" s="7" t="s">
        <v>40</v>
      </c>
      <c r="I936" s="7" t="s">
        <v>41</v>
      </c>
      <c r="J936" s="7" t="s">
        <v>42</v>
      </c>
      <c r="K936" s="7" t="s">
        <v>43</v>
      </c>
      <c r="L936" s="7" t="s">
        <v>44</v>
      </c>
      <c r="M936" s="7" t="s">
        <v>45</v>
      </c>
      <c r="N936" s="7">
        <v>24000</v>
      </c>
      <c r="O936" s="7">
        <v>4</v>
      </c>
      <c r="P936" s="16">
        <v>7.0000000000000007E-2</v>
      </c>
      <c r="Q936" s="7">
        <v>5550</v>
      </c>
      <c r="R936" s="7" t="s">
        <v>46</v>
      </c>
      <c r="S936" s="7" t="s">
        <v>33</v>
      </c>
      <c r="T936" s="7" t="s">
        <v>34</v>
      </c>
      <c r="U936" s="7">
        <v>4</v>
      </c>
      <c r="V936" s="7" t="str">
        <f>TEXT('E-Commerce Sales Data'!$B936,"mmmm")</f>
        <v>October</v>
      </c>
      <c r="W936" s="8">
        <f t="shared" si="56"/>
        <v>1548945</v>
      </c>
      <c r="X936">
        <f t="shared" si="57"/>
        <v>266</v>
      </c>
      <c r="Y936">
        <f t="shared" si="58"/>
        <v>33515.827067669175</v>
      </c>
      <c r="Z936">
        <f t="shared" si="59"/>
        <v>55</v>
      </c>
    </row>
    <row r="937" spans="1:26" x14ac:dyDescent="0.25">
      <c r="A937" s="9" t="s">
        <v>1299</v>
      </c>
      <c r="B937" s="10">
        <v>52177</v>
      </c>
      <c r="C937" s="11" t="s">
        <v>1300</v>
      </c>
      <c r="D937" s="11" t="s">
        <v>952</v>
      </c>
      <c r="E937" s="11">
        <v>35</v>
      </c>
      <c r="F937" s="11" t="s">
        <v>38</v>
      </c>
      <c r="G937" s="11" t="s">
        <v>1301</v>
      </c>
      <c r="H937" s="11" t="s">
        <v>40</v>
      </c>
      <c r="I937" s="11" t="s">
        <v>41</v>
      </c>
      <c r="J937" s="11" t="s">
        <v>28</v>
      </c>
      <c r="K937" s="11" t="s">
        <v>29</v>
      </c>
      <c r="L937" s="11" t="s">
        <v>53</v>
      </c>
      <c r="M937" s="11" t="s">
        <v>54</v>
      </c>
      <c r="N937" s="11">
        <v>47400</v>
      </c>
      <c r="O937" s="11">
        <v>2</v>
      </c>
      <c r="P937" s="17">
        <v>0.05</v>
      </c>
      <c r="Q937" s="11">
        <v>9350</v>
      </c>
      <c r="R937" s="11" t="s">
        <v>32</v>
      </c>
      <c r="S937" s="11" t="s">
        <v>47</v>
      </c>
      <c r="T937" s="11" t="s">
        <v>34</v>
      </c>
      <c r="U937" s="11">
        <v>5</v>
      </c>
      <c r="V937" s="11" t="str">
        <f>TEXT('E-Commerce Sales Data'!$B937,"mmmm")</f>
        <v>November</v>
      </c>
      <c r="W937" s="8">
        <f t="shared" si="56"/>
        <v>1543395</v>
      </c>
      <c r="X937">
        <f t="shared" si="57"/>
        <v>265</v>
      </c>
      <c r="Y937">
        <f t="shared" si="58"/>
        <v>33551.735849056604</v>
      </c>
      <c r="Z937">
        <f t="shared" si="59"/>
        <v>55</v>
      </c>
    </row>
    <row r="938" spans="1:26" x14ac:dyDescent="0.25">
      <c r="A938" s="5" t="s">
        <v>1302</v>
      </c>
      <c r="B938" s="6">
        <v>52184</v>
      </c>
      <c r="C938" s="7" t="s">
        <v>1303</v>
      </c>
      <c r="D938" s="7" t="s">
        <v>1304</v>
      </c>
      <c r="E938" s="7">
        <v>39</v>
      </c>
      <c r="F938" s="7" t="s">
        <v>24</v>
      </c>
      <c r="G938" s="7" t="s">
        <v>1267</v>
      </c>
      <c r="H938" s="7" t="s">
        <v>40</v>
      </c>
      <c r="I938" s="7" t="s">
        <v>41</v>
      </c>
      <c r="J938" s="7" t="s">
        <v>42</v>
      </c>
      <c r="K938" s="7" t="s">
        <v>60</v>
      </c>
      <c r="L938" s="7" t="s">
        <v>61</v>
      </c>
      <c r="M938" s="7" t="s">
        <v>62</v>
      </c>
      <c r="N938" s="7">
        <v>12700</v>
      </c>
      <c r="O938" s="7">
        <v>10</v>
      </c>
      <c r="P938" s="16">
        <v>0.03</v>
      </c>
      <c r="Q938" s="7">
        <v>3160</v>
      </c>
      <c r="R938" s="7" t="s">
        <v>55</v>
      </c>
      <c r="S938" s="7" t="s">
        <v>33</v>
      </c>
      <c r="T938" s="7" t="s">
        <v>34</v>
      </c>
      <c r="U938" s="7">
        <v>4</v>
      </c>
      <c r="V938" s="7" t="str">
        <f>TEXT('E-Commerce Sales Data'!$B938,"mmmm")</f>
        <v>November</v>
      </c>
      <c r="W938" s="8">
        <f t="shared" si="56"/>
        <v>1534045</v>
      </c>
      <c r="X938">
        <f t="shared" si="57"/>
        <v>264</v>
      </c>
      <c r="Y938">
        <f t="shared" si="58"/>
        <v>33499.280303030304</v>
      </c>
      <c r="Z938">
        <f t="shared" si="59"/>
        <v>55</v>
      </c>
    </row>
    <row r="939" spans="1:26" x14ac:dyDescent="0.25">
      <c r="A939" s="9" t="s">
        <v>1305</v>
      </c>
      <c r="B939" s="10">
        <v>52191</v>
      </c>
      <c r="C939" s="11" t="s">
        <v>1306</v>
      </c>
      <c r="D939" s="11" t="s">
        <v>1307</v>
      </c>
      <c r="E939" s="11">
        <v>30</v>
      </c>
      <c r="F939" s="11" t="s">
        <v>38</v>
      </c>
      <c r="G939" s="11" t="s">
        <v>1054</v>
      </c>
      <c r="H939" s="11" t="s">
        <v>40</v>
      </c>
      <c r="I939" s="11" t="s">
        <v>41</v>
      </c>
      <c r="J939" s="11" t="s">
        <v>28</v>
      </c>
      <c r="K939" s="11" t="s">
        <v>43</v>
      </c>
      <c r="L939" s="11" t="s">
        <v>68</v>
      </c>
      <c r="M939" s="11" t="s">
        <v>69</v>
      </c>
      <c r="N939" s="11">
        <v>44700</v>
      </c>
      <c r="O939" s="11">
        <v>2</v>
      </c>
      <c r="P939" s="17">
        <v>0.1</v>
      </c>
      <c r="Q939" s="11">
        <v>7320</v>
      </c>
      <c r="R939" s="11" t="s">
        <v>32</v>
      </c>
      <c r="S939" s="11" t="s">
        <v>47</v>
      </c>
      <c r="T939" s="11" t="s">
        <v>34</v>
      </c>
      <c r="U939" s="11">
        <v>5</v>
      </c>
      <c r="V939" s="11" t="str">
        <f>TEXT('E-Commerce Sales Data'!$B939,"mmmm")</f>
        <v>November</v>
      </c>
      <c r="W939" s="8">
        <f t="shared" si="56"/>
        <v>1530885</v>
      </c>
      <c r="X939">
        <f t="shared" si="57"/>
        <v>263</v>
      </c>
      <c r="Y939">
        <f t="shared" si="58"/>
        <v>33578.365019011406</v>
      </c>
      <c r="Z939">
        <f t="shared" si="59"/>
        <v>55</v>
      </c>
    </row>
    <row r="940" spans="1:26" x14ac:dyDescent="0.25">
      <c r="A940" s="5" t="s">
        <v>1308</v>
      </c>
      <c r="B940" s="6">
        <v>52198</v>
      </c>
      <c r="C940" s="7" t="s">
        <v>1309</v>
      </c>
      <c r="D940" s="7" t="s">
        <v>1053</v>
      </c>
      <c r="E940" s="7">
        <v>46</v>
      </c>
      <c r="F940" s="7" t="s">
        <v>24</v>
      </c>
      <c r="G940" s="7" t="s">
        <v>1267</v>
      </c>
      <c r="H940" s="7" t="s">
        <v>40</v>
      </c>
      <c r="I940" s="7" t="s">
        <v>41</v>
      </c>
      <c r="J940" s="7" t="s">
        <v>42</v>
      </c>
      <c r="K940" s="7" t="s">
        <v>29</v>
      </c>
      <c r="L940" s="7" t="s">
        <v>53</v>
      </c>
      <c r="M940" s="7" t="s">
        <v>75</v>
      </c>
      <c r="N940" s="7">
        <v>7050</v>
      </c>
      <c r="O940" s="7">
        <v>4</v>
      </c>
      <c r="P940" s="16">
        <v>0.05</v>
      </c>
      <c r="Q940" s="7">
        <v>1880</v>
      </c>
      <c r="R940" s="7" t="s">
        <v>46</v>
      </c>
      <c r="S940" s="7" t="s">
        <v>33</v>
      </c>
      <c r="T940" s="7" t="s">
        <v>34</v>
      </c>
      <c r="U940" s="7">
        <v>3</v>
      </c>
      <c r="V940" s="7" t="str">
        <f>TEXT('E-Commerce Sales Data'!$B940,"mmmm")</f>
        <v>November</v>
      </c>
      <c r="W940" s="8">
        <f t="shared" si="56"/>
        <v>1523565</v>
      </c>
      <c r="X940">
        <f t="shared" si="57"/>
        <v>262</v>
      </c>
      <c r="Y940">
        <f t="shared" si="58"/>
        <v>33535.916030534354</v>
      </c>
      <c r="Z940">
        <f t="shared" si="59"/>
        <v>55</v>
      </c>
    </row>
    <row r="941" spans="1:26" x14ac:dyDescent="0.25">
      <c r="A941" s="9" t="s">
        <v>1310</v>
      </c>
      <c r="B941" s="10">
        <v>52205</v>
      </c>
      <c r="C941" s="11" t="s">
        <v>120</v>
      </c>
      <c r="D941" s="11" t="s">
        <v>1311</v>
      </c>
      <c r="E941" s="11">
        <v>25</v>
      </c>
      <c r="F941" s="11" t="s">
        <v>38</v>
      </c>
      <c r="G941" s="11" t="s">
        <v>1301</v>
      </c>
      <c r="H941" s="11" t="s">
        <v>40</v>
      </c>
      <c r="I941" s="11" t="s">
        <v>41</v>
      </c>
      <c r="J941" s="11" t="s">
        <v>28</v>
      </c>
      <c r="K941" s="11" t="s">
        <v>29</v>
      </c>
      <c r="L941" s="11" t="s">
        <v>53</v>
      </c>
      <c r="M941" s="11" t="s">
        <v>79</v>
      </c>
      <c r="N941" s="11">
        <v>7800</v>
      </c>
      <c r="O941" s="11">
        <v>7</v>
      </c>
      <c r="P941" s="17">
        <v>0</v>
      </c>
      <c r="Q941" s="11">
        <v>2340</v>
      </c>
      <c r="R941" s="11" t="s">
        <v>32</v>
      </c>
      <c r="S941" s="11" t="s">
        <v>33</v>
      </c>
      <c r="T941" s="11" t="s">
        <v>34</v>
      </c>
      <c r="U941" s="11">
        <v>4</v>
      </c>
      <c r="V941" s="11" t="str">
        <f>TEXT('E-Commerce Sales Data'!$B941,"mmmm")</f>
        <v>December</v>
      </c>
      <c r="W941" s="8">
        <f t="shared" si="56"/>
        <v>1521685</v>
      </c>
      <c r="X941">
        <f t="shared" si="57"/>
        <v>261</v>
      </c>
      <c r="Y941">
        <f t="shared" si="58"/>
        <v>33637.394636015328</v>
      </c>
      <c r="Z941">
        <f t="shared" si="59"/>
        <v>55</v>
      </c>
    </row>
    <row r="942" spans="1:26" x14ac:dyDescent="0.25">
      <c r="A942" s="5" t="s">
        <v>1312</v>
      </c>
      <c r="B942" s="6">
        <v>52212</v>
      </c>
      <c r="C942" s="7" t="s">
        <v>1313</v>
      </c>
      <c r="D942" s="7" t="s">
        <v>1304</v>
      </c>
      <c r="E942" s="7">
        <v>42</v>
      </c>
      <c r="F942" s="7" t="s">
        <v>24</v>
      </c>
      <c r="G942" s="7" t="s">
        <v>39</v>
      </c>
      <c r="H942" s="7" t="s">
        <v>40</v>
      </c>
      <c r="I942" s="7" t="s">
        <v>41</v>
      </c>
      <c r="J942" s="7" t="s">
        <v>28</v>
      </c>
      <c r="K942" s="7" t="s">
        <v>29</v>
      </c>
      <c r="L942" s="7" t="s">
        <v>30</v>
      </c>
      <c r="M942" s="7" t="s">
        <v>31</v>
      </c>
      <c r="N942" s="7">
        <v>121000</v>
      </c>
      <c r="O942" s="7">
        <v>1</v>
      </c>
      <c r="P942" s="16">
        <v>0.05</v>
      </c>
      <c r="Q942" s="7">
        <v>15900</v>
      </c>
      <c r="R942" s="7" t="s">
        <v>32</v>
      </c>
      <c r="S942" s="7" t="s">
        <v>47</v>
      </c>
      <c r="T942" s="7" t="s">
        <v>34</v>
      </c>
      <c r="U942" s="7">
        <v>5</v>
      </c>
      <c r="V942" s="7" t="str">
        <f>TEXT('E-Commerce Sales Data'!$B942,"mmmm")</f>
        <v>December</v>
      </c>
      <c r="W942" s="8">
        <f t="shared" si="56"/>
        <v>1519345</v>
      </c>
      <c r="X942">
        <f t="shared" si="57"/>
        <v>260</v>
      </c>
      <c r="Y942">
        <f t="shared" si="58"/>
        <v>33736.769230769234</v>
      </c>
      <c r="Z942">
        <f t="shared" si="59"/>
        <v>55</v>
      </c>
    </row>
    <row r="943" spans="1:26" x14ac:dyDescent="0.25">
      <c r="A943" s="9" t="s">
        <v>1314</v>
      </c>
      <c r="B943" s="10">
        <v>52219</v>
      </c>
      <c r="C943" s="11" t="s">
        <v>1315</v>
      </c>
      <c r="D943" s="11" t="s">
        <v>83</v>
      </c>
      <c r="E943" s="11">
        <v>32</v>
      </c>
      <c r="F943" s="11" t="s">
        <v>38</v>
      </c>
      <c r="G943" s="11" t="s">
        <v>39</v>
      </c>
      <c r="H943" s="11" t="s">
        <v>40</v>
      </c>
      <c r="I943" s="11" t="s">
        <v>41</v>
      </c>
      <c r="J943" s="11" t="s">
        <v>42</v>
      </c>
      <c r="K943" s="11" t="s">
        <v>43</v>
      </c>
      <c r="L943" s="11" t="s">
        <v>44</v>
      </c>
      <c r="M943" s="11" t="s">
        <v>45</v>
      </c>
      <c r="N943" s="11">
        <v>19800</v>
      </c>
      <c r="O943" s="11">
        <v>3</v>
      </c>
      <c r="P943" s="17">
        <v>0.1</v>
      </c>
      <c r="Q943" s="11">
        <v>4600</v>
      </c>
      <c r="R943" s="11" t="s">
        <v>46</v>
      </c>
      <c r="S943" s="11" t="s">
        <v>33</v>
      </c>
      <c r="T943" s="11" t="s">
        <v>34</v>
      </c>
      <c r="U943" s="11">
        <v>4</v>
      </c>
      <c r="V943" s="11" t="str">
        <f>TEXT('E-Commerce Sales Data'!$B943,"mmmm")</f>
        <v>December</v>
      </c>
      <c r="W943" s="8">
        <f t="shared" si="56"/>
        <v>1503445</v>
      </c>
      <c r="X943">
        <f t="shared" si="57"/>
        <v>259</v>
      </c>
      <c r="Y943">
        <f t="shared" si="58"/>
        <v>33399.845559845562</v>
      </c>
      <c r="Z943">
        <f t="shared" si="59"/>
        <v>55</v>
      </c>
    </row>
    <row r="944" spans="1:26" x14ac:dyDescent="0.25">
      <c r="A944" s="5" t="s">
        <v>1316</v>
      </c>
      <c r="B944" s="6">
        <v>52226</v>
      </c>
      <c r="C944" s="7" t="s">
        <v>1317</v>
      </c>
      <c r="D944" s="7" t="s">
        <v>1318</v>
      </c>
      <c r="E944" s="7">
        <v>48</v>
      </c>
      <c r="F944" s="7" t="s">
        <v>24</v>
      </c>
      <c r="G944" s="7" t="s">
        <v>39</v>
      </c>
      <c r="H944" s="7" t="s">
        <v>40</v>
      </c>
      <c r="I944" s="7" t="s">
        <v>41</v>
      </c>
      <c r="J944" s="7" t="s">
        <v>28</v>
      </c>
      <c r="K944" s="7" t="s">
        <v>29</v>
      </c>
      <c r="L944" s="7" t="s">
        <v>53</v>
      </c>
      <c r="M944" s="7" t="s">
        <v>54</v>
      </c>
      <c r="N944" s="7">
        <v>45100</v>
      </c>
      <c r="O944" s="7">
        <v>2</v>
      </c>
      <c r="P944" s="16">
        <v>0.05</v>
      </c>
      <c r="Q944" s="7">
        <v>8850</v>
      </c>
      <c r="R944" s="7" t="s">
        <v>55</v>
      </c>
      <c r="S944" s="7" t="s">
        <v>33</v>
      </c>
      <c r="T944" s="7" t="s">
        <v>34</v>
      </c>
      <c r="U944" s="7">
        <v>4</v>
      </c>
      <c r="V944" s="7" t="str">
        <f>TEXT('E-Commerce Sales Data'!$B944,"mmmm")</f>
        <v>December</v>
      </c>
      <c r="W944" s="8">
        <f t="shared" si="56"/>
        <v>1498845</v>
      </c>
      <c r="X944">
        <f t="shared" si="57"/>
        <v>258</v>
      </c>
      <c r="Y944">
        <f t="shared" si="58"/>
        <v>33452.558139534885</v>
      </c>
      <c r="Z944">
        <f t="shared" si="59"/>
        <v>55</v>
      </c>
    </row>
    <row r="945" spans="1:26" x14ac:dyDescent="0.25">
      <c r="A945" s="9" t="s">
        <v>1319</v>
      </c>
      <c r="B945" s="10">
        <v>52233</v>
      </c>
      <c r="C945" s="11" t="s">
        <v>1320</v>
      </c>
      <c r="D945" s="11" t="s">
        <v>917</v>
      </c>
      <c r="E945" s="11">
        <v>29</v>
      </c>
      <c r="F945" s="11" t="s">
        <v>38</v>
      </c>
      <c r="G945" s="11" t="s">
        <v>1009</v>
      </c>
      <c r="H945" s="11" t="s">
        <v>1010</v>
      </c>
      <c r="I945" s="11" t="s">
        <v>41</v>
      </c>
      <c r="J945" s="11" t="s">
        <v>28</v>
      </c>
      <c r="K945" s="11" t="s">
        <v>60</v>
      </c>
      <c r="L945" s="11" t="s">
        <v>61</v>
      </c>
      <c r="M945" s="11" t="s">
        <v>86</v>
      </c>
      <c r="N945" s="11">
        <v>1390</v>
      </c>
      <c r="O945" s="11">
        <v>20</v>
      </c>
      <c r="P945" s="17">
        <v>0.02</v>
      </c>
      <c r="Q945" s="11">
        <v>410</v>
      </c>
      <c r="R945" s="11" t="s">
        <v>32</v>
      </c>
      <c r="S945" s="11" t="s">
        <v>33</v>
      </c>
      <c r="T945" s="11" t="s">
        <v>34</v>
      </c>
      <c r="U945" s="11">
        <v>5</v>
      </c>
      <c r="V945" s="11" t="str">
        <f>TEXT('E-Commerce Sales Data'!$B945,"mmmm")</f>
        <v>January</v>
      </c>
      <c r="W945" s="8">
        <f t="shared" si="56"/>
        <v>1489995</v>
      </c>
      <c r="X945">
        <f t="shared" si="57"/>
        <v>257</v>
      </c>
      <c r="Y945">
        <f t="shared" si="58"/>
        <v>33407.237354085606</v>
      </c>
      <c r="Z945">
        <f t="shared" si="59"/>
        <v>55</v>
      </c>
    </row>
    <row r="946" spans="1:26" x14ac:dyDescent="0.25">
      <c r="A946" s="5" t="s">
        <v>1321</v>
      </c>
      <c r="B946" s="6">
        <v>52240</v>
      </c>
      <c r="C946" s="7" t="s">
        <v>88</v>
      </c>
      <c r="D946" s="7" t="s">
        <v>917</v>
      </c>
      <c r="E946" s="7">
        <v>44</v>
      </c>
      <c r="F946" s="7" t="s">
        <v>24</v>
      </c>
      <c r="G946" s="7" t="s">
        <v>1009</v>
      </c>
      <c r="H946" s="7" t="s">
        <v>1010</v>
      </c>
      <c r="I946" s="7" t="s">
        <v>41</v>
      </c>
      <c r="J946" s="7" t="s">
        <v>42</v>
      </c>
      <c r="K946" s="7" t="s">
        <v>43</v>
      </c>
      <c r="L946" s="7" t="s">
        <v>68</v>
      </c>
      <c r="M946" s="7" t="s">
        <v>69</v>
      </c>
      <c r="N946" s="7">
        <v>47800</v>
      </c>
      <c r="O946" s="7">
        <v>2</v>
      </c>
      <c r="P946" s="16">
        <v>0.08</v>
      </c>
      <c r="Q946" s="7">
        <v>8280</v>
      </c>
      <c r="R946" s="7" t="s">
        <v>46</v>
      </c>
      <c r="S946" s="7" t="s">
        <v>47</v>
      </c>
      <c r="T946" s="7" t="s">
        <v>34</v>
      </c>
      <c r="U946" s="7">
        <v>4</v>
      </c>
      <c r="V946" s="7" t="str">
        <f>TEXT('E-Commerce Sales Data'!$B946,"mmmm")</f>
        <v>January</v>
      </c>
      <c r="W946" s="8">
        <f t="shared" si="56"/>
        <v>1489585</v>
      </c>
      <c r="X946">
        <f t="shared" si="57"/>
        <v>256</v>
      </c>
      <c r="Y946">
        <f t="shared" si="58"/>
        <v>33532.3046875</v>
      </c>
      <c r="Z946">
        <f t="shared" si="59"/>
        <v>55</v>
      </c>
    </row>
    <row r="947" spans="1:26" x14ac:dyDescent="0.25">
      <c r="A947" s="9" t="s">
        <v>1322</v>
      </c>
      <c r="B947" s="10">
        <v>52247</v>
      </c>
      <c r="C947" s="11" t="s">
        <v>1323</v>
      </c>
      <c r="D947" s="11" t="s">
        <v>1008</v>
      </c>
      <c r="E947" s="11">
        <v>27</v>
      </c>
      <c r="F947" s="11" t="s">
        <v>38</v>
      </c>
      <c r="G947" s="11" t="s">
        <v>1009</v>
      </c>
      <c r="H947" s="11" t="s">
        <v>1010</v>
      </c>
      <c r="I947" s="11" t="s">
        <v>41</v>
      </c>
      <c r="J947" s="11" t="s">
        <v>28</v>
      </c>
      <c r="K947" s="11" t="s">
        <v>29</v>
      </c>
      <c r="L947" s="11" t="s">
        <v>53</v>
      </c>
      <c r="M947" s="11" t="s">
        <v>75</v>
      </c>
      <c r="N947" s="11">
        <v>6850</v>
      </c>
      <c r="O947" s="11">
        <v>3</v>
      </c>
      <c r="P947" s="17">
        <v>0.05</v>
      </c>
      <c r="Q947" s="11">
        <v>1830</v>
      </c>
      <c r="R947" s="11" t="s">
        <v>32</v>
      </c>
      <c r="S947" s="11" t="s">
        <v>33</v>
      </c>
      <c r="T947" s="11" t="s">
        <v>34</v>
      </c>
      <c r="U947" s="11">
        <v>4</v>
      </c>
      <c r="V947" s="11" t="str">
        <f>TEXT('E-Commerce Sales Data'!$B947,"mmmm")</f>
        <v>January</v>
      </c>
      <c r="W947" s="8">
        <f t="shared" si="56"/>
        <v>1481305</v>
      </c>
      <c r="X947">
        <f t="shared" si="57"/>
        <v>255</v>
      </c>
      <c r="Y947">
        <f t="shared" si="58"/>
        <v>33476.352941176468</v>
      </c>
      <c r="Z947">
        <f t="shared" si="59"/>
        <v>55</v>
      </c>
    </row>
    <row r="948" spans="1:26" x14ac:dyDescent="0.25">
      <c r="A948" s="5" t="s">
        <v>1324</v>
      </c>
      <c r="B948" s="6">
        <v>52254</v>
      </c>
      <c r="C948" s="7" t="s">
        <v>1325</v>
      </c>
      <c r="D948" s="7" t="s">
        <v>1326</v>
      </c>
      <c r="E948" s="7">
        <v>51</v>
      </c>
      <c r="F948" s="7" t="s">
        <v>24</v>
      </c>
      <c r="G948" s="7" t="s">
        <v>1009</v>
      </c>
      <c r="H948" s="7" t="s">
        <v>1010</v>
      </c>
      <c r="I948" s="7" t="s">
        <v>41</v>
      </c>
      <c r="J948" s="7" t="s">
        <v>28</v>
      </c>
      <c r="K948" s="7" t="s">
        <v>29</v>
      </c>
      <c r="L948" s="7" t="s">
        <v>53</v>
      </c>
      <c r="M948" s="7" t="s">
        <v>79</v>
      </c>
      <c r="N948" s="7">
        <v>7900</v>
      </c>
      <c r="O948" s="7">
        <v>6</v>
      </c>
      <c r="P948" s="16">
        <v>0</v>
      </c>
      <c r="Q948" s="7">
        <v>2370</v>
      </c>
      <c r="R948" s="7" t="s">
        <v>80</v>
      </c>
      <c r="S948" s="7" t="s">
        <v>33</v>
      </c>
      <c r="T948" s="7" t="s">
        <v>34</v>
      </c>
      <c r="U948" s="7">
        <v>3</v>
      </c>
      <c r="V948" s="7" t="str">
        <f>TEXT('E-Commerce Sales Data'!$B948,"mmmm")</f>
        <v>January</v>
      </c>
      <c r="W948" s="8">
        <f t="shared" si="56"/>
        <v>1479475</v>
      </c>
      <c r="X948">
        <f t="shared" si="57"/>
        <v>254</v>
      </c>
      <c r="Y948">
        <f t="shared" si="58"/>
        <v>33581.181102362207</v>
      </c>
      <c r="Z948">
        <f t="shared" si="59"/>
        <v>55</v>
      </c>
    </row>
    <row r="949" spans="1:26" x14ac:dyDescent="0.25">
      <c r="A949" s="9" t="s">
        <v>1327</v>
      </c>
      <c r="B949" s="10">
        <v>52261</v>
      </c>
      <c r="C949" s="11" t="s">
        <v>82</v>
      </c>
      <c r="D949" s="11" t="s">
        <v>1008</v>
      </c>
      <c r="E949" s="11">
        <v>34</v>
      </c>
      <c r="F949" s="11" t="s">
        <v>38</v>
      </c>
      <c r="G949" s="11" t="s">
        <v>1328</v>
      </c>
      <c r="H949" s="11" t="s">
        <v>1010</v>
      </c>
      <c r="I949" s="11" t="s">
        <v>41</v>
      </c>
      <c r="J949" s="11" t="s">
        <v>42</v>
      </c>
      <c r="K949" s="11" t="s">
        <v>60</v>
      </c>
      <c r="L949" s="11" t="s">
        <v>61</v>
      </c>
      <c r="M949" s="11" t="s">
        <v>62</v>
      </c>
      <c r="N949" s="11">
        <v>12900</v>
      </c>
      <c r="O949" s="11">
        <v>10</v>
      </c>
      <c r="P949" s="17">
        <v>0.02</v>
      </c>
      <c r="Q949" s="11">
        <v>3200</v>
      </c>
      <c r="R949" s="11" t="s">
        <v>32</v>
      </c>
      <c r="S949" s="11" t="s">
        <v>33</v>
      </c>
      <c r="T949" s="11" t="s">
        <v>34</v>
      </c>
      <c r="U949" s="11">
        <v>5</v>
      </c>
      <c r="V949" s="11" t="str">
        <f>TEXT('E-Commerce Sales Data'!$B949,"mmmm")</f>
        <v>January</v>
      </c>
      <c r="W949" s="8">
        <f t="shared" si="56"/>
        <v>1477105</v>
      </c>
      <c r="X949">
        <f t="shared" si="57"/>
        <v>253</v>
      </c>
      <c r="Y949">
        <f t="shared" si="58"/>
        <v>33682.687747035576</v>
      </c>
      <c r="Z949">
        <f t="shared" si="59"/>
        <v>55</v>
      </c>
    </row>
    <row r="950" spans="1:26" x14ac:dyDescent="0.25">
      <c r="A950" s="5" t="s">
        <v>1329</v>
      </c>
      <c r="B950" s="6">
        <v>52268</v>
      </c>
      <c r="C950" s="7" t="s">
        <v>1177</v>
      </c>
      <c r="D950" s="7" t="s">
        <v>1330</v>
      </c>
      <c r="E950" s="7">
        <v>47</v>
      </c>
      <c r="F950" s="7" t="s">
        <v>24</v>
      </c>
      <c r="G950" s="7" t="s">
        <v>1009</v>
      </c>
      <c r="H950" s="7" t="s">
        <v>1010</v>
      </c>
      <c r="I950" s="7" t="s">
        <v>41</v>
      </c>
      <c r="J950" s="7" t="s">
        <v>42</v>
      </c>
      <c r="K950" s="7" t="s">
        <v>43</v>
      </c>
      <c r="L950" s="7" t="s">
        <v>92</v>
      </c>
      <c r="M950" s="7" t="s">
        <v>93</v>
      </c>
      <c r="N950" s="7">
        <v>29700</v>
      </c>
      <c r="O950" s="7">
        <v>1</v>
      </c>
      <c r="P950" s="16">
        <v>0.1</v>
      </c>
      <c r="Q950" s="7">
        <v>5380</v>
      </c>
      <c r="R950" s="7" t="s">
        <v>46</v>
      </c>
      <c r="S950" s="7" t="s">
        <v>47</v>
      </c>
      <c r="T950" s="7" t="s">
        <v>34</v>
      </c>
      <c r="U950" s="7">
        <v>4</v>
      </c>
      <c r="V950" s="7" t="str">
        <f>TEXT('E-Commerce Sales Data'!$B950,"mmmm")</f>
        <v>February</v>
      </c>
      <c r="W950" s="8">
        <f t="shared" si="56"/>
        <v>1473905</v>
      </c>
      <c r="X950">
        <f t="shared" si="57"/>
        <v>252</v>
      </c>
      <c r="Y950">
        <f t="shared" si="58"/>
        <v>33765.158730158728</v>
      </c>
      <c r="Z950">
        <f t="shared" si="59"/>
        <v>55</v>
      </c>
    </row>
    <row r="951" spans="1:26" x14ac:dyDescent="0.25">
      <c r="A951" s="9" t="s">
        <v>1331</v>
      </c>
      <c r="B951" s="10">
        <v>52275</v>
      </c>
      <c r="C951" s="11" t="s">
        <v>1332</v>
      </c>
      <c r="D951" s="11" t="s">
        <v>1177</v>
      </c>
      <c r="E951" s="11">
        <v>30</v>
      </c>
      <c r="F951" s="11" t="s">
        <v>38</v>
      </c>
      <c r="G951" s="11" t="s">
        <v>1333</v>
      </c>
      <c r="H951" s="11" t="s">
        <v>1010</v>
      </c>
      <c r="I951" s="11" t="s">
        <v>41</v>
      </c>
      <c r="J951" s="11" t="s">
        <v>28</v>
      </c>
      <c r="K951" s="11" t="s">
        <v>29</v>
      </c>
      <c r="L951" s="11" t="s">
        <v>96</v>
      </c>
      <c r="M951" s="11" t="s">
        <v>97</v>
      </c>
      <c r="N951" s="11">
        <v>32000</v>
      </c>
      <c r="O951" s="11">
        <v>2</v>
      </c>
      <c r="P951" s="17">
        <v>0.05</v>
      </c>
      <c r="Q951" s="11">
        <v>6080</v>
      </c>
      <c r="R951" s="11" t="s">
        <v>32</v>
      </c>
      <c r="S951" s="11" t="s">
        <v>33</v>
      </c>
      <c r="T951" s="11" t="s">
        <v>34</v>
      </c>
      <c r="U951" s="11">
        <v>4</v>
      </c>
      <c r="V951" s="11" t="str">
        <f>TEXT('E-Commerce Sales Data'!$B951,"mmmm")</f>
        <v>February</v>
      </c>
      <c r="W951" s="8">
        <f t="shared" si="56"/>
        <v>1468525</v>
      </c>
      <c r="X951">
        <f t="shared" si="57"/>
        <v>251</v>
      </c>
      <c r="Y951">
        <f t="shared" si="58"/>
        <v>33781.354581673309</v>
      </c>
      <c r="Z951">
        <f t="shared" si="59"/>
        <v>55</v>
      </c>
    </row>
    <row r="952" spans="1:26" x14ac:dyDescent="0.25">
      <c r="A952" s="5" t="s">
        <v>1334</v>
      </c>
      <c r="B952" s="6">
        <v>52282</v>
      </c>
      <c r="C952" s="7" t="s">
        <v>1279</v>
      </c>
      <c r="D952" s="7" t="s">
        <v>1325</v>
      </c>
      <c r="E952" s="7">
        <v>36</v>
      </c>
      <c r="F952" s="7" t="s">
        <v>24</v>
      </c>
      <c r="G952" s="7" t="s">
        <v>1009</v>
      </c>
      <c r="H952" s="7" t="s">
        <v>1010</v>
      </c>
      <c r="I952" s="7" t="s">
        <v>41</v>
      </c>
      <c r="J952" s="7" t="s">
        <v>28</v>
      </c>
      <c r="K952" s="7" t="s">
        <v>60</v>
      </c>
      <c r="L952" s="7" t="s">
        <v>53</v>
      </c>
      <c r="M952" s="7" t="s">
        <v>103</v>
      </c>
      <c r="N952" s="7">
        <v>1930</v>
      </c>
      <c r="O952" s="7">
        <v>25</v>
      </c>
      <c r="P952" s="16">
        <v>0</v>
      </c>
      <c r="Q952" s="7">
        <v>610</v>
      </c>
      <c r="R952" s="7" t="s">
        <v>55</v>
      </c>
      <c r="S952" s="7" t="s">
        <v>33</v>
      </c>
      <c r="T952" s="7" t="s">
        <v>34</v>
      </c>
      <c r="U952" s="7">
        <v>5</v>
      </c>
      <c r="V952" s="7" t="str">
        <f>TEXT('E-Commerce Sales Data'!$B952,"mmmm")</f>
        <v>February</v>
      </c>
      <c r="W952" s="8">
        <f t="shared" si="56"/>
        <v>1462445</v>
      </c>
      <c r="X952">
        <f t="shared" si="57"/>
        <v>250</v>
      </c>
      <c r="Y952">
        <f t="shared" si="58"/>
        <v>33788.480000000003</v>
      </c>
      <c r="Z952">
        <f t="shared" si="59"/>
        <v>55</v>
      </c>
    </row>
    <row r="953" spans="1:26" x14ac:dyDescent="0.25">
      <c r="A953" s="9" t="s">
        <v>1335</v>
      </c>
      <c r="B953" s="10">
        <v>52289</v>
      </c>
      <c r="C953" s="11" t="s">
        <v>1336</v>
      </c>
      <c r="D953" s="11" t="s">
        <v>1326</v>
      </c>
      <c r="E953" s="11">
        <v>40</v>
      </c>
      <c r="F953" s="11" t="s">
        <v>38</v>
      </c>
      <c r="G953" s="11" t="s">
        <v>1009</v>
      </c>
      <c r="H953" s="11" t="s">
        <v>1010</v>
      </c>
      <c r="I953" s="11" t="s">
        <v>41</v>
      </c>
      <c r="J953" s="11" t="s">
        <v>42</v>
      </c>
      <c r="K953" s="11" t="s">
        <v>43</v>
      </c>
      <c r="L953" s="11" t="s">
        <v>68</v>
      </c>
      <c r="M953" s="11" t="s">
        <v>106</v>
      </c>
      <c r="N953" s="11">
        <v>47200</v>
      </c>
      <c r="O953" s="11">
        <v>1</v>
      </c>
      <c r="P953" s="17">
        <v>0.08</v>
      </c>
      <c r="Q953" s="11">
        <v>10100</v>
      </c>
      <c r="R953" s="11" t="s">
        <v>46</v>
      </c>
      <c r="S953" s="11" t="s">
        <v>47</v>
      </c>
      <c r="T953" s="11" t="s">
        <v>34</v>
      </c>
      <c r="U953" s="11">
        <v>4</v>
      </c>
      <c r="V953" s="11" t="str">
        <f>TEXT('E-Commerce Sales Data'!$B953,"mmmm")</f>
        <v>February</v>
      </c>
      <c r="W953" s="8">
        <f t="shared" si="56"/>
        <v>1461835</v>
      </c>
      <c r="X953">
        <f t="shared" si="57"/>
        <v>249</v>
      </c>
      <c r="Y953">
        <f t="shared" si="58"/>
        <v>33916.425702811248</v>
      </c>
      <c r="Z953">
        <f t="shared" si="59"/>
        <v>55</v>
      </c>
    </row>
    <row r="954" spans="1:26" x14ac:dyDescent="0.25">
      <c r="A954" s="5" t="s">
        <v>1337</v>
      </c>
      <c r="B954" s="6">
        <v>52296</v>
      </c>
      <c r="C954" s="7" t="s">
        <v>1330</v>
      </c>
      <c r="D954" s="7" t="s">
        <v>1338</v>
      </c>
      <c r="E954" s="7">
        <v>43</v>
      </c>
      <c r="F954" s="7" t="s">
        <v>24</v>
      </c>
      <c r="G954" s="7" t="s">
        <v>1333</v>
      </c>
      <c r="H954" s="7" t="s">
        <v>1010</v>
      </c>
      <c r="I954" s="7" t="s">
        <v>41</v>
      </c>
      <c r="J954" s="7" t="s">
        <v>28</v>
      </c>
      <c r="K954" s="7" t="s">
        <v>29</v>
      </c>
      <c r="L954" s="7" t="s">
        <v>30</v>
      </c>
      <c r="M954" s="7" t="s">
        <v>31</v>
      </c>
      <c r="N954" s="7">
        <v>125000</v>
      </c>
      <c r="O954" s="7">
        <v>1</v>
      </c>
      <c r="P954" s="16">
        <v>0.1</v>
      </c>
      <c r="Q954" s="7">
        <v>15000</v>
      </c>
      <c r="R954" s="7" t="s">
        <v>32</v>
      </c>
      <c r="S954" s="7" t="s">
        <v>47</v>
      </c>
      <c r="T954" s="7" t="s">
        <v>34</v>
      </c>
      <c r="U954" s="7">
        <v>5</v>
      </c>
      <c r="V954" s="7" t="str">
        <f>TEXT('E-Commerce Sales Data'!$B954,"mmmm")</f>
        <v>March</v>
      </c>
      <c r="W954" s="8">
        <f t="shared" si="56"/>
        <v>1451735</v>
      </c>
      <c r="X954">
        <f t="shared" si="57"/>
        <v>248</v>
      </c>
      <c r="Y954">
        <f t="shared" si="58"/>
        <v>33862.862903225803</v>
      </c>
      <c r="Z954">
        <f t="shared" si="59"/>
        <v>55</v>
      </c>
    </row>
    <row r="955" spans="1:26" x14ac:dyDescent="0.25">
      <c r="A955" s="9" t="s">
        <v>1339</v>
      </c>
      <c r="B955" s="10">
        <v>52303</v>
      </c>
      <c r="C955" s="11" t="s">
        <v>1182</v>
      </c>
      <c r="D955" s="11" t="s">
        <v>1177</v>
      </c>
      <c r="E955" s="11">
        <v>28</v>
      </c>
      <c r="F955" s="11" t="s">
        <v>38</v>
      </c>
      <c r="G955" s="11" t="s">
        <v>1009</v>
      </c>
      <c r="H955" s="11" t="s">
        <v>1010</v>
      </c>
      <c r="I955" s="11" t="s">
        <v>41</v>
      </c>
      <c r="J955" s="11" t="s">
        <v>28</v>
      </c>
      <c r="K955" s="11" t="s">
        <v>60</v>
      </c>
      <c r="L955" s="11" t="s">
        <v>92</v>
      </c>
      <c r="M955" s="11" t="s">
        <v>111</v>
      </c>
      <c r="N955" s="11">
        <v>2540</v>
      </c>
      <c r="O955" s="11">
        <v>15</v>
      </c>
      <c r="P955" s="17">
        <v>0.05</v>
      </c>
      <c r="Q955" s="11">
        <v>840</v>
      </c>
      <c r="R955" s="11" t="s">
        <v>80</v>
      </c>
      <c r="S955" s="11" t="s">
        <v>33</v>
      </c>
      <c r="T955" s="11" t="s">
        <v>34</v>
      </c>
      <c r="U955" s="11">
        <v>4</v>
      </c>
      <c r="V955" s="11" t="str">
        <f>TEXT('E-Commerce Sales Data'!$B955,"mmmm")</f>
        <v>March</v>
      </c>
      <c r="W955" s="8">
        <f t="shared" si="56"/>
        <v>1436735</v>
      </c>
      <c r="X955">
        <f t="shared" si="57"/>
        <v>247</v>
      </c>
      <c r="Y955">
        <f t="shared" si="58"/>
        <v>33493.886639676115</v>
      </c>
      <c r="Z955">
        <f t="shared" si="59"/>
        <v>55</v>
      </c>
    </row>
    <row r="956" spans="1:26" x14ac:dyDescent="0.25">
      <c r="A956" s="5" t="s">
        <v>1340</v>
      </c>
      <c r="B956" s="6">
        <v>52310</v>
      </c>
      <c r="C956" s="7" t="s">
        <v>1326</v>
      </c>
      <c r="D956" s="7" t="s">
        <v>1341</v>
      </c>
      <c r="E956" s="7">
        <v>49</v>
      </c>
      <c r="F956" s="7" t="s">
        <v>24</v>
      </c>
      <c r="G956" s="7" t="s">
        <v>1009</v>
      </c>
      <c r="H956" s="7" t="s">
        <v>1010</v>
      </c>
      <c r="I956" s="7" t="s">
        <v>41</v>
      </c>
      <c r="J956" s="7" t="s">
        <v>42</v>
      </c>
      <c r="K956" s="7" t="s">
        <v>43</v>
      </c>
      <c r="L956" s="7" t="s">
        <v>44</v>
      </c>
      <c r="M956" s="7" t="s">
        <v>45</v>
      </c>
      <c r="N956" s="7">
        <v>24400</v>
      </c>
      <c r="O956" s="7">
        <v>4</v>
      </c>
      <c r="P956" s="16">
        <v>7.0000000000000007E-2</v>
      </c>
      <c r="Q956" s="7">
        <v>5650</v>
      </c>
      <c r="R956" s="7" t="s">
        <v>46</v>
      </c>
      <c r="S956" s="7" t="s">
        <v>33</v>
      </c>
      <c r="T956" s="7" t="s">
        <v>34</v>
      </c>
      <c r="U956" s="7">
        <v>4</v>
      </c>
      <c r="V956" s="7" t="str">
        <f>TEXT('E-Commerce Sales Data'!$B956,"mmmm")</f>
        <v>March</v>
      </c>
      <c r="W956" s="8">
        <f t="shared" si="56"/>
        <v>1435895</v>
      </c>
      <c r="X956">
        <f t="shared" si="57"/>
        <v>246</v>
      </c>
      <c r="Y956">
        <f t="shared" si="58"/>
        <v>33619.715447154471</v>
      </c>
      <c r="Z956">
        <f t="shared" si="59"/>
        <v>55</v>
      </c>
    </row>
    <row r="957" spans="1:26" x14ac:dyDescent="0.25">
      <c r="A957" s="9" t="s">
        <v>1342</v>
      </c>
      <c r="B957" s="10">
        <v>52317</v>
      </c>
      <c r="C957" s="11" t="s">
        <v>1343</v>
      </c>
      <c r="D957" s="11" t="s">
        <v>1325</v>
      </c>
      <c r="E957" s="11">
        <v>31</v>
      </c>
      <c r="F957" s="11" t="s">
        <v>38</v>
      </c>
      <c r="G957" s="11" t="s">
        <v>1009</v>
      </c>
      <c r="H957" s="11" t="s">
        <v>1010</v>
      </c>
      <c r="I957" s="11" t="s">
        <v>41</v>
      </c>
      <c r="J957" s="11" t="s">
        <v>28</v>
      </c>
      <c r="K957" s="11" t="s">
        <v>29</v>
      </c>
      <c r="L957" s="11" t="s">
        <v>53</v>
      </c>
      <c r="M957" s="11" t="s">
        <v>54</v>
      </c>
      <c r="N957" s="11">
        <v>48100</v>
      </c>
      <c r="O957" s="11">
        <v>2</v>
      </c>
      <c r="P957" s="17">
        <v>0.05</v>
      </c>
      <c r="Q957" s="11">
        <v>9500</v>
      </c>
      <c r="R957" s="11" t="s">
        <v>32</v>
      </c>
      <c r="S957" s="11" t="s">
        <v>47</v>
      </c>
      <c r="T957" s="11" t="s">
        <v>34</v>
      </c>
      <c r="U957" s="11">
        <v>5</v>
      </c>
      <c r="V957" s="11" t="str">
        <f>TEXT('E-Commerce Sales Data'!$B957,"mmmm")</f>
        <v>March</v>
      </c>
      <c r="W957" s="8">
        <f t="shared" si="56"/>
        <v>1430245</v>
      </c>
      <c r="X957">
        <f t="shared" si="57"/>
        <v>245</v>
      </c>
      <c r="Y957">
        <f t="shared" si="58"/>
        <v>33657.34693877551</v>
      </c>
      <c r="Z957">
        <f t="shared" si="59"/>
        <v>55</v>
      </c>
    </row>
    <row r="958" spans="1:26" x14ac:dyDescent="0.25">
      <c r="A958" s="5" t="s">
        <v>1344</v>
      </c>
      <c r="B958" s="6">
        <v>52324</v>
      </c>
      <c r="C958" s="7" t="s">
        <v>1345</v>
      </c>
      <c r="D958" s="7" t="s">
        <v>1346</v>
      </c>
      <c r="E958" s="7">
        <v>45</v>
      </c>
      <c r="F958" s="7" t="s">
        <v>24</v>
      </c>
      <c r="G958" s="7" t="s">
        <v>1347</v>
      </c>
      <c r="H958" s="7" t="s">
        <v>1010</v>
      </c>
      <c r="I958" s="7" t="s">
        <v>41</v>
      </c>
      <c r="J958" s="7" t="s">
        <v>42</v>
      </c>
      <c r="K958" s="7" t="s">
        <v>60</v>
      </c>
      <c r="L958" s="7" t="s">
        <v>61</v>
      </c>
      <c r="M958" s="7" t="s">
        <v>62</v>
      </c>
      <c r="N958" s="7">
        <v>13100</v>
      </c>
      <c r="O958" s="7">
        <v>10</v>
      </c>
      <c r="P958" s="16">
        <v>0.03</v>
      </c>
      <c r="Q958" s="7">
        <v>3260</v>
      </c>
      <c r="R958" s="7" t="s">
        <v>55</v>
      </c>
      <c r="S958" s="7" t="s">
        <v>33</v>
      </c>
      <c r="T958" s="7" t="s">
        <v>34</v>
      </c>
      <c r="U958" s="7">
        <v>4</v>
      </c>
      <c r="V958" s="7" t="str">
        <f>TEXT('E-Commerce Sales Data'!$B958,"mmmm")</f>
        <v>April</v>
      </c>
      <c r="W958" s="8">
        <f t="shared" si="56"/>
        <v>1420745</v>
      </c>
      <c r="X958">
        <f t="shared" si="57"/>
        <v>244</v>
      </c>
      <c r="Y958">
        <f t="shared" si="58"/>
        <v>33598.155737704918</v>
      </c>
      <c r="Z958">
        <f t="shared" si="59"/>
        <v>55</v>
      </c>
    </row>
    <row r="959" spans="1:26" x14ac:dyDescent="0.25">
      <c r="A959" s="9" t="s">
        <v>1348</v>
      </c>
      <c r="B959" s="10">
        <v>52331</v>
      </c>
      <c r="C959" s="11" t="s">
        <v>1349</v>
      </c>
      <c r="D959" s="11" t="s">
        <v>1330</v>
      </c>
      <c r="E959" s="11">
        <v>26</v>
      </c>
      <c r="F959" s="11" t="s">
        <v>38</v>
      </c>
      <c r="G959" s="11" t="s">
        <v>1350</v>
      </c>
      <c r="H959" s="11" t="s">
        <v>1010</v>
      </c>
      <c r="I959" s="11" t="s">
        <v>41</v>
      </c>
      <c r="J959" s="11" t="s">
        <v>28</v>
      </c>
      <c r="K959" s="11" t="s">
        <v>43</v>
      </c>
      <c r="L959" s="11" t="s">
        <v>68</v>
      </c>
      <c r="M959" s="11" t="s">
        <v>69</v>
      </c>
      <c r="N959" s="11">
        <v>45400</v>
      </c>
      <c r="O959" s="11">
        <v>2</v>
      </c>
      <c r="P959" s="17">
        <v>0.1</v>
      </c>
      <c r="Q959" s="11">
        <v>7440</v>
      </c>
      <c r="R959" s="11" t="s">
        <v>32</v>
      </c>
      <c r="S959" s="11" t="s">
        <v>47</v>
      </c>
      <c r="T959" s="11" t="s">
        <v>34</v>
      </c>
      <c r="U959" s="11">
        <v>5</v>
      </c>
      <c r="V959" s="11" t="str">
        <f>TEXT('E-Commerce Sales Data'!$B959,"mmmm")</f>
        <v>April</v>
      </c>
      <c r="W959" s="8">
        <f t="shared" si="56"/>
        <v>1417485</v>
      </c>
      <c r="X959">
        <f t="shared" si="57"/>
        <v>243</v>
      </c>
      <c r="Y959">
        <f t="shared" si="58"/>
        <v>33682.510288065845</v>
      </c>
      <c r="Z959">
        <f t="shared" si="59"/>
        <v>55</v>
      </c>
    </row>
    <row r="960" spans="1:26" x14ac:dyDescent="0.25">
      <c r="A960" s="5" t="s">
        <v>1351</v>
      </c>
      <c r="B960" s="6">
        <v>52338</v>
      </c>
      <c r="C960" s="7" t="s">
        <v>1352</v>
      </c>
      <c r="D960" s="7" t="s">
        <v>1177</v>
      </c>
      <c r="E960" s="7">
        <v>38</v>
      </c>
      <c r="F960" s="7" t="s">
        <v>24</v>
      </c>
      <c r="G960" s="7" t="s">
        <v>1009</v>
      </c>
      <c r="H960" s="7" t="s">
        <v>1010</v>
      </c>
      <c r="I960" s="7" t="s">
        <v>41</v>
      </c>
      <c r="J960" s="7" t="s">
        <v>42</v>
      </c>
      <c r="K960" s="7" t="s">
        <v>29</v>
      </c>
      <c r="L960" s="7" t="s">
        <v>53</v>
      </c>
      <c r="M960" s="7" t="s">
        <v>75</v>
      </c>
      <c r="N960" s="7">
        <v>7150</v>
      </c>
      <c r="O960" s="7">
        <v>4</v>
      </c>
      <c r="P960" s="16">
        <v>0.05</v>
      </c>
      <c r="Q960" s="7">
        <v>1910</v>
      </c>
      <c r="R960" s="7" t="s">
        <v>46</v>
      </c>
      <c r="S960" s="7" t="s">
        <v>33</v>
      </c>
      <c r="T960" s="7" t="s">
        <v>34</v>
      </c>
      <c r="U960" s="7">
        <v>3</v>
      </c>
      <c r="V960" s="7" t="str">
        <f>TEXT('E-Commerce Sales Data'!$B960,"mmmm")</f>
        <v>April</v>
      </c>
      <c r="W960" s="8">
        <f t="shared" si="56"/>
        <v>1410045</v>
      </c>
      <c r="X960">
        <f t="shared" si="57"/>
        <v>242</v>
      </c>
      <c r="Y960">
        <f t="shared" si="58"/>
        <v>33634.090909090912</v>
      </c>
      <c r="Z960">
        <f t="shared" si="59"/>
        <v>55</v>
      </c>
    </row>
    <row r="961" spans="1:26" x14ac:dyDescent="0.25">
      <c r="A961" s="9" t="s">
        <v>1353</v>
      </c>
      <c r="B961" s="10">
        <v>52345</v>
      </c>
      <c r="C961" s="11" t="s">
        <v>1354</v>
      </c>
      <c r="D961" s="11" t="s">
        <v>1326</v>
      </c>
      <c r="E961" s="11">
        <v>29</v>
      </c>
      <c r="F961" s="11" t="s">
        <v>38</v>
      </c>
      <c r="G961" s="11" t="s">
        <v>1333</v>
      </c>
      <c r="H961" s="11" t="s">
        <v>1010</v>
      </c>
      <c r="I961" s="11" t="s">
        <v>41</v>
      </c>
      <c r="J961" s="11" t="s">
        <v>28</v>
      </c>
      <c r="K961" s="11" t="s">
        <v>29</v>
      </c>
      <c r="L961" s="11" t="s">
        <v>53</v>
      </c>
      <c r="M961" s="11" t="s">
        <v>79</v>
      </c>
      <c r="N961" s="11">
        <v>8000</v>
      </c>
      <c r="O961" s="11">
        <v>7</v>
      </c>
      <c r="P961" s="17">
        <v>0</v>
      </c>
      <c r="Q961" s="11">
        <v>2400</v>
      </c>
      <c r="R961" s="11" t="s">
        <v>32</v>
      </c>
      <c r="S961" s="11" t="s">
        <v>33</v>
      </c>
      <c r="T961" s="11" t="s">
        <v>34</v>
      </c>
      <c r="U961" s="11">
        <v>4</v>
      </c>
      <c r="V961" s="11" t="str">
        <f>TEXT('E-Commerce Sales Data'!$B961,"mmmm")</f>
        <v>April</v>
      </c>
      <c r="W961" s="8">
        <f t="shared" si="56"/>
        <v>1408135</v>
      </c>
      <c r="X961">
        <f t="shared" si="57"/>
        <v>241</v>
      </c>
      <c r="Y961">
        <f t="shared" si="58"/>
        <v>33743.983402489626</v>
      </c>
      <c r="Z961">
        <f t="shared" si="59"/>
        <v>55</v>
      </c>
    </row>
    <row r="962" spans="1:26" x14ac:dyDescent="0.25">
      <c r="A962" s="5" t="s">
        <v>1355</v>
      </c>
      <c r="B962" s="6">
        <v>52352</v>
      </c>
      <c r="C962" s="7" t="s">
        <v>1356</v>
      </c>
      <c r="D962" s="7" t="s">
        <v>1008</v>
      </c>
      <c r="E962" s="7">
        <v>50</v>
      </c>
      <c r="F962" s="7" t="s">
        <v>24</v>
      </c>
      <c r="G962" s="7" t="s">
        <v>1009</v>
      </c>
      <c r="H962" s="7" t="s">
        <v>1010</v>
      </c>
      <c r="I962" s="7" t="s">
        <v>41</v>
      </c>
      <c r="J962" s="7" t="s">
        <v>28</v>
      </c>
      <c r="K962" s="7" t="s">
        <v>29</v>
      </c>
      <c r="L962" s="7" t="s">
        <v>30</v>
      </c>
      <c r="M962" s="7" t="s">
        <v>31</v>
      </c>
      <c r="N962" s="7">
        <v>127000</v>
      </c>
      <c r="O962" s="7">
        <v>1</v>
      </c>
      <c r="P962" s="16">
        <v>0.05</v>
      </c>
      <c r="Q962" s="7">
        <v>16100</v>
      </c>
      <c r="R962" s="7" t="s">
        <v>32</v>
      </c>
      <c r="S962" s="7" t="s">
        <v>47</v>
      </c>
      <c r="T962" s="7" t="s">
        <v>34</v>
      </c>
      <c r="U962" s="7">
        <v>5</v>
      </c>
      <c r="V962" s="7" t="str">
        <f>TEXT('E-Commerce Sales Data'!$B962,"mmmm")</f>
        <v>May</v>
      </c>
      <c r="W962" s="8">
        <f t="shared" si="56"/>
        <v>1405735</v>
      </c>
      <c r="X962">
        <f t="shared" si="57"/>
        <v>240</v>
      </c>
      <c r="Y962">
        <f t="shared" si="58"/>
        <v>33851.25</v>
      </c>
      <c r="Z962">
        <f t="shared" si="59"/>
        <v>55</v>
      </c>
    </row>
    <row r="963" spans="1:26" x14ac:dyDescent="0.25">
      <c r="A963" s="9" t="s">
        <v>1357</v>
      </c>
      <c r="B963" s="10">
        <v>52359</v>
      </c>
      <c r="C963" s="11" t="s">
        <v>1358</v>
      </c>
      <c r="D963" s="11" t="s">
        <v>917</v>
      </c>
      <c r="E963" s="11">
        <v>33</v>
      </c>
      <c r="F963" s="11" t="s">
        <v>38</v>
      </c>
      <c r="G963" s="11" t="s">
        <v>1328</v>
      </c>
      <c r="H963" s="11" t="s">
        <v>1010</v>
      </c>
      <c r="I963" s="11" t="s">
        <v>41</v>
      </c>
      <c r="J963" s="11" t="s">
        <v>42</v>
      </c>
      <c r="K963" s="11" t="s">
        <v>43</v>
      </c>
      <c r="L963" s="11" t="s">
        <v>44</v>
      </c>
      <c r="M963" s="11" t="s">
        <v>45</v>
      </c>
      <c r="N963" s="11">
        <v>20200</v>
      </c>
      <c r="O963" s="11">
        <v>3</v>
      </c>
      <c r="P963" s="17">
        <v>0.1</v>
      </c>
      <c r="Q963" s="11">
        <v>4680</v>
      </c>
      <c r="R963" s="11" t="s">
        <v>46</v>
      </c>
      <c r="S963" s="11" t="s">
        <v>33</v>
      </c>
      <c r="T963" s="11" t="s">
        <v>34</v>
      </c>
      <c r="U963" s="11">
        <v>4</v>
      </c>
      <c r="V963" s="11" t="str">
        <f>TEXT('E-Commerce Sales Data'!$B963,"mmmm")</f>
        <v>May</v>
      </c>
      <c r="W963" s="8">
        <f t="shared" ref="W963:W1026" si="60">SUM(Q963:Q2162)</f>
        <v>1389635</v>
      </c>
      <c r="X963">
        <f t="shared" ref="X963:X1026" si="61">COUNT(E963:E2162)</f>
        <v>239</v>
      </c>
      <c r="Y963">
        <f t="shared" ref="Y963:Y1026" si="62">AVERAGE(N963:N2162)</f>
        <v>33461.506276150627</v>
      </c>
      <c r="Z963">
        <f t="shared" ref="Z963:Z1026" si="63">MAX(E963:E2162)</f>
        <v>55</v>
      </c>
    </row>
    <row r="964" spans="1:26" x14ac:dyDescent="0.25">
      <c r="A964" s="5" t="s">
        <v>1359</v>
      </c>
      <c r="B964" s="6">
        <v>52366</v>
      </c>
      <c r="C964" s="7" t="s">
        <v>1360</v>
      </c>
      <c r="D964" s="7" t="s">
        <v>1008</v>
      </c>
      <c r="E964" s="7">
        <v>41</v>
      </c>
      <c r="F964" s="7" t="s">
        <v>24</v>
      </c>
      <c r="G964" s="7" t="s">
        <v>1009</v>
      </c>
      <c r="H964" s="7" t="s">
        <v>1010</v>
      </c>
      <c r="I964" s="7" t="s">
        <v>41</v>
      </c>
      <c r="J964" s="7" t="s">
        <v>28</v>
      </c>
      <c r="K964" s="7" t="s">
        <v>29</v>
      </c>
      <c r="L964" s="7" t="s">
        <v>53</v>
      </c>
      <c r="M964" s="7" t="s">
        <v>54</v>
      </c>
      <c r="N964" s="7">
        <v>45800</v>
      </c>
      <c r="O964" s="7">
        <v>2</v>
      </c>
      <c r="P964" s="16">
        <v>0.05</v>
      </c>
      <c r="Q964" s="7">
        <v>9000</v>
      </c>
      <c r="R964" s="7" t="s">
        <v>55</v>
      </c>
      <c r="S964" s="7" t="s">
        <v>33</v>
      </c>
      <c r="T964" s="7" t="s">
        <v>34</v>
      </c>
      <c r="U964" s="7">
        <v>4</v>
      </c>
      <c r="V964" s="7" t="str">
        <f>TEXT('E-Commerce Sales Data'!$B964,"mmmm")</f>
        <v>May</v>
      </c>
      <c r="W964" s="8">
        <f t="shared" si="60"/>
        <v>1384955</v>
      </c>
      <c r="X964">
        <f t="shared" si="61"/>
        <v>238</v>
      </c>
      <c r="Y964">
        <f t="shared" si="62"/>
        <v>33517.226890756305</v>
      </c>
      <c r="Z964">
        <f t="shared" si="63"/>
        <v>55</v>
      </c>
    </row>
    <row r="965" spans="1:26" x14ac:dyDescent="0.25">
      <c r="A965" s="9" t="s">
        <v>1361</v>
      </c>
      <c r="B965" s="10">
        <v>52373</v>
      </c>
      <c r="C965" s="11" t="s">
        <v>1362</v>
      </c>
      <c r="D965" s="11" t="s">
        <v>1013</v>
      </c>
      <c r="E965" s="11">
        <v>27</v>
      </c>
      <c r="F965" s="11" t="s">
        <v>38</v>
      </c>
      <c r="G965" s="11" t="s">
        <v>1136</v>
      </c>
      <c r="H965" s="11" t="s">
        <v>1010</v>
      </c>
      <c r="I965" s="11" t="s">
        <v>41</v>
      </c>
      <c r="J965" s="11" t="s">
        <v>28</v>
      </c>
      <c r="K965" s="11" t="s">
        <v>60</v>
      </c>
      <c r="L965" s="11" t="s">
        <v>61</v>
      </c>
      <c r="M965" s="11" t="s">
        <v>86</v>
      </c>
      <c r="N965" s="11">
        <v>1420</v>
      </c>
      <c r="O965" s="11">
        <v>20</v>
      </c>
      <c r="P965" s="17">
        <v>0.02</v>
      </c>
      <c r="Q965" s="11">
        <v>420</v>
      </c>
      <c r="R965" s="11" t="s">
        <v>32</v>
      </c>
      <c r="S965" s="11" t="s">
        <v>33</v>
      </c>
      <c r="T965" s="11" t="s">
        <v>34</v>
      </c>
      <c r="U965" s="11">
        <v>5</v>
      </c>
      <c r="V965" s="11" t="str">
        <f>TEXT('E-Commerce Sales Data'!$B965,"mmmm")</f>
        <v>May</v>
      </c>
      <c r="W965" s="8">
        <f t="shared" si="60"/>
        <v>1375955</v>
      </c>
      <c r="X965">
        <f t="shared" si="61"/>
        <v>237</v>
      </c>
      <c r="Y965">
        <f t="shared" si="62"/>
        <v>33465.400843881856</v>
      </c>
      <c r="Z965">
        <f t="shared" si="63"/>
        <v>55</v>
      </c>
    </row>
    <row r="966" spans="1:26" x14ac:dyDescent="0.25">
      <c r="A966" s="5" t="s">
        <v>1363</v>
      </c>
      <c r="B966" s="6">
        <v>52380</v>
      </c>
      <c r="C966" s="7" t="s">
        <v>1364</v>
      </c>
      <c r="D966" s="7" t="s">
        <v>1365</v>
      </c>
      <c r="E966" s="7">
        <v>46</v>
      </c>
      <c r="F966" s="7" t="s">
        <v>24</v>
      </c>
      <c r="G966" s="7" t="s">
        <v>1009</v>
      </c>
      <c r="H966" s="7" t="s">
        <v>1010</v>
      </c>
      <c r="I966" s="7" t="s">
        <v>41</v>
      </c>
      <c r="J966" s="7" t="s">
        <v>42</v>
      </c>
      <c r="K966" s="7" t="s">
        <v>43</v>
      </c>
      <c r="L966" s="7" t="s">
        <v>68</v>
      </c>
      <c r="M966" s="7" t="s">
        <v>69</v>
      </c>
      <c r="N966" s="7">
        <v>48600</v>
      </c>
      <c r="O966" s="7">
        <v>2</v>
      </c>
      <c r="P966" s="16">
        <v>0.08</v>
      </c>
      <c r="Q966" s="7">
        <v>8420</v>
      </c>
      <c r="R966" s="7" t="s">
        <v>46</v>
      </c>
      <c r="S966" s="7" t="s">
        <v>47</v>
      </c>
      <c r="T966" s="7" t="s">
        <v>34</v>
      </c>
      <c r="U966" s="7">
        <v>4</v>
      </c>
      <c r="V966" s="7" t="str">
        <f>TEXT('E-Commerce Sales Data'!$B966,"mmmm")</f>
        <v>May</v>
      </c>
      <c r="W966" s="8">
        <f t="shared" si="60"/>
        <v>1375535</v>
      </c>
      <c r="X966">
        <f t="shared" si="61"/>
        <v>236</v>
      </c>
      <c r="Y966">
        <f t="shared" si="62"/>
        <v>33601.186440677964</v>
      </c>
      <c r="Z966">
        <f t="shared" si="63"/>
        <v>55</v>
      </c>
    </row>
    <row r="967" spans="1:26" x14ac:dyDescent="0.25">
      <c r="A967" s="9" t="s">
        <v>1366</v>
      </c>
      <c r="B967" s="10">
        <v>52387</v>
      </c>
      <c r="C967" s="11" t="s">
        <v>1367</v>
      </c>
      <c r="D967" s="11" t="s">
        <v>917</v>
      </c>
      <c r="E967" s="11">
        <v>30</v>
      </c>
      <c r="F967" s="11" t="s">
        <v>38</v>
      </c>
      <c r="G967" s="11" t="s">
        <v>1368</v>
      </c>
      <c r="H967" s="11" t="s">
        <v>1010</v>
      </c>
      <c r="I967" s="11" t="s">
        <v>41</v>
      </c>
      <c r="J967" s="11" t="s">
        <v>28</v>
      </c>
      <c r="K967" s="11" t="s">
        <v>29</v>
      </c>
      <c r="L967" s="11" t="s">
        <v>53</v>
      </c>
      <c r="M967" s="11" t="s">
        <v>75</v>
      </c>
      <c r="N967" s="11">
        <v>6950</v>
      </c>
      <c r="O967" s="11">
        <v>3</v>
      </c>
      <c r="P967" s="17">
        <v>0.05</v>
      </c>
      <c r="Q967" s="11">
        <v>1860</v>
      </c>
      <c r="R967" s="11" t="s">
        <v>32</v>
      </c>
      <c r="S967" s="11" t="s">
        <v>33</v>
      </c>
      <c r="T967" s="11" t="s">
        <v>34</v>
      </c>
      <c r="U967" s="11">
        <v>4</v>
      </c>
      <c r="V967" s="11" t="str">
        <f>TEXT('E-Commerce Sales Data'!$B967,"mmmm")</f>
        <v>June</v>
      </c>
      <c r="W967" s="8">
        <f t="shared" si="60"/>
        <v>1367115</v>
      </c>
      <c r="X967">
        <f t="shared" si="61"/>
        <v>235</v>
      </c>
      <c r="Y967">
        <f t="shared" si="62"/>
        <v>33537.361702127659</v>
      </c>
      <c r="Z967">
        <f t="shared" si="63"/>
        <v>55</v>
      </c>
    </row>
    <row r="968" spans="1:26" x14ac:dyDescent="0.25">
      <c r="A968" s="5" t="s">
        <v>1369</v>
      </c>
      <c r="B968" s="6">
        <v>52394</v>
      </c>
      <c r="C968" s="7" t="s">
        <v>1370</v>
      </c>
      <c r="D968" s="7" t="s">
        <v>1325</v>
      </c>
      <c r="E968" s="7">
        <v>39</v>
      </c>
      <c r="F968" s="7" t="s">
        <v>24</v>
      </c>
      <c r="G968" s="7" t="s">
        <v>1009</v>
      </c>
      <c r="H968" s="7" t="s">
        <v>1010</v>
      </c>
      <c r="I968" s="7" t="s">
        <v>41</v>
      </c>
      <c r="J968" s="7" t="s">
        <v>28</v>
      </c>
      <c r="K968" s="7" t="s">
        <v>29</v>
      </c>
      <c r="L968" s="7" t="s">
        <v>53</v>
      </c>
      <c r="M968" s="7" t="s">
        <v>79</v>
      </c>
      <c r="N968" s="7">
        <v>8100</v>
      </c>
      <c r="O968" s="7">
        <v>6</v>
      </c>
      <c r="P968" s="16">
        <v>0</v>
      </c>
      <c r="Q968" s="7">
        <v>2430</v>
      </c>
      <c r="R968" s="7" t="s">
        <v>80</v>
      </c>
      <c r="S968" s="7" t="s">
        <v>33</v>
      </c>
      <c r="T968" s="7" t="s">
        <v>34</v>
      </c>
      <c r="U968" s="7">
        <v>3</v>
      </c>
      <c r="V968" s="7" t="str">
        <f>TEXT('E-Commerce Sales Data'!$B968,"mmmm")</f>
        <v>June</v>
      </c>
      <c r="W968" s="8">
        <f t="shared" si="60"/>
        <v>1365255</v>
      </c>
      <c r="X968">
        <f t="shared" si="61"/>
        <v>234</v>
      </c>
      <c r="Y968">
        <f t="shared" si="62"/>
        <v>33650.982905982906</v>
      </c>
      <c r="Z968">
        <f t="shared" si="63"/>
        <v>55</v>
      </c>
    </row>
    <row r="969" spans="1:26" x14ac:dyDescent="0.25">
      <c r="A969" s="9" t="s">
        <v>1371</v>
      </c>
      <c r="B969" s="10">
        <v>52401</v>
      </c>
      <c r="C969" s="11" t="s">
        <v>1372</v>
      </c>
      <c r="D969" s="11" t="s">
        <v>1326</v>
      </c>
      <c r="E969" s="11">
        <v>25</v>
      </c>
      <c r="F969" s="11" t="s">
        <v>38</v>
      </c>
      <c r="G969" s="11" t="s">
        <v>1333</v>
      </c>
      <c r="H969" s="11" t="s">
        <v>1010</v>
      </c>
      <c r="I969" s="11" t="s">
        <v>41</v>
      </c>
      <c r="J969" s="11" t="s">
        <v>42</v>
      </c>
      <c r="K969" s="11" t="s">
        <v>60</v>
      </c>
      <c r="L969" s="11" t="s">
        <v>61</v>
      </c>
      <c r="M969" s="11" t="s">
        <v>62</v>
      </c>
      <c r="N969" s="11">
        <v>13300</v>
      </c>
      <c r="O969" s="11">
        <v>10</v>
      </c>
      <c r="P969" s="17">
        <v>0.02</v>
      </c>
      <c r="Q969" s="11">
        <v>3300</v>
      </c>
      <c r="R969" s="11" t="s">
        <v>32</v>
      </c>
      <c r="S969" s="11" t="s">
        <v>33</v>
      </c>
      <c r="T969" s="11" t="s">
        <v>34</v>
      </c>
      <c r="U969" s="11">
        <v>5</v>
      </c>
      <c r="V969" s="11" t="str">
        <f>TEXT('E-Commerce Sales Data'!$B969,"mmmm")</f>
        <v>June</v>
      </c>
      <c r="W969" s="8">
        <f t="shared" si="60"/>
        <v>1362825</v>
      </c>
      <c r="X969">
        <f t="shared" si="61"/>
        <v>233</v>
      </c>
      <c r="Y969">
        <f t="shared" si="62"/>
        <v>33760.643776824036</v>
      </c>
      <c r="Z969">
        <f t="shared" si="63"/>
        <v>55</v>
      </c>
    </row>
    <row r="970" spans="1:26" x14ac:dyDescent="0.25">
      <c r="A970" s="5" t="s">
        <v>1373</v>
      </c>
      <c r="B970" s="6">
        <v>52408</v>
      </c>
      <c r="C970" s="7" t="s">
        <v>1374</v>
      </c>
      <c r="D970" s="7" t="s">
        <v>1177</v>
      </c>
      <c r="E970" s="7">
        <v>52</v>
      </c>
      <c r="F970" s="7" t="s">
        <v>24</v>
      </c>
      <c r="G970" s="7" t="s">
        <v>1009</v>
      </c>
      <c r="H970" s="7" t="s">
        <v>1010</v>
      </c>
      <c r="I970" s="7" t="s">
        <v>41</v>
      </c>
      <c r="J970" s="7" t="s">
        <v>42</v>
      </c>
      <c r="K970" s="7" t="s">
        <v>43</v>
      </c>
      <c r="L970" s="7" t="s">
        <v>92</v>
      </c>
      <c r="M970" s="7" t="s">
        <v>93</v>
      </c>
      <c r="N970" s="7">
        <v>30200</v>
      </c>
      <c r="O970" s="7">
        <v>1</v>
      </c>
      <c r="P970" s="16">
        <v>0.1</v>
      </c>
      <c r="Q970" s="7">
        <v>5470</v>
      </c>
      <c r="R970" s="7" t="s">
        <v>46</v>
      </c>
      <c r="S970" s="7" t="s">
        <v>47</v>
      </c>
      <c r="T970" s="7" t="s">
        <v>34</v>
      </c>
      <c r="U970" s="7">
        <v>4</v>
      </c>
      <c r="V970" s="7" t="str">
        <f>TEXT('E-Commerce Sales Data'!$B970,"mmmm")</f>
        <v>June</v>
      </c>
      <c r="W970" s="8">
        <f t="shared" si="60"/>
        <v>1359525</v>
      </c>
      <c r="X970">
        <f t="shared" si="61"/>
        <v>232</v>
      </c>
      <c r="Y970">
        <f t="shared" si="62"/>
        <v>33848.836206896551</v>
      </c>
      <c r="Z970">
        <f t="shared" si="63"/>
        <v>55</v>
      </c>
    </row>
    <row r="971" spans="1:26" x14ac:dyDescent="0.25">
      <c r="A971" s="9" t="s">
        <v>1375</v>
      </c>
      <c r="B971" s="10">
        <v>52415</v>
      </c>
      <c r="C971" s="11" t="s">
        <v>1376</v>
      </c>
      <c r="D971" s="11" t="s">
        <v>1377</v>
      </c>
      <c r="E971" s="11">
        <v>28</v>
      </c>
      <c r="F971" s="11" t="s">
        <v>38</v>
      </c>
      <c r="G971" s="11" t="s">
        <v>1347</v>
      </c>
      <c r="H971" s="11" t="s">
        <v>1010</v>
      </c>
      <c r="I971" s="11" t="s">
        <v>41</v>
      </c>
      <c r="J971" s="11" t="s">
        <v>28</v>
      </c>
      <c r="K971" s="11" t="s">
        <v>29</v>
      </c>
      <c r="L971" s="11" t="s">
        <v>96</v>
      </c>
      <c r="M971" s="11" t="s">
        <v>97</v>
      </c>
      <c r="N971" s="11">
        <v>32500</v>
      </c>
      <c r="O971" s="11">
        <v>2</v>
      </c>
      <c r="P971" s="17">
        <v>0.05</v>
      </c>
      <c r="Q971" s="11">
        <v>6160</v>
      </c>
      <c r="R971" s="11" t="s">
        <v>32</v>
      </c>
      <c r="S971" s="11" t="s">
        <v>33</v>
      </c>
      <c r="T971" s="11" t="s">
        <v>34</v>
      </c>
      <c r="U971" s="11">
        <v>4</v>
      </c>
      <c r="V971" s="11" t="str">
        <f>TEXT('E-Commerce Sales Data'!$B971,"mmmm")</f>
        <v>July</v>
      </c>
      <c r="W971" s="8">
        <f t="shared" si="60"/>
        <v>1354055</v>
      </c>
      <c r="X971">
        <f t="shared" si="61"/>
        <v>231</v>
      </c>
      <c r="Y971">
        <f t="shared" si="62"/>
        <v>33864.632034632035</v>
      </c>
      <c r="Z971">
        <f t="shared" si="63"/>
        <v>55</v>
      </c>
    </row>
    <row r="972" spans="1:26" x14ac:dyDescent="0.25">
      <c r="A972" s="5" t="s">
        <v>1378</v>
      </c>
      <c r="B972" s="6">
        <v>52422</v>
      </c>
      <c r="C972" s="7" t="s">
        <v>1379</v>
      </c>
      <c r="D972" s="7" t="s">
        <v>1346</v>
      </c>
      <c r="E972" s="7">
        <v>37</v>
      </c>
      <c r="F972" s="7" t="s">
        <v>38</v>
      </c>
      <c r="G972" s="7" t="s">
        <v>1009</v>
      </c>
      <c r="H972" s="7" t="s">
        <v>1010</v>
      </c>
      <c r="I972" s="7" t="s">
        <v>41</v>
      </c>
      <c r="J972" s="7" t="s">
        <v>28</v>
      </c>
      <c r="K972" s="7" t="s">
        <v>60</v>
      </c>
      <c r="L972" s="7" t="s">
        <v>53</v>
      </c>
      <c r="M972" s="7" t="s">
        <v>103</v>
      </c>
      <c r="N972" s="7">
        <v>1960</v>
      </c>
      <c r="O972" s="7">
        <v>25</v>
      </c>
      <c r="P972" s="16">
        <v>0</v>
      </c>
      <c r="Q972" s="7">
        <v>620</v>
      </c>
      <c r="R972" s="7" t="s">
        <v>55</v>
      </c>
      <c r="S972" s="7" t="s">
        <v>33</v>
      </c>
      <c r="T972" s="7" t="s">
        <v>34</v>
      </c>
      <c r="U972" s="7">
        <v>5</v>
      </c>
      <c r="V972" s="7" t="str">
        <f>TEXT('E-Commerce Sales Data'!$B972,"mmmm")</f>
        <v>July</v>
      </c>
      <c r="W972" s="8">
        <f t="shared" si="60"/>
        <v>1347895</v>
      </c>
      <c r="X972">
        <f t="shared" si="61"/>
        <v>230</v>
      </c>
      <c r="Y972">
        <f t="shared" si="62"/>
        <v>33870.565217391304</v>
      </c>
      <c r="Z972">
        <f t="shared" si="63"/>
        <v>55</v>
      </c>
    </row>
    <row r="973" spans="1:26" x14ac:dyDescent="0.25">
      <c r="A973" s="9" t="s">
        <v>1380</v>
      </c>
      <c r="B973" s="10">
        <v>52429</v>
      </c>
      <c r="C973" s="11" t="s">
        <v>1381</v>
      </c>
      <c r="D973" s="11" t="s">
        <v>50</v>
      </c>
      <c r="E973" s="11">
        <v>44</v>
      </c>
      <c r="F973" s="11" t="s">
        <v>24</v>
      </c>
      <c r="G973" s="11" t="s">
        <v>1009</v>
      </c>
      <c r="H973" s="11" t="s">
        <v>1010</v>
      </c>
      <c r="I973" s="11" t="s">
        <v>41</v>
      </c>
      <c r="J973" s="11" t="s">
        <v>42</v>
      </c>
      <c r="K973" s="11" t="s">
        <v>43</v>
      </c>
      <c r="L973" s="11" t="s">
        <v>68</v>
      </c>
      <c r="M973" s="11" t="s">
        <v>106</v>
      </c>
      <c r="N973" s="11">
        <v>47900</v>
      </c>
      <c r="O973" s="11">
        <v>1</v>
      </c>
      <c r="P973" s="17">
        <v>0.08</v>
      </c>
      <c r="Q973" s="11">
        <v>10250</v>
      </c>
      <c r="R973" s="11" t="s">
        <v>46</v>
      </c>
      <c r="S973" s="11" t="s">
        <v>47</v>
      </c>
      <c r="T973" s="11" t="s">
        <v>34</v>
      </c>
      <c r="U973" s="11">
        <v>4</v>
      </c>
      <c r="V973" s="11" t="str">
        <f>TEXT('E-Commerce Sales Data'!$B973,"mmmm")</f>
        <v>July</v>
      </c>
      <c r="W973" s="8">
        <f t="shared" si="60"/>
        <v>1347275</v>
      </c>
      <c r="X973">
        <f t="shared" si="61"/>
        <v>229</v>
      </c>
      <c r="Y973">
        <f t="shared" si="62"/>
        <v>34009.912663755458</v>
      </c>
      <c r="Z973">
        <f t="shared" si="63"/>
        <v>55</v>
      </c>
    </row>
    <row r="974" spans="1:26" x14ac:dyDescent="0.25">
      <c r="A974" s="5" t="s">
        <v>1382</v>
      </c>
      <c r="B974" s="6">
        <v>52436</v>
      </c>
      <c r="C974" s="7" t="s">
        <v>1383</v>
      </c>
      <c r="D974" s="7" t="s">
        <v>917</v>
      </c>
      <c r="E974" s="7">
        <v>35</v>
      </c>
      <c r="F974" s="7" t="s">
        <v>24</v>
      </c>
      <c r="G974" s="7" t="s">
        <v>1009</v>
      </c>
      <c r="H974" s="7" t="s">
        <v>1010</v>
      </c>
      <c r="I974" s="7" t="s">
        <v>41</v>
      </c>
      <c r="J974" s="7" t="s">
        <v>28</v>
      </c>
      <c r="K974" s="7" t="s">
        <v>29</v>
      </c>
      <c r="L974" s="7" t="s">
        <v>30</v>
      </c>
      <c r="M974" s="7" t="s">
        <v>31</v>
      </c>
      <c r="N974" s="7">
        <v>128500</v>
      </c>
      <c r="O974" s="7">
        <v>1</v>
      </c>
      <c r="P974" s="16">
        <v>0.1</v>
      </c>
      <c r="Q974" s="7">
        <v>15200</v>
      </c>
      <c r="R974" s="7" t="s">
        <v>32</v>
      </c>
      <c r="S974" s="7" t="s">
        <v>47</v>
      </c>
      <c r="T974" s="7" t="s">
        <v>34</v>
      </c>
      <c r="U974" s="7">
        <v>5</v>
      </c>
      <c r="V974" s="7" t="str">
        <f>TEXT('E-Commerce Sales Data'!$B974,"mmmm")</f>
        <v>July</v>
      </c>
      <c r="W974" s="8">
        <f t="shared" si="60"/>
        <v>1337025</v>
      </c>
      <c r="X974">
        <f t="shared" si="61"/>
        <v>228</v>
      </c>
      <c r="Y974">
        <f t="shared" si="62"/>
        <v>33948.991228070176</v>
      </c>
      <c r="Z974">
        <f t="shared" si="63"/>
        <v>55</v>
      </c>
    </row>
    <row r="975" spans="1:26" x14ac:dyDescent="0.25">
      <c r="A975" s="9" t="s">
        <v>1384</v>
      </c>
      <c r="B975" s="10">
        <v>52443</v>
      </c>
      <c r="C975" s="11" t="s">
        <v>1385</v>
      </c>
      <c r="D975" s="11" t="s">
        <v>1277</v>
      </c>
      <c r="E975" s="11">
        <v>31</v>
      </c>
      <c r="F975" s="11" t="s">
        <v>38</v>
      </c>
      <c r="G975" s="11" t="s">
        <v>1368</v>
      </c>
      <c r="H975" s="11" t="s">
        <v>1010</v>
      </c>
      <c r="I975" s="11" t="s">
        <v>41</v>
      </c>
      <c r="J975" s="11" t="s">
        <v>28</v>
      </c>
      <c r="K975" s="11" t="s">
        <v>60</v>
      </c>
      <c r="L975" s="11" t="s">
        <v>92</v>
      </c>
      <c r="M975" s="11" t="s">
        <v>111</v>
      </c>
      <c r="N975" s="11">
        <v>2580</v>
      </c>
      <c r="O975" s="11">
        <v>15</v>
      </c>
      <c r="P975" s="17">
        <v>0.05</v>
      </c>
      <c r="Q975" s="11">
        <v>855</v>
      </c>
      <c r="R975" s="11" t="s">
        <v>80</v>
      </c>
      <c r="S975" s="11" t="s">
        <v>33</v>
      </c>
      <c r="T975" s="11" t="s">
        <v>34</v>
      </c>
      <c r="U975" s="11">
        <v>4</v>
      </c>
      <c r="V975" s="11" t="str">
        <f>TEXT('E-Commerce Sales Data'!$B975,"mmmm")</f>
        <v>July</v>
      </c>
      <c r="W975" s="8">
        <f t="shared" si="60"/>
        <v>1321825</v>
      </c>
      <c r="X975">
        <f t="shared" si="61"/>
        <v>227</v>
      </c>
      <c r="Y975">
        <f t="shared" si="62"/>
        <v>33532.466960352423</v>
      </c>
      <c r="Z975">
        <f t="shared" si="63"/>
        <v>55</v>
      </c>
    </row>
    <row r="976" spans="1:26" x14ac:dyDescent="0.25">
      <c r="A976" s="5" t="s">
        <v>1386</v>
      </c>
      <c r="B976" s="6">
        <v>52450</v>
      </c>
      <c r="C976" s="7" t="s">
        <v>1271</v>
      </c>
      <c r="D976" s="7" t="s">
        <v>917</v>
      </c>
      <c r="E976" s="7">
        <v>48</v>
      </c>
      <c r="F976" s="7" t="s">
        <v>24</v>
      </c>
      <c r="G976" s="7" t="s">
        <v>1009</v>
      </c>
      <c r="H976" s="7" t="s">
        <v>1010</v>
      </c>
      <c r="I976" s="7" t="s">
        <v>41</v>
      </c>
      <c r="J976" s="7" t="s">
        <v>42</v>
      </c>
      <c r="K976" s="7" t="s">
        <v>43</v>
      </c>
      <c r="L976" s="7" t="s">
        <v>44</v>
      </c>
      <c r="M976" s="7" t="s">
        <v>45</v>
      </c>
      <c r="N976" s="7">
        <v>24800</v>
      </c>
      <c r="O976" s="7">
        <v>4</v>
      </c>
      <c r="P976" s="16">
        <v>7.0000000000000007E-2</v>
      </c>
      <c r="Q976" s="7">
        <v>5750</v>
      </c>
      <c r="R976" s="7" t="s">
        <v>46</v>
      </c>
      <c r="S976" s="7" t="s">
        <v>33</v>
      </c>
      <c r="T976" s="7" t="s">
        <v>34</v>
      </c>
      <c r="U976" s="7">
        <v>4</v>
      </c>
      <c r="V976" s="7" t="str">
        <f>TEXT('E-Commerce Sales Data'!$B976,"mmmm")</f>
        <v>August</v>
      </c>
      <c r="W976" s="8">
        <f t="shared" si="60"/>
        <v>1320970</v>
      </c>
      <c r="X976">
        <f t="shared" si="61"/>
        <v>226</v>
      </c>
      <c r="Y976">
        <f t="shared" si="62"/>
        <v>33669.424778761058</v>
      </c>
      <c r="Z976">
        <f t="shared" si="63"/>
        <v>55</v>
      </c>
    </row>
    <row r="977" spans="1:26" x14ac:dyDescent="0.25">
      <c r="A977" s="9" t="s">
        <v>1387</v>
      </c>
      <c r="B977" s="10">
        <v>52457</v>
      </c>
      <c r="C977" s="11" t="s">
        <v>1388</v>
      </c>
      <c r="D977" s="11" t="s">
        <v>1008</v>
      </c>
      <c r="E977" s="11">
        <v>34</v>
      </c>
      <c r="F977" s="11" t="s">
        <v>38</v>
      </c>
      <c r="G977" s="11" t="s">
        <v>1328</v>
      </c>
      <c r="H977" s="11" t="s">
        <v>1010</v>
      </c>
      <c r="I977" s="11" t="s">
        <v>41</v>
      </c>
      <c r="J977" s="11" t="s">
        <v>28</v>
      </c>
      <c r="K977" s="11" t="s">
        <v>29</v>
      </c>
      <c r="L977" s="11" t="s">
        <v>53</v>
      </c>
      <c r="M977" s="11" t="s">
        <v>54</v>
      </c>
      <c r="N977" s="11">
        <v>48800</v>
      </c>
      <c r="O977" s="11">
        <v>2</v>
      </c>
      <c r="P977" s="17">
        <v>0.05</v>
      </c>
      <c r="Q977" s="11">
        <v>9650</v>
      </c>
      <c r="R977" s="11" t="s">
        <v>32</v>
      </c>
      <c r="S977" s="11" t="s">
        <v>47</v>
      </c>
      <c r="T977" s="11" t="s">
        <v>34</v>
      </c>
      <c r="U977" s="11">
        <v>5</v>
      </c>
      <c r="V977" s="11" t="str">
        <f>TEXT('E-Commerce Sales Data'!$B977,"mmmm")</f>
        <v>August</v>
      </c>
      <c r="W977" s="8">
        <f t="shared" si="60"/>
        <v>1315220</v>
      </c>
      <c r="X977">
        <f t="shared" si="61"/>
        <v>225</v>
      </c>
      <c r="Y977">
        <f t="shared" si="62"/>
        <v>33708.844444444447</v>
      </c>
      <c r="Z977">
        <f t="shared" si="63"/>
        <v>55</v>
      </c>
    </row>
    <row r="978" spans="1:26" x14ac:dyDescent="0.25">
      <c r="A978" s="5" t="s">
        <v>1389</v>
      </c>
      <c r="B978" s="6">
        <v>52464</v>
      </c>
      <c r="C978" s="7" t="s">
        <v>1390</v>
      </c>
      <c r="D978" s="7" t="s">
        <v>1391</v>
      </c>
      <c r="E978" s="7">
        <v>43</v>
      </c>
      <c r="F978" s="7" t="s">
        <v>24</v>
      </c>
      <c r="G978" s="7" t="s">
        <v>1009</v>
      </c>
      <c r="H978" s="7" t="s">
        <v>1010</v>
      </c>
      <c r="I978" s="7" t="s">
        <v>41</v>
      </c>
      <c r="J978" s="7" t="s">
        <v>42</v>
      </c>
      <c r="K978" s="7" t="s">
        <v>60</v>
      </c>
      <c r="L978" s="7" t="s">
        <v>61</v>
      </c>
      <c r="M978" s="7" t="s">
        <v>62</v>
      </c>
      <c r="N978" s="7">
        <v>13500</v>
      </c>
      <c r="O978" s="7">
        <v>10</v>
      </c>
      <c r="P978" s="16">
        <v>0.03</v>
      </c>
      <c r="Q978" s="7">
        <v>3360</v>
      </c>
      <c r="R978" s="7" t="s">
        <v>55</v>
      </c>
      <c r="S978" s="7" t="s">
        <v>33</v>
      </c>
      <c r="T978" s="7" t="s">
        <v>34</v>
      </c>
      <c r="U978" s="7">
        <v>4</v>
      </c>
      <c r="V978" s="7" t="str">
        <f>TEXT('E-Commerce Sales Data'!$B978,"mmmm")</f>
        <v>August</v>
      </c>
      <c r="W978" s="8">
        <f t="shared" si="60"/>
        <v>1305570</v>
      </c>
      <c r="X978">
        <f t="shared" si="61"/>
        <v>224</v>
      </c>
      <c r="Y978">
        <f t="shared" si="62"/>
        <v>33641.473214285717</v>
      </c>
      <c r="Z978">
        <f t="shared" si="63"/>
        <v>55</v>
      </c>
    </row>
    <row r="979" spans="1:26" x14ac:dyDescent="0.25">
      <c r="A979" s="9" t="s">
        <v>1392</v>
      </c>
      <c r="B979" s="10">
        <v>52471</v>
      </c>
      <c r="C979" s="11" t="s">
        <v>1393</v>
      </c>
      <c r="D979" s="11" t="s">
        <v>1013</v>
      </c>
      <c r="E979" s="11">
        <v>29</v>
      </c>
      <c r="F979" s="11" t="s">
        <v>38</v>
      </c>
      <c r="G979" s="11" t="s">
        <v>1350</v>
      </c>
      <c r="H979" s="11" t="s">
        <v>1010</v>
      </c>
      <c r="I979" s="11" t="s">
        <v>41</v>
      </c>
      <c r="J979" s="11" t="s">
        <v>28</v>
      </c>
      <c r="K979" s="11" t="s">
        <v>43</v>
      </c>
      <c r="L979" s="11" t="s">
        <v>68</v>
      </c>
      <c r="M979" s="11" t="s">
        <v>69</v>
      </c>
      <c r="N979" s="11">
        <v>46100</v>
      </c>
      <c r="O979" s="11">
        <v>2</v>
      </c>
      <c r="P979" s="17">
        <v>0.1</v>
      </c>
      <c r="Q979" s="11">
        <v>7560</v>
      </c>
      <c r="R979" s="11" t="s">
        <v>32</v>
      </c>
      <c r="S979" s="11" t="s">
        <v>47</v>
      </c>
      <c r="T979" s="11" t="s">
        <v>34</v>
      </c>
      <c r="U979" s="11">
        <v>5</v>
      </c>
      <c r="V979" s="11" t="str">
        <f>TEXT('E-Commerce Sales Data'!$B979,"mmmm")</f>
        <v>August</v>
      </c>
      <c r="W979" s="8">
        <f t="shared" si="60"/>
        <v>1302210</v>
      </c>
      <c r="X979">
        <f t="shared" si="61"/>
        <v>223</v>
      </c>
      <c r="Y979">
        <f t="shared" si="62"/>
        <v>33731.793721973096</v>
      </c>
      <c r="Z979">
        <f t="shared" si="63"/>
        <v>55</v>
      </c>
    </row>
    <row r="980" spans="1:26" x14ac:dyDescent="0.25">
      <c r="A980" s="5" t="s">
        <v>1394</v>
      </c>
      <c r="B980" s="6">
        <v>52478</v>
      </c>
      <c r="C980" s="7" t="s">
        <v>1277</v>
      </c>
      <c r="D980" s="7" t="s">
        <v>917</v>
      </c>
      <c r="E980" s="7">
        <v>55</v>
      </c>
      <c r="F980" s="7" t="s">
        <v>24</v>
      </c>
      <c r="G980" s="7" t="s">
        <v>1009</v>
      </c>
      <c r="H980" s="7" t="s">
        <v>1010</v>
      </c>
      <c r="I980" s="7" t="s">
        <v>41</v>
      </c>
      <c r="J980" s="7" t="s">
        <v>42</v>
      </c>
      <c r="K980" s="7" t="s">
        <v>29</v>
      </c>
      <c r="L980" s="7" t="s">
        <v>53</v>
      </c>
      <c r="M980" s="7" t="s">
        <v>75</v>
      </c>
      <c r="N980" s="7">
        <v>7250</v>
      </c>
      <c r="O980" s="7">
        <v>4</v>
      </c>
      <c r="P980" s="16">
        <v>0.05</v>
      </c>
      <c r="Q980" s="7">
        <v>1940</v>
      </c>
      <c r="R980" s="7" t="s">
        <v>46</v>
      </c>
      <c r="S980" s="7" t="s">
        <v>33</v>
      </c>
      <c r="T980" s="7" t="s">
        <v>34</v>
      </c>
      <c r="U980" s="7">
        <v>3</v>
      </c>
      <c r="V980" s="7" t="str">
        <f>TEXT('E-Commerce Sales Data'!$B980,"mmmm")</f>
        <v>September</v>
      </c>
      <c r="W980" s="8">
        <f t="shared" si="60"/>
        <v>1294650</v>
      </c>
      <c r="X980">
        <f t="shared" si="61"/>
        <v>222</v>
      </c>
      <c r="Y980">
        <f t="shared" si="62"/>
        <v>33676.08108108108</v>
      </c>
      <c r="Z980">
        <f t="shared" si="63"/>
        <v>55</v>
      </c>
    </row>
    <row r="981" spans="1:26" x14ac:dyDescent="0.25">
      <c r="A981" s="9" t="s">
        <v>1395</v>
      </c>
      <c r="B981" s="10">
        <v>52485</v>
      </c>
      <c r="C981" s="11" t="s">
        <v>1396</v>
      </c>
      <c r="D981" s="11" t="s">
        <v>1008</v>
      </c>
      <c r="E981" s="11">
        <v>38</v>
      </c>
      <c r="F981" s="11" t="s">
        <v>38</v>
      </c>
      <c r="G981" s="11" t="s">
        <v>1009</v>
      </c>
      <c r="H981" s="11" t="s">
        <v>1010</v>
      </c>
      <c r="I981" s="11" t="s">
        <v>41</v>
      </c>
      <c r="J981" s="11" t="s">
        <v>28</v>
      </c>
      <c r="K981" s="11" t="s">
        <v>29</v>
      </c>
      <c r="L981" s="11" t="s">
        <v>53</v>
      </c>
      <c r="M981" s="11" t="s">
        <v>79</v>
      </c>
      <c r="N981" s="11">
        <v>8200</v>
      </c>
      <c r="O981" s="11">
        <v>7</v>
      </c>
      <c r="P981" s="17">
        <v>0</v>
      </c>
      <c r="Q981" s="11">
        <v>2460</v>
      </c>
      <c r="R981" s="11" t="s">
        <v>32</v>
      </c>
      <c r="S981" s="11" t="s">
        <v>33</v>
      </c>
      <c r="T981" s="11" t="s">
        <v>34</v>
      </c>
      <c r="U981" s="11">
        <v>4</v>
      </c>
      <c r="V981" s="11" t="str">
        <f>TEXT('E-Commerce Sales Data'!$B981,"mmmm")</f>
        <v>September</v>
      </c>
      <c r="W981" s="8">
        <f t="shared" si="60"/>
        <v>1292710</v>
      </c>
      <c r="X981">
        <f t="shared" si="61"/>
        <v>221</v>
      </c>
      <c r="Y981">
        <f t="shared" si="62"/>
        <v>33795.656108597286</v>
      </c>
      <c r="Z981">
        <f t="shared" si="63"/>
        <v>54</v>
      </c>
    </row>
    <row r="982" spans="1:26" x14ac:dyDescent="0.25">
      <c r="A982" s="5" t="s">
        <v>1397</v>
      </c>
      <c r="B982" s="6">
        <v>52492</v>
      </c>
      <c r="C982" s="7" t="s">
        <v>1317</v>
      </c>
      <c r="D982" s="7" t="s">
        <v>1013</v>
      </c>
      <c r="E982" s="7">
        <v>49</v>
      </c>
      <c r="F982" s="7" t="s">
        <v>24</v>
      </c>
      <c r="G982" s="7" t="s">
        <v>1368</v>
      </c>
      <c r="H982" s="7" t="s">
        <v>1010</v>
      </c>
      <c r="I982" s="7" t="s">
        <v>41</v>
      </c>
      <c r="J982" s="7" t="s">
        <v>28</v>
      </c>
      <c r="K982" s="7" t="s">
        <v>29</v>
      </c>
      <c r="L982" s="7" t="s">
        <v>30</v>
      </c>
      <c r="M982" s="7" t="s">
        <v>31</v>
      </c>
      <c r="N982" s="7">
        <v>130000</v>
      </c>
      <c r="O982" s="7">
        <v>1</v>
      </c>
      <c r="P982" s="16">
        <v>0.05</v>
      </c>
      <c r="Q982" s="7">
        <v>16300</v>
      </c>
      <c r="R982" s="7" t="s">
        <v>32</v>
      </c>
      <c r="S982" s="7" t="s">
        <v>47</v>
      </c>
      <c r="T982" s="7" t="s">
        <v>34</v>
      </c>
      <c r="U982" s="7">
        <v>5</v>
      </c>
      <c r="V982" s="7" t="str">
        <f>TEXT('E-Commerce Sales Data'!$B982,"mmmm")</f>
        <v>September</v>
      </c>
      <c r="W982" s="8">
        <f t="shared" si="60"/>
        <v>1290250</v>
      </c>
      <c r="X982">
        <f t="shared" si="61"/>
        <v>220</v>
      </c>
      <c r="Y982">
        <f t="shared" si="62"/>
        <v>33912</v>
      </c>
      <c r="Z982">
        <f t="shared" si="63"/>
        <v>54</v>
      </c>
    </row>
    <row r="983" spans="1:26" x14ac:dyDescent="0.25">
      <c r="A983" s="9" t="s">
        <v>1398</v>
      </c>
      <c r="B983" s="10">
        <v>52499</v>
      </c>
      <c r="C983" s="11" t="s">
        <v>57</v>
      </c>
      <c r="D983" s="11" t="s">
        <v>1008</v>
      </c>
      <c r="E983" s="11">
        <v>26</v>
      </c>
      <c r="F983" s="11" t="s">
        <v>38</v>
      </c>
      <c r="G983" s="11" t="s">
        <v>1009</v>
      </c>
      <c r="H983" s="11" t="s">
        <v>1010</v>
      </c>
      <c r="I983" s="11" t="s">
        <v>41</v>
      </c>
      <c r="J983" s="11" t="s">
        <v>42</v>
      </c>
      <c r="K983" s="11" t="s">
        <v>43</v>
      </c>
      <c r="L983" s="11" t="s">
        <v>44</v>
      </c>
      <c r="M983" s="11" t="s">
        <v>45</v>
      </c>
      <c r="N983" s="11">
        <v>20600</v>
      </c>
      <c r="O983" s="11">
        <v>3</v>
      </c>
      <c r="P983" s="17">
        <v>0.1</v>
      </c>
      <c r="Q983" s="11">
        <v>4760</v>
      </c>
      <c r="R983" s="11" t="s">
        <v>46</v>
      </c>
      <c r="S983" s="11" t="s">
        <v>33</v>
      </c>
      <c r="T983" s="11" t="s">
        <v>34</v>
      </c>
      <c r="U983" s="11">
        <v>4</v>
      </c>
      <c r="V983" s="11" t="str">
        <f>TEXT('E-Commerce Sales Data'!$B983,"mmmm")</f>
        <v>September</v>
      </c>
      <c r="W983" s="8">
        <f t="shared" si="60"/>
        <v>1273950</v>
      </c>
      <c r="X983">
        <f t="shared" si="61"/>
        <v>219</v>
      </c>
      <c r="Y983">
        <f t="shared" si="62"/>
        <v>33473.242009132417</v>
      </c>
      <c r="Z983">
        <f t="shared" si="63"/>
        <v>54</v>
      </c>
    </row>
    <row r="984" spans="1:26" x14ac:dyDescent="0.25">
      <c r="A984" s="5" t="s">
        <v>1399</v>
      </c>
      <c r="B984" s="6">
        <v>52506</v>
      </c>
      <c r="C984" s="7" t="s">
        <v>1400</v>
      </c>
      <c r="D984" s="7" t="s">
        <v>917</v>
      </c>
      <c r="E984" s="7">
        <v>42</v>
      </c>
      <c r="F984" s="7" t="s">
        <v>24</v>
      </c>
      <c r="G984" s="7" t="s">
        <v>1136</v>
      </c>
      <c r="H984" s="7" t="s">
        <v>1010</v>
      </c>
      <c r="I984" s="7" t="s">
        <v>41</v>
      </c>
      <c r="J984" s="7" t="s">
        <v>28</v>
      </c>
      <c r="K984" s="7" t="s">
        <v>29</v>
      </c>
      <c r="L984" s="7" t="s">
        <v>53</v>
      </c>
      <c r="M984" s="7" t="s">
        <v>54</v>
      </c>
      <c r="N984" s="7">
        <v>46500</v>
      </c>
      <c r="O984" s="7">
        <v>2</v>
      </c>
      <c r="P984" s="16">
        <v>0.05</v>
      </c>
      <c r="Q984" s="7">
        <v>9150</v>
      </c>
      <c r="R984" s="7" t="s">
        <v>55</v>
      </c>
      <c r="S984" s="7" t="s">
        <v>33</v>
      </c>
      <c r="T984" s="7" t="s">
        <v>34</v>
      </c>
      <c r="U984" s="7">
        <v>4</v>
      </c>
      <c r="V984" s="7" t="str">
        <f>TEXT('E-Commerce Sales Data'!$B984,"mmmm")</f>
        <v>October</v>
      </c>
      <c r="W984" s="8">
        <f t="shared" si="60"/>
        <v>1269190</v>
      </c>
      <c r="X984">
        <f t="shared" si="61"/>
        <v>218</v>
      </c>
      <c r="Y984">
        <f t="shared" si="62"/>
        <v>33532.293577981654</v>
      </c>
      <c r="Z984">
        <f t="shared" si="63"/>
        <v>54</v>
      </c>
    </row>
    <row r="985" spans="1:26" x14ac:dyDescent="0.25">
      <c r="A985" s="9" t="s">
        <v>1401</v>
      </c>
      <c r="B985" s="10">
        <v>52513</v>
      </c>
      <c r="C985" s="11" t="s">
        <v>1402</v>
      </c>
      <c r="D985" s="11" t="s">
        <v>1325</v>
      </c>
      <c r="E985" s="11">
        <v>30</v>
      </c>
      <c r="F985" s="11" t="s">
        <v>38</v>
      </c>
      <c r="G985" s="11" t="s">
        <v>1333</v>
      </c>
      <c r="H985" s="11" t="s">
        <v>1010</v>
      </c>
      <c r="I985" s="11" t="s">
        <v>41</v>
      </c>
      <c r="J985" s="11" t="s">
        <v>28</v>
      </c>
      <c r="K985" s="11" t="s">
        <v>60</v>
      </c>
      <c r="L985" s="11" t="s">
        <v>61</v>
      </c>
      <c r="M985" s="11" t="s">
        <v>86</v>
      </c>
      <c r="N985" s="11">
        <v>1450</v>
      </c>
      <c r="O985" s="11">
        <v>20</v>
      </c>
      <c r="P985" s="17">
        <v>0.02</v>
      </c>
      <c r="Q985" s="11">
        <v>430</v>
      </c>
      <c r="R985" s="11" t="s">
        <v>32</v>
      </c>
      <c r="S985" s="11" t="s">
        <v>33</v>
      </c>
      <c r="T985" s="11" t="s">
        <v>34</v>
      </c>
      <c r="U985" s="11">
        <v>5</v>
      </c>
      <c r="V985" s="11" t="str">
        <f>TEXT('E-Commerce Sales Data'!$B985,"mmmm")</f>
        <v>October</v>
      </c>
      <c r="W985" s="8">
        <f t="shared" si="60"/>
        <v>1260040</v>
      </c>
      <c r="X985">
        <f t="shared" si="61"/>
        <v>217</v>
      </c>
      <c r="Y985">
        <f t="shared" si="62"/>
        <v>33472.534562211978</v>
      </c>
      <c r="Z985">
        <f t="shared" si="63"/>
        <v>54</v>
      </c>
    </row>
    <row r="986" spans="1:26" x14ac:dyDescent="0.25">
      <c r="A986" s="5" t="s">
        <v>1403</v>
      </c>
      <c r="B986" s="6">
        <v>52520</v>
      </c>
      <c r="C986" s="7" t="s">
        <v>1177</v>
      </c>
      <c r="D986" s="7" t="s">
        <v>1326</v>
      </c>
      <c r="E986" s="7">
        <v>51</v>
      </c>
      <c r="F986" s="7" t="s">
        <v>24</v>
      </c>
      <c r="G986" s="7" t="s">
        <v>1009</v>
      </c>
      <c r="H986" s="7" t="s">
        <v>1010</v>
      </c>
      <c r="I986" s="7" t="s">
        <v>41</v>
      </c>
      <c r="J986" s="7" t="s">
        <v>42</v>
      </c>
      <c r="K986" s="7" t="s">
        <v>43</v>
      </c>
      <c r="L986" s="7" t="s">
        <v>68</v>
      </c>
      <c r="M986" s="7" t="s">
        <v>69</v>
      </c>
      <c r="N986" s="7">
        <v>49400</v>
      </c>
      <c r="O986" s="7">
        <v>2</v>
      </c>
      <c r="P986" s="16">
        <v>0.08</v>
      </c>
      <c r="Q986" s="7">
        <v>8560</v>
      </c>
      <c r="R986" s="7" t="s">
        <v>46</v>
      </c>
      <c r="S986" s="7" t="s">
        <v>47</v>
      </c>
      <c r="T986" s="7" t="s">
        <v>34</v>
      </c>
      <c r="U986" s="7">
        <v>4</v>
      </c>
      <c r="V986" s="7" t="str">
        <f>TEXT('E-Commerce Sales Data'!$B986,"mmmm")</f>
        <v>October</v>
      </c>
      <c r="W986" s="8">
        <f t="shared" si="60"/>
        <v>1259610</v>
      </c>
      <c r="X986">
        <f t="shared" si="61"/>
        <v>216</v>
      </c>
      <c r="Y986">
        <f t="shared" si="62"/>
        <v>33620.787037037036</v>
      </c>
      <c r="Z986">
        <f t="shared" si="63"/>
        <v>54</v>
      </c>
    </row>
    <row r="987" spans="1:26" x14ac:dyDescent="0.25">
      <c r="A987" s="9" t="s">
        <v>1404</v>
      </c>
      <c r="B987" s="10">
        <v>52527</v>
      </c>
      <c r="C987" s="11" t="s">
        <v>1405</v>
      </c>
      <c r="D987" s="11" t="s">
        <v>1346</v>
      </c>
      <c r="E987" s="11">
        <v>28</v>
      </c>
      <c r="F987" s="11" t="s">
        <v>38</v>
      </c>
      <c r="G987" s="11" t="s">
        <v>1347</v>
      </c>
      <c r="H987" s="11" t="s">
        <v>1010</v>
      </c>
      <c r="I987" s="11" t="s">
        <v>41</v>
      </c>
      <c r="J987" s="11" t="s">
        <v>28</v>
      </c>
      <c r="K987" s="11" t="s">
        <v>29</v>
      </c>
      <c r="L987" s="11" t="s">
        <v>53</v>
      </c>
      <c r="M987" s="11" t="s">
        <v>75</v>
      </c>
      <c r="N987" s="11">
        <v>7050</v>
      </c>
      <c r="O987" s="11">
        <v>3</v>
      </c>
      <c r="P987" s="17">
        <v>0.05</v>
      </c>
      <c r="Q987" s="11">
        <v>1890</v>
      </c>
      <c r="R987" s="11" t="s">
        <v>32</v>
      </c>
      <c r="S987" s="11" t="s">
        <v>33</v>
      </c>
      <c r="T987" s="11" t="s">
        <v>34</v>
      </c>
      <c r="U987" s="11">
        <v>4</v>
      </c>
      <c r="V987" s="11" t="str">
        <f>TEXT('E-Commerce Sales Data'!$B987,"mmmm")</f>
        <v>October</v>
      </c>
      <c r="W987" s="8">
        <f t="shared" si="60"/>
        <v>1251050</v>
      </c>
      <c r="X987">
        <f t="shared" si="61"/>
        <v>215</v>
      </c>
      <c r="Y987">
        <f t="shared" si="62"/>
        <v>33547.395348837206</v>
      </c>
      <c r="Z987">
        <f t="shared" si="63"/>
        <v>54</v>
      </c>
    </row>
    <row r="988" spans="1:26" x14ac:dyDescent="0.25">
      <c r="A988" s="5" t="s">
        <v>1406</v>
      </c>
      <c r="B988" s="6">
        <v>52534</v>
      </c>
      <c r="C988" s="7" t="s">
        <v>1407</v>
      </c>
      <c r="D988" s="7" t="s">
        <v>1330</v>
      </c>
      <c r="E988" s="7">
        <v>36</v>
      </c>
      <c r="F988" s="7" t="s">
        <v>24</v>
      </c>
      <c r="G988" s="7" t="s">
        <v>1009</v>
      </c>
      <c r="H988" s="7" t="s">
        <v>1010</v>
      </c>
      <c r="I988" s="7" t="s">
        <v>41</v>
      </c>
      <c r="J988" s="7" t="s">
        <v>28</v>
      </c>
      <c r="K988" s="7" t="s">
        <v>29</v>
      </c>
      <c r="L988" s="7" t="s">
        <v>53</v>
      </c>
      <c r="M988" s="7" t="s">
        <v>79</v>
      </c>
      <c r="N988" s="7">
        <v>8300</v>
      </c>
      <c r="O988" s="7">
        <v>6</v>
      </c>
      <c r="P988" s="16">
        <v>0</v>
      </c>
      <c r="Q988" s="7">
        <v>2490</v>
      </c>
      <c r="R988" s="7" t="s">
        <v>80</v>
      </c>
      <c r="S988" s="7" t="s">
        <v>33</v>
      </c>
      <c r="T988" s="7" t="s">
        <v>34</v>
      </c>
      <c r="U988" s="7">
        <v>3</v>
      </c>
      <c r="V988" s="7" t="str">
        <f>TEXT('E-Commerce Sales Data'!$B988,"mmmm")</f>
        <v>October</v>
      </c>
      <c r="W988" s="8">
        <f t="shared" si="60"/>
        <v>1249160</v>
      </c>
      <c r="X988">
        <f t="shared" si="61"/>
        <v>214</v>
      </c>
      <c r="Y988">
        <f t="shared" si="62"/>
        <v>33671.214953271025</v>
      </c>
      <c r="Z988">
        <f t="shared" si="63"/>
        <v>54</v>
      </c>
    </row>
    <row r="989" spans="1:26" x14ac:dyDescent="0.25">
      <c r="A989" s="9" t="s">
        <v>1408</v>
      </c>
      <c r="B989" s="10">
        <v>52541</v>
      </c>
      <c r="C989" s="11" t="s">
        <v>1409</v>
      </c>
      <c r="D989" s="11" t="s">
        <v>917</v>
      </c>
      <c r="E989" s="11">
        <v>32</v>
      </c>
      <c r="F989" s="11" t="s">
        <v>38</v>
      </c>
      <c r="G989" s="11" t="s">
        <v>1328</v>
      </c>
      <c r="H989" s="11" t="s">
        <v>1010</v>
      </c>
      <c r="I989" s="11" t="s">
        <v>41</v>
      </c>
      <c r="J989" s="11" t="s">
        <v>42</v>
      </c>
      <c r="K989" s="11" t="s">
        <v>60</v>
      </c>
      <c r="L989" s="11" t="s">
        <v>61</v>
      </c>
      <c r="M989" s="11" t="s">
        <v>62</v>
      </c>
      <c r="N989" s="11">
        <v>13700</v>
      </c>
      <c r="O989" s="11">
        <v>10</v>
      </c>
      <c r="P989" s="17">
        <v>0.02</v>
      </c>
      <c r="Q989" s="11">
        <v>3400</v>
      </c>
      <c r="R989" s="11" t="s">
        <v>32</v>
      </c>
      <c r="S989" s="11" t="s">
        <v>33</v>
      </c>
      <c r="T989" s="11" t="s">
        <v>34</v>
      </c>
      <c r="U989" s="11">
        <v>5</v>
      </c>
      <c r="V989" s="11" t="str">
        <f>TEXT('E-Commerce Sales Data'!$B989,"mmmm")</f>
        <v>November</v>
      </c>
      <c r="W989" s="8">
        <f t="shared" si="60"/>
        <v>1246670</v>
      </c>
      <c r="X989">
        <f t="shared" si="61"/>
        <v>213</v>
      </c>
      <c r="Y989">
        <f t="shared" si="62"/>
        <v>33790.328638497653</v>
      </c>
      <c r="Z989">
        <f t="shared" si="63"/>
        <v>54</v>
      </c>
    </row>
    <row r="990" spans="1:26" x14ac:dyDescent="0.25">
      <c r="A990" s="5" t="s">
        <v>1410</v>
      </c>
      <c r="B990" s="6">
        <v>52548</v>
      </c>
      <c r="C990" s="7" t="s">
        <v>1346</v>
      </c>
      <c r="D990" s="7" t="s">
        <v>1341</v>
      </c>
      <c r="E990" s="7">
        <v>54</v>
      </c>
      <c r="F990" s="7" t="s">
        <v>24</v>
      </c>
      <c r="G990" s="7" t="s">
        <v>1009</v>
      </c>
      <c r="H990" s="7" t="s">
        <v>1010</v>
      </c>
      <c r="I990" s="7" t="s">
        <v>41</v>
      </c>
      <c r="J990" s="7" t="s">
        <v>42</v>
      </c>
      <c r="K990" s="7" t="s">
        <v>43</v>
      </c>
      <c r="L990" s="7" t="s">
        <v>92</v>
      </c>
      <c r="M990" s="7" t="s">
        <v>93</v>
      </c>
      <c r="N990" s="7">
        <v>30700</v>
      </c>
      <c r="O990" s="7">
        <v>1</v>
      </c>
      <c r="P990" s="16">
        <v>0.1</v>
      </c>
      <c r="Q990" s="7">
        <v>5560</v>
      </c>
      <c r="R990" s="7" t="s">
        <v>46</v>
      </c>
      <c r="S990" s="7" t="s">
        <v>47</v>
      </c>
      <c r="T990" s="7" t="s">
        <v>34</v>
      </c>
      <c r="U990" s="7">
        <v>4</v>
      </c>
      <c r="V990" s="7" t="str">
        <f>TEXT('E-Commerce Sales Data'!$B990,"mmmm")</f>
        <v>November</v>
      </c>
      <c r="W990" s="8">
        <f t="shared" si="60"/>
        <v>1243270</v>
      </c>
      <c r="X990">
        <f t="shared" si="61"/>
        <v>212</v>
      </c>
      <c r="Y990">
        <f t="shared" si="62"/>
        <v>33885.094339622643</v>
      </c>
      <c r="Z990">
        <f t="shared" si="63"/>
        <v>54</v>
      </c>
    </row>
    <row r="991" spans="1:26" x14ac:dyDescent="0.25">
      <c r="A991" s="9" t="s">
        <v>1411</v>
      </c>
      <c r="B991" s="10">
        <v>52555</v>
      </c>
      <c r="C991" s="11" t="s">
        <v>1412</v>
      </c>
      <c r="D991" s="11" t="s">
        <v>1177</v>
      </c>
      <c r="E991" s="11">
        <v>27</v>
      </c>
      <c r="F991" s="11" t="s">
        <v>38</v>
      </c>
      <c r="G991" s="11" t="s">
        <v>1009</v>
      </c>
      <c r="H991" s="11" t="s">
        <v>1010</v>
      </c>
      <c r="I991" s="11" t="s">
        <v>41</v>
      </c>
      <c r="J991" s="11" t="s">
        <v>28</v>
      </c>
      <c r="K991" s="11" t="s">
        <v>29</v>
      </c>
      <c r="L991" s="11" t="s">
        <v>96</v>
      </c>
      <c r="M991" s="11" t="s">
        <v>97</v>
      </c>
      <c r="N991" s="11">
        <v>33000</v>
      </c>
      <c r="O991" s="11">
        <v>2</v>
      </c>
      <c r="P991" s="17">
        <v>0.05</v>
      </c>
      <c r="Q991" s="11">
        <v>6240</v>
      </c>
      <c r="R991" s="11" t="s">
        <v>32</v>
      </c>
      <c r="S991" s="11" t="s">
        <v>33</v>
      </c>
      <c r="T991" s="11" t="s">
        <v>34</v>
      </c>
      <c r="U991" s="11">
        <v>4</v>
      </c>
      <c r="V991" s="11" t="str">
        <f>TEXT('E-Commerce Sales Data'!$B991,"mmmm")</f>
        <v>November</v>
      </c>
      <c r="W991" s="8">
        <f t="shared" si="60"/>
        <v>1237710</v>
      </c>
      <c r="X991">
        <f t="shared" si="61"/>
        <v>211</v>
      </c>
      <c r="Y991">
        <f t="shared" si="62"/>
        <v>33900.189573459713</v>
      </c>
      <c r="Z991">
        <f t="shared" si="63"/>
        <v>53</v>
      </c>
    </row>
    <row r="992" spans="1:26" x14ac:dyDescent="0.25">
      <c r="A992" s="5" t="s">
        <v>1413</v>
      </c>
      <c r="B992" s="6">
        <v>52562</v>
      </c>
      <c r="C992" s="7" t="s">
        <v>1414</v>
      </c>
      <c r="D992" s="7" t="s">
        <v>1326</v>
      </c>
      <c r="E992" s="7">
        <v>40</v>
      </c>
      <c r="F992" s="7" t="s">
        <v>24</v>
      </c>
      <c r="G992" s="7" t="s">
        <v>1333</v>
      </c>
      <c r="H992" s="7" t="s">
        <v>1010</v>
      </c>
      <c r="I992" s="7" t="s">
        <v>41</v>
      </c>
      <c r="J992" s="7" t="s">
        <v>28</v>
      </c>
      <c r="K992" s="7" t="s">
        <v>60</v>
      </c>
      <c r="L992" s="7" t="s">
        <v>53</v>
      </c>
      <c r="M992" s="7" t="s">
        <v>103</v>
      </c>
      <c r="N992" s="7">
        <v>1990</v>
      </c>
      <c r="O992" s="7">
        <v>25</v>
      </c>
      <c r="P992" s="16">
        <v>0</v>
      </c>
      <c r="Q992" s="7">
        <v>630</v>
      </c>
      <c r="R992" s="7" t="s">
        <v>55</v>
      </c>
      <c r="S992" s="7" t="s">
        <v>33</v>
      </c>
      <c r="T992" s="7" t="s">
        <v>34</v>
      </c>
      <c r="U992" s="7">
        <v>5</v>
      </c>
      <c r="V992" s="7" t="str">
        <f>TEXT('E-Commerce Sales Data'!$B992,"mmmm")</f>
        <v>November</v>
      </c>
      <c r="W992" s="8">
        <f t="shared" si="60"/>
        <v>1231470</v>
      </c>
      <c r="X992">
        <f t="shared" si="61"/>
        <v>210</v>
      </c>
      <c r="Y992">
        <f t="shared" si="62"/>
        <v>33904.476190476191</v>
      </c>
      <c r="Z992">
        <f t="shared" si="63"/>
        <v>53</v>
      </c>
    </row>
    <row r="993" spans="1:26" x14ac:dyDescent="0.25">
      <c r="A993" s="9" t="s">
        <v>1415</v>
      </c>
      <c r="B993" s="10">
        <v>52569</v>
      </c>
      <c r="C993" s="11" t="s">
        <v>1416</v>
      </c>
      <c r="D993" s="11" t="s">
        <v>1330</v>
      </c>
      <c r="E993" s="11">
        <v>35</v>
      </c>
      <c r="F993" s="11" t="s">
        <v>38</v>
      </c>
      <c r="G993" s="11" t="s">
        <v>1009</v>
      </c>
      <c r="H993" s="11" t="s">
        <v>1010</v>
      </c>
      <c r="I993" s="11" t="s">
        <v>41</v>
      </c>
      <c r="J993" s="11" t="s">
        <v>42</v>
      </c>
      <c r="K993" s="11" t="s">
        <v>43</v>
      </c>
      <c r="L993" s="11" t="s">
        <v>68</v>
      </c>
      <c r="M993" s="11" t="s">
        <v>106</v>
      </c>
      <c r="N993" s="11">
        <v>48600</v>
      </c>
      <c r="O993" s="11">
        <v>1</v>
      </c>
      <c r="P993" s="17">
        <v>0.08</v>
      </c>
      <c r="Q993" s="11">
        <v>10400</v>
      </c>
      <c r="R993" s="11" t="s">
        <v>46</v>
      </c>
      <c r="S993" s="11" t="s">
        <v>47</v>
      </c>
      <c r="T993" s="11" t="s">
        <v>34</v>
      </c>
      <c r="U993" s="11">
        <v>4</v>
      </c>
      <c r="V993" s="11" t="str">
        <f>TEXT('E-Commerce Sales Data'!$B993,"mmmm")</f>
        <v>December</v>
      </c>
      <c r="W993" s="8">
        <f t="shared" si="60"/>
        <v>1230840</v>
      </c>
      <c r="X993">
        <f t="shared" si="61"/>
        <v>209</v>
      </c>
      <c r="Y993">
        <f t="shared" si="62"/>
        <v>34057.177033492822</v>
      </c>
      <c r="Z993">
        <f t="shared" si="63"/>
        <v>53</v>
      </c>
    </row>
    <row r="994" spans="1:26" x14ac:dyDescent="0.25">
      <c r="A994" s="5" t="s">
        <v>1417</v>
      </c>
      <c r="B994" s="6">
        <v>52576</v>
      </c>
      <c r="C994" s="7" t="s">
        <v>1326</v>
      </c>
      <c r="D994" s="7" t="s">
        <v>1325</v>
      </c>
      <c r="E994" s="7">
        <v>47</v>
      </c>
      <c r="F994" s="7" t="s">
        <v>24</v>
      </c>
      <c r="G994" s="7" t="s">
        <v>1347</v>
      </c>
      <c r="H994" s="7" t="s">
        <v>1010</v>
      </c>
      <c r="I994" s="7" t="s">
        <v>41</v>
      </c>
      <c r="J994" s="7" t="s">
        <v>28</v>
      </c>
      <c r="K994" s="7" t="s">
        <v>29</v>
      </c>
      <c r="L994" s="7" t="s">
        <v>30</v>
      </c>
      <c r="M994" s="7" t="s">
        <v>31</v>
      </c>
      <c r="N994" s="7">
        <v>132000</v>
      </c>
      <c r="O994" s="7">
        <v>1</v>
      </c>
      <c r="P994" s="16">
        <v>0.1</v>
      </c>
      <c r="Q994" s="7">
        <v>15400</v>
      </c>
      <c r="R994" s="7" t="s">
        <v>32</v>
      </c>
      <c r="S994" s="7" t="s">
        <v>47</v>
      </c>
      <c r="T994" s="7" t="s">
        <v>34</v>
      </c>
      <c r="U994" s="7">
        <v>5</v>
      </c>
      <c r="V994" s="7" t="str">
        <f>TEXT('E-Commerce Sales Data'!$B994,"mmmm")</f>
        <v>December</v>
      </c>
      <c r="W994" s="8">
        <f t="shared" si="60"/>
        <v>1220440</v>
      </c>
      <c r="X994">
        <f t="shared" si="61"/>
        <v>208</v>
      </c>
      <c r="Y994">
        <f t="shared" si="62"/>
        <v>33987.259615384617</v>
      </c>
      <c r="Z994">
        <f t="shared" si="63"/>
        <v>53</v>
      </c>
    </row>
    <row r="995" spans="1:26" x14ac:dyDescent="0.25">
      <c r="A995" s="9" t="s">
        <v>1418</v>
      </c>
      <c r="B995" s="10">
        <v>52583</v>
      </c>
      <c r="C995" s="11" t="s">
        <v>1419</v>
      </c>
      <c r="D995" s="11" t="s">
        <v>917</v>
      </c>
      <c r="E995" s="11">
        <v>29</v>
      </c>
      <c r="F995" s="11" t="s">
        <v>38</v>
      </c>
      <c r="G995" s="11" t="s">
        <v>1368</v>
      </c>
      <c r="H995" s="11" t="s">
        <v>1010</v>
      </c>
      <c r="I995" s="11" t="s">
        <v>41</v>
      </c>
      <c r="J995" s="11" t="s">
        <v>28</v>
      </c>
      <c r="K995" s="11" t="s">
        <v>60</v>
      </c>
      <c r="L995" s="11" t="s">
        <v>92</v>
      </c>
      <c r="M995" s="11" t="s">
        <v>111</v>
      </c>
      <c r="N995" s="11">
        <v>2620</v>
      </c>
      <c r="O995" s="11">
        <v>15</v>
      </c>
      <c r="P995" s="17">
        <v>0.05</v>
      </c>
      <c r="Q995" s="11">
        <v>870</v>
      </c>
      <c r="R995" s="11" t="s">
        <v>80</v>
      </c>
      <c r="S995" s="11" t="s">
        <v>33</v>
      </c>
      <c r="T995" s="11" t="s">
        <v>34</v>
      </c>
      <c r="U995" s="11">
        <v>4</v>
      </c>
      <c r="V995" s="11" t="str">
        <f>TEXT('E-Commerce Sales Data'!$B995,"mmmm")</f>
        <v>December</v>
      </c>
      <c r="W995" s="8">
        <f t="shared" si="60"/>
        <v>1205040</v>
      </c>
      <c r="X995">
        <f t="shared" si="61"/>
        <v>207</v>
      </c>
      <c r="Y995">
        <f t="shared" si="62"/>
        <v>33513.768115942032</v>
      </c>
      <c r="Z995">
        <f t="shared" si="63"/>
        <v>53</v>
      </c>
    </row>
    <row r="996" spans="1:26" x14ac:dyDescent="0.25">
      <c r="A996" s="5" t="s">
        <v>1420</v>
      </c>
      <c r="B996" s="6">
        <v>52590</v>
      </c>
      <c r="C996" s="7" t="s">
        <v>1177</v>
      </c>
      <c r="D996" s="7" t="s">
        <v>917</v>
      </c>
      <c r="E996" s="7">
        <v>53</v>
      </c>
      <c r="F996" s="7" t="s">
        <v>24</v>
      </c>
      <c r="G996" s="7" t="s">
        <v>1009</v>
      </c>
      <c r="H996" s="7" t="s">
        <v>1010</v>
      </c>
      <c r="I996" s="7" t="s">
        <v>41</v>
      </c>
      <c r="J996" s="7" t="s">
        <v>42</v>
      </c>
      <c r="K996" s="7" t="s">
        <v>43</v>
      </c>
      <c r="L996" s="7" t="s">
        <v>44</v>
      </c>
      <c r="M996" s="7" t="s">
        <v>45</v>
      </c>
      <c r="N996" s="7">
        <v>25200</v>
      </c>
      <c r="O996" s="7">
        <v>4</v>
      </c>
      <c r="P996" s="16">
        <v>7.0000000000000007E-2</v>
      </c>
      <c r="Q996" s="7">
        <v>5850</v>
      </c>
      <c r="R996" s="7" t="s">
        <v>46</v>
      </c>
      <c r="S996" s="7" t="s">
        <v>33</v>
      </c>
      <c r="T996" s="7" t="s">
        <v>34</v>
      </c>
      <c r="U996" s="7">
        <v>4</v>
      </c>
      <c r="V996" s="7" t="str">
        <f>TEXT('E-Commerce Sales Data'!$B996,"mmmm")</f>
        <v>December</v>
      </c>
      <c r="W996" s="8">
        <f t="shared" si="60"/>
        <v>1204170</v>
      </c>
      <c r="X996">
        <f t="shared" si="61"/>
        <v>206</v>
      </c>
      <c r="Y996">
        <f t="shared" si="62"/>
        <v>33663.737864077673</v>
      </c>
      <c r="Z996">
        <f t="shared" si="63"/>
        <v>53</v>
      </c>
    </row>
    <row r="997" spans="1:26" x14ac:dyDescent="0.25">
      <c r="A997" s="9" t="s">
        <v>1421</v>
      </c>
      <c r="B997" s="10">
        <v>52597</v>
      </c>
      <c r="C997" s="11" t="s">
        <v>82</v>
      </c>
      <c r="D997" s="11" t="s">
        <v>1325</v>
      </c>
      <c r="E997" s="11">
        <v>33</v>
      </c>
      <c r="F997" s="11" t="s">
        <v>38</v>
      </c>
      <c r="G997" s="11" t="s">
        <v>1009</v>
      </c>
      <c r="H997" s="11" t="s">
        <v>1010</v>
      </c>
      <c r="I997" s="11" t="s">
        <v>41</v>
      </c>
      <c r="J997" s="11" t="s">
        <v>28</v>
      </c>
      <c r="K997" s="11" t="s">
        <v>29</v>
      </c>
      <c r="L997" s="11" t="s">
        <v>53</v>
      </c>
      <c r="M997" s="11" t="s">
        <v>54</v>
      </c>
      <c r="N997" s="11">
        <v>49500</v>
      </c>
      <c r="O997" s="11">
        <v>2</v>
      </c>
      <c r="P997" s="17">
        <v>0.05</v>
      </c>
      <c r="Q997" s="11">
        <v>9800</v>
      </c>
      <c r="R997" s="11" t="s">
        <v>32</v>
      </c>
      <c r="S997" s="11" t="s">
        <v>47</v>
      </c>
      <c r="T997" s="11" t="s">
        <v>34</v>
      </c>
      <c r="U997" s="11">
        <v>5</v>
      </c>
      <c r="V997" s="11" t="str">
        <f>TEXT('E-Commerce Sales Data'!$B997,"mmmm")</f>
        <v>January</v>
      </c>
      <c r="W997" s="8">
        <f t="shared" si="60"/>
        <v>1198320</v>
      </c>
      <c r="X997">
        <f t="shared" si="61"/>
        <v>205</v>
      </c>
      <c r="Y997">
        <f t="shared" si="62"/>
        <v>33705.024390243903</v>
      </c>
      <c r="Z997">
        <f t="shared" si="63"/>
        <v>52</v>
      </c>
    </row>
    <row r="998" spans="1:26" x14ac:dyDescent="0.25">
      <c r="A998" s="5" t="s">
        <v>1422</v>
      </c>
      <c r="B998" s="6">
        <v>52604</v>
      </c>
      <c r="C998" s="7" t="s">
        <v>1330</v>
      </c>
      <c r="D998" s="7" t="s">
        <v>917</v>
      </c>
      <c r="E998" s="7">
        <v>45</v>
      </c>
      <c r="F998" s="7" t="s">
        <v>24</v>
      </c>
      <c r="G998" s="7" t="s">
        <v>1328</v>
      </c>
      <c r="H998" s="7" t="s">
        <v>1010</v>
      </c>
      <c r="I998" s="7" t="s">
        <v>41</v>
      </c>
      <c r="J998" s="7" t="s">
        <v>42</v>
      </c>
      <c r="K998" s="7" t="s">
        <v>60</v>
      </c>
      <c r="L998" s="7" t="s">
        <v>61</v>
      </c>
      <c r="M998" s="7" t="s">
        <v>62</v>
      </c>
      <c r="N998" s="7">
        <v>13900</v>
      </c>
      <c r="O998" s="7">
        <v>10</v>
      </c>
      <c r="P998" s="16">
        <v>0.03</v>
      </c>
      <c r="Q998" s="7">
        <v>3460</v>
      </c>
      <c r="R998" s="7" t="s">
        <v>55</v>
      </c>
      <c r="S998" s="7" t="s">
        <v>33</v>
      </c>
      <c r="T998" s="7" t="s">
        <v>34</v>
      </c>
      <c r="U998" s="7">
        <v>4</v>
      </c>
      <c r="V998" s="7" t="str">
        <f>TEXT('E-Commerce Sales Data'!$B998,"mmmm")</f>
        <v>January</v>
      </c>
      <c r="W998" s="8">
        <f t="shared" si="60"/>
        <v>1188520</v>
      </c>
      <c r="X998">
        <f t="shared" si="61"/>
        <v>204</v>
      </c>
      <c r="Y998">
        <f t="shared" si="62"/>
        <v>33627.598039215685</v>
      </c>
      <c r="Z998">
        <f t="shared" si="63"/>
        <v>52</v>
      </c>
    </row>
    <row r="999" spans="1:26" x14ac:dyDescent="0.25">
      <c r="A999" s="9" t="s">
        <v>1423</v>
      </c>
      <c r="B999" s="10">
        <v>52611</v>
      </c>
      <c r="C999" s="11" t="s">
        <v>1377</v>
      </c>
      <c r="D999" s="11" t="s">
        <v>1177</v>
      </c>
      <c r="E999" s="11">
        <v>31</v>
      </c>
      <c r="F999" s="11" t="s">
        <v>38</v>
      </c>
      <c r="G999" s="11" t="s">
        <v>1009</v>
      </c>
      <c r="H999" s="11" t="s">
        <v>1010</v>
      </c>
      <c r="I999" s="11" t="s">
        <v>41</v>
      </c>
      <c r="J999" s="11" t="s">
        <v>28</v>
      </c>
      <c r="K999" s="11" t="s">
        <v>43</v>
      </c>
      <c r="L999" s="11" t="s">
        <v>68</v>
      </c>
      <c r="M999" s="11" t="s">
        <v>69</v>
      </c>
      <c r="N999" s="11">
        <v>46800</v>
      </c>
      <c r="O999" s="11">
        <v>2</v>
      </c>
      <c r="P999" s="17">
        <v>0.1</v>
      </c>
      <c r="Q999" s="11">
        <v>7680</v>
      </c>
      <c r="R999" s="11" t="s">
        <v>32</v>
      </c>
      <c r="S999" s="11" t="s">
        <v>47</v>
      </c>
      <c r="T999" s="11" t="s">
        <v>34</v>
      </c>
      <c r="U999" s="11">
        <v>5</v>
      </c>
      <c r="V999" s="11" t="str">
        <f>TEXT('E-Commerce Sales Data'!$B999,"mmmm")</f>
        <v>January</v>
      </c>
      <c r="W999" s="8">
        <f t="shared" si="60"/>
        <v>1185060</v>
      </c>
      <c r="X999">
        <f t="shared" si="61"/>
        <v>203</v>
      </c>
      <c r="Y999">
        <f t="shared" si="62"/>
        <v>33724.778325123152</v>
      </c>
      <c r="Z999">
        <f t="shared" si="63"/>
        <v>52</v>
      </c>
    </row>
    <row r="1000" spans="1:26" x14ac:dyDescent="0.25">
      <c r="A1000" s="5" t="s">
        <v>1424</v>
      </c>
      <c r="B1000" s="6">
        <v>52618</v>
      </c>
      <c r="C1000" s="7" t="s">
        <v>1425</v>
      </c>
      <c r="D1000" s="7" t="s">
        <v>1326</v>
      </c>
      <c r="E1000" s="7">
        <v>50</v>
      </c>
      <c r="F1000" s="7" t="s">
        <v>24</v>
      </c>
      <c r="G1000" s="7" t="s">
        <v>1333</v>
      </c>
      <c r="H1000" s="7" t="s">
        <v>1010</v>
      </c>
      <c r="I1000" s="7" t="s">
        <v>41</v>
      </c>
      <c r="J1000" s="7" t="s">
        <v>42</v>
      </c>
      <c r="K1000" s="7" t="s">
        <v>29</v>
      </c>
      <c r="L1000" s="7" t="s">
        <v>53</v>
      </c>
      <c r="M1000" s="7" t="s">
        <v>75</v>
      </c>
      <c r="N1000" s="7">
        <v>7350</v>
      </c>
      <c r="O1000" s="7">
        <v>4</v>
      </c>
      <c r="P1000" s="16">
        <v>0.05</v>
      </c>
      <c r="Q1000" s="7">
        <v>1970</v>
      </c>
      <c r="R1000" s="7" t="s">
        <v>46</v>
      </c>
      <c r="S1000" s="7" t="s">
        <v>33</v>
      </c>
      <c r="T1000" s="7" t="s">
        <v>34</v>
      </c>
      <c r="U1000" s="7">
        <v>3</v>
      </c>
      <c r="V1000" s="7" t="str">
        <f>TEXT('E-Commerce Sales Data'!$B1000,"mmmm")</f>
        <v>January</v>
      </c>
      <c r="W1000" s="8">
        <f t="shared" si="60"/>
        <v>1177380</v>
      </c>
      <c r="X1000">
        <f t="shared" si="61"/>
        <v>202</v>
      </c>
      <c r="Y1000">
        <f t="shared" si="62"/>
        <v>33660.049504950497</v>
      </c>
      <c r="Z1000">
        <f t="shared" si="63"/>
        <v>52</v>
      </c>
    </row>
    <row r="1001" spans="1:26" x14ac:dyDescent="0.25">
      <c r="A1001" s="9" t="s">
        <v>1426</v>
      </c>
      <c r="B1001" s="10">
        <v>52625</v>
      </c>
      <c r="C1001" s="11" t="s">
        <v>1427</v>
      </c>
      <c r="D1001" s="11" t="s">
        <v>1325</v>
      </c>
      <c r="E1001" s="11">
        <v>28</v>
      </c>
      <c r="F1001" s="11" t="s">
        <v>38</v>
      </c>
      <c r="G1001" s="11" t="s">
        <v>1009</v>
      </c>
      <c r="H1001" s="11" t="s">
        <v>1010</v>
      </c>
      <c r="I1001" s="11" t="s">
        <v>41</v>
      </c>
      <c r="J1001" s="11" t="s">
        <v>28</v>
      </c>
      <c r="K1001" s="11" t="s">
        <v>29</v>
      </c>
      <c r="L1001" s="11" t="s">
        <v>53</v>
      </c>
      <c r="M1001" s="11" t="s">
        <v>79</v>
      </c>
      <c r="N1001" s="11">
        <v>8400</v>
      </c>
      <c r="O1001" s="11">
        <v>7</v>
      </c>
      <c r="P1001" s="17">
        <v>0</v>
      </c>
      <c r="Q1001" s="11">
        <v>2520</v>
      </c>
      <c r="R1001" s="11" t="s">
        <v>32</v>
      </c>
      <c r="S1001" s="11" t="s">
        <v>33</v>
      </c>
      <c r="T1001" s="11" t="s">
        <v>34</v>
      </c>
      <c r="U1001" s="11">
        <v>4</v>
      </c>
      <c r="V1001" s="11" t="str">
        <f>TEXT('E-Commerce Sales Data'!$B1001,"mmmm")</f>
        <v>January</v>
      </c>
      <c r="W1001" s="8">
        <f t="shared" si="60"/>
        <v>1175410</v>
      </c>
      <c r="X1001">
        <f t="shared" si="61"/>
        <v>201</v>
      </c>
      <c r="Y1001">
        <f t="shared" si="62"/>
        <v>33790.945273631842</v>
      </c>
      <c r="Z1001">
        <f t="shared" si="63"/>
        <v>52</v>
      </c>
    </row>
    <row r="1002" spans="1:26" x14ac:dyDescent="0.25">
      <c r="A1002" s="5" t="s">
        <v>1428</v>
      </c>
      <c r="B1002" s="6">
        <v>52632</v>
      </c>
      <c r="C1002" s="7" t="s">
        <v>1429</v>
      </c>
      <c r="D1002" s="7" t="s">
        <v>1430</v>
      </c>
      <c r="E1002" s="7">
        <v>29</v>
      </c>
      <c r="F1002" s="7" t="s">
        <v>24</v>
      </c>
      <c r="G1002" s="7" t="s">
        <v>25</v>
      </c>
      <c r="H1002" s="7" t="s">
        <v>26</v>
      </c>
      <c r="I1002" s="7" t="s">
        <v>27</v>
      </c>
      <c r="J1002" s="7" t="s">
        <v>28</v>
      </c>
      <c r="K1002" s="7" t="s">
        <v>29</v>
      </c>
      <c r="L1002" s="7" t="s">
        <v>30</v>
      </c>
      <c r="M1002" s="7" t="s">
        <v>31</v>
      </c>
      <c r="N1002" s="7">
        <v>109800</v>
      </c>
      <c r="O1002" s="7">
        <v>1</v>
      </c>
      <c r="P1002" s="16">
        <v>0.05</v>
      </c>
      <c r="Q1002" s="7">
        <v>14200</v>
      </c>
      <c r="R1002" s="7" t="s">
        <v>32</v>
      </c>
      <c r="S1002" s="7" t="s">
        <v>47</v>
      </c>
      <c r="T1002" s="7" t="s">
        <v>34</v>
      </c>
      <c r="U1002" s="7">
        <v>5</v>
      </c>
      <c r="V1002" s="7" t="str">
        <f>TEXT('E-Commerce Sales Data'!$B1002,"mmmm")</f>
        <v>February</v>
      </c>
      <c r="W1002" s="8">
        <f t="shared" si="60"/>
        <v>1172890</v>
      </c>
      <c r="X1002">
        <f t="shared" si="61"/>
        <v>200</v>
      </c>
      <c r="Y1002">
        <f t="shared" si="62"/>
        <v>33917.9</v>
      </c>
      <c r="Z1002">
        <f t="shared" si="63"/>
        <v>52</v>
      </c>
    </row>
    <row r="1003" spans="1:26" x14ac:dyDescent="0.25">
      <c r="A1003" s="9" t="s">
        <v>1431</v>
      </c>
      <c r="B1003" s="10">
        <v>52639</v>
      </c>
      <c r="C1003" s="11" t="s">
        <v>1432</v>
      </c>
      <c r="D1003" s="11" t="s">
        <v>1433</v>
      </c>
      <c r="E1003" s="11">
        <v>26</v>
      </c>
      <c r="F1003" s="11" t="s">
        <v>38</v>
      </c>
      <c r="G1003" s="11" t="s">
        <v>59</v>
      </c>
      <c r="H1003" s="11" t="s">
        <v>26</v>
      </c>
      <c r="I1003" s="11" t="s">
        <v>27</v>
      </c>
      <c r="J1003" s="11" t="s">
        <v>28</v>
      </c>
      <c r="K1003" s="11" t="s">
        <v>43</v>
      </c>
      <c r="L1003" s="11" t="s">
        <v>44</v>
      </c>
      <c r="M1003" s="11" t="s">
        <v>45</v>
      </c>
      <c r="N1003" s="11">
        <v>18500</v>
      </c>
      <c r="O1003" s="11">
        <v>2</v>
      </c>
      <c r="P1003" s="17">
        <v>0.08</v>
      </c>
      <c r="Q1003" s="11">
        <v>3900</v>
      </c>
      <c r="R1003" s="11" t="s">
        <v>46</v>
      </c>
      <c r="S1003" s="11" t="s">
        <v>33</v>
      </c>
      <c r="T1003" s="11" t="s">
        <v>34</v>
      </c>
      <c r="U1003" s="11">
        <v>4</v>
      </c>
      <c r="V1003" s="11" t="str">
        <f>TEXT('E-Commerce Sales Data'!$B1003,"mmmm")</f>
        <v>February</v>
      </c>
      <c r="W1003" s="8">
        <f t="shared" si="60"/>
        <v>1158690</v>
      </c>
      <c r="X1003">
        <f t="shared" si="61"/>
        <v>199</v>
      </c>
      <c r="Y1003">
        <f t="shared" si="62"/>
        <v>33536.582914572864</v>
      </c>
      <c r="Z1003">
        <f t="shared" si="63"/>
        <v>52</v>
      </c>
    </row>
    <row r="1004" spans="1:26" x14ac:dyDescent="0.25">
      <c r="A1004" s="5" t="s">
        <v>1434</v>
      </c>
      <c r="B1004" s="6">
        <v>52646</v>
      </c>
      <c r="C1004" s="7" t="s">
        <v>1435</v>
      </c>
      <c r="D1004" s="7" t="s">
        <v>1436</v>
      </c>
      <c r="E1004" s="7">
        <v>34</v>
      </c>
      <c r="F1004" s="7" t="s">
        <v>24</v>
      </c>
      <c r="G1004" s="7" t="s">
        <v>914</v>
      </c>
      <c r="H1004" s="7" t="s">
        <v>26</v>
      </c>
      <c r="I1004" s="7" t="s">
        <v>27</v>
      </c>
      <c r="J1004" s="7" t="s">
        <v>42</v>
      </c>
      <c r="K1004" s="7" t="s">
        <v>29</v>
      </c>
      <c r="L1004" s="7" t="s">
        <v>53</v>
      </c>
      <c r="M1004" s="7" t="s">
        <v>54</v>
      </c>
      <c r="N1004" s="7">
        <v>41500</v>
      </c>
      <c r="O1004" s="7">
        <v>2</v>
      </c>
      <c r="P1004" s="16">
        <v>0.05</v>
      </c>
      <c r="Q1004" s="7">
        <v>8050</v>
      </c>
      <c r="R1004" s="7" t="s">
        <v>55</v>
      </c>
      <c r="S1004" s="7" t="s">
        <v>33</v>
      </c>
      <c r="T1004" s="7" t="s">
        <v>34</v>
      </c>
      <c r="U1004" s="7">
        <v>4</v>
      </c>
      <c r="V1004" s="7" t="str">
        <f>TEXT('E-Commerce Sales Data'!$B1004,"mmmm")</f>
        <v>February</v>
      </c>
      <c r="W1004" s="8">
        <f t="shared" si="60"/>
        <v>1154790</v>
      </c>
      <c r="X1004">
        <f t="shared" si="61"/>
        <v>198</v>
      </c>
      <c r="Y1004">
        <f t="shared" si="62"/>
        <v>33612.525252525251</v>
      </c>
      <c r="Z1004">
        <f t="shared" si="63"/>
        <v>52</v>
      </c>
    </row>
    <row r="1005" spans="1:26" x14ac:dyDescent="0.25">
      <c r="A1005" s="9" t="s">
        <v>1437</v>
      </c>
      <c r="B1005" s="10">
        <v>52653</v>
      </c>
      <c r="C1005" s="11" t="s">
        <v>1438</v>
      </c>
      <c r="D1005" s="11" t="s">
        <v>1228</v>
      </c>
      <c r="E1005" s="11">
        <v>25</v>
      </c>
      <c r="F1005" s="11" t="s">
        <v>38</v>
      </c>
      <c r="G1005" s="11" t="s">
        <v>924</v>
      </c>
      <c r="H1005" s="11" t="s">
        <v>26</v>
      </c>
      <c r="I1005" s="11" t="s">
        <v>27</v>
      </c>
      <c r="J1005" s="11" t="s">
        <v>28</v>
      </c>
      <c r="K1005" s="11" t="s">
        <v>60</v>
      </c>
      <c r="L1005" s="11" t="s">
        <v>61</v>
      </c>
      <c r="M1005" s="11" t="s">
        <v>86</v>
      </c>
      <c r="N1005" s="11">
        <v>1260</v>
      </c>
      <c r="O1005" s="11">
        <v>15</v>
      </c>
      <c r="P1005" s="17">
        <v>0.02</v>
      </c>
      <c r="Q1005" s="11">
        <v>360</v>
      </c>
      <c r="R1005" s="11" t="s">
        <v>32</v>
      </c>
      <c r="S1005" s="11" t="s">
        <v>33</v>
      </c>
      <c r="T1005" s="11" t="s">
        <v>34</v>
      </c>
      <c r="U1005" s="11">
        <v>5</v>
      </c>
      <c r="V1005" s="11" t="str">
        <f>TEXT('E-Commerce Sales Data'!$B1005,"mmmm")</f>
        <v>February</v>
      </c>
      <c r="W1005" s="8">
        <f t="shared" si="60"/>
        <v>1146740</v>
      </c>
      <c r="X1005">
        <f t="shared" si="61"/>
        <v>197</v>
      </c>
      <c r="Y1005">
        <f t="shared" si="62"/>
        <v>33572.487309644668</v>
      </c>
      <c r="Z1005">
        <f t="shared" si="63"/>
        <v>52</v>
      </c>
    </row>
    <row r="1006" spans="1:26" x14ac:dyDescent="0.25">
      <c r="A1006" s="5" t="s">
        <v>1439</v>
      </c>
      <c r="B1006" s="6">
        <v>52660</v>
      </c>
      <c r="C1006" s="7" t="s">
        <v>1440</v>
      </c>
      <c r="D1006" s="7" t="s">
        <v>1441</v>
      </c>
      <c r="E1006" s="7">
        <v>37</v>
      </c>
      <c r="F1006" s="7" t="s">
        <v>24</v>
      </c>
      <c r="G1006" s="7" t="s">
        <v>78</v>
      </c>
      <c r="H1006" s="7" t="s">
        <v>26</v>
      </c>
      <c r="I1006" s="7" t="s">
        <v>27</v>
      </c>
      <c r="J1006" s="7" t="s">
        <v>42</v>
      </c>
      <c r="K1006" s="7" t="s">
        <v>43</v>
      </c>
      <c r="L1006" s="7" t="s">
        <v>68</v>
      </c>
      <c r="M1006" s="7" t="s">
        <v>69</v>
      </c>
      <c r="N1006" s="7">
        <v>43200</v>
      </c>
      <c r="O1006" s="7">
        <v>2</v>
      </c>
      <c r="P1006" s="16">
        <v>0.1</v>
      </c>
      <c r="Q1006" s="7">
        <v>7350</v>
      </c>
      <c r="R1006" s="7" t="s">
        <v>46</v>
      </c>
      <c r="S1006" s="7" t="s">
        <v>47</v>
      </c>
      <c r="T1006" s="7" t="s">
        <v>34</v>
      </c>
      <c r="U1006" s="7">
        <v>4</v>
      </c>
      <c r="V1006" s="7" t="str">
        <f>TEXT('E-Commerce Sales Data'!$B1006,"mmmm")</f>
        <v>March</v>
      </c>
      <c r="W1006" s="8">
        <f t="shared" si="60"/>
        <v>1146380</v>
      </c>
      <c r="X1006">
        <f t="shared" si="61"/>
        <v>196</v>
      </c>
      <c r="Y1006">
        <f t="shared" si="62"/>
        <v>33737.34693877551</v>
      </c>
      <c r="Z1006">
        <f t="shared" si="63"/>
        <v>52</v>
      </c>
    </row>
    <row r="1007" spans="1:26" x14ac:dyDescent="0.25">
      <c r="A1007" s="9" t="s">
        <v>1442</v>
      </c>
      <c r="B1007" s="10">
        <v>52667</v>
      </c>
      <c r="C1007" s="11" t="s">
        <v>1443</v>
      </c>
      <c r="D1007" s="11" t="s">
        <v>1444</v>
      </c>
      <c r="E1007" s="11">
        <v>28</v>
      </c>
      <c r="F1007" s="11" t="s">
        <v>38</v>
      </c>
      <c r="G1007" s="11" t="s">
        <v>928</v>
      </c>
      <c r="H1007" s="11" t="s">
        <v>26</v>
      </c>
      <c r="I1007" s="11" t="s">
        <v>27</v>
      </c>
      <c r="J1007" s="11" t="s">
        <v>28</v>
      </c>
      <c r="K1007" s="11" t="s">
        <v>29</v>
      </c>
      <c r="L1007" s="11" t="s">
        <v>53</v>
      </c>
      <c r="M1007" s="11" t="s">
        <v>75</v>
      </c>
      <c r="N1007" s="11">
        <v>6300</v>
      </c>
      <c r="O1007" s="11">
        <v>3</v>
      </c>
      <c r="P1007" s="17">
        <v>0.05</v>
      </c>
      <c r="Q1007" s="11">
        <v>1670</v>
      </c>
      <c r="R1007" s="11" t="s">
        <v>32</v>
      </c>
      <c r="S1007" s="11" t="s">
        <v>33</v>
      </c>
      <c r="T1007" s="11" t="s">
        <v>34</v>
      </c>
      <c r="U1007" s="11">
        <v>4</v>
      </c>
      <c r="V1007" s="11" t="str">
        <f>TEXT('E-Commerce Sales Data'!$B1007,"mmmm")</f>
        <v>March</v>
      </c>
      <c r="W1007" s="8">
        <f t="shared" si="60"/>
        <v>1139030</v>
      </c>
      <c r="X1007">
        <f t="shared" si="61"/>
        <v>195</v>
      </c>
      <c r="Y1007">
        <f t="shared" si="62"/>
        <v>33688.820512820515</v>
      </c>
      <c r="Z1007">
        <f t="shared" si="63"/>
        <v>52</v>
      </c>
    </row>
    <row r="1008" spans="1:26" x14ac:dyDescent="0.25">
      <c r="A1008" s="5" t="s">
        <v>1445</v>
      </c>
      <c r="B1008" s="6">
        <v>52674</v>
      </c>
      <c r="C1008" s="7" t="s">
        <v>1446</v>
      </c>
      <c r="D1008" s="7" t="s">
        <v>1447</v>
      </c>
      <c r="E1008" s="7">
        <v>32</v>
      </c>
      <c r="F1008" s="7" t="s">
        <v>24</v>
      </c>
      <c r="G1008" s="7" t="s">
        <v>1174</v>
      </c>
      <c r="H1008" s="7" t="s">
        <v>26</v>
      </c>
      <c r="I1008" s="7" t="s">
        <v>27</v>
      </c>
      <c r="J1008" s="7" t="s">
        <v>28</v>
      </c>
      <c r="K1008" s="7" t="s">
        <v>29</v>
      </c>
      <c r="L1008" s="7" t="s">
        <v>53</v>
      </c>
      <c r="M1008" s="7" t="s">
        <v>79</v>
      </c>
      <c r="N1008" s="7">
        <v>6800</v>
      </c>
      <c r="O1008" s="7">
        <v>5</v>
      </c>
      <c r="P1008" s="16">
        <v>0</v>
      </c>
      <c r="Q1008" s="7">
        <v>2000</v>
      </c>
      <c r="R1008" s="7" t="s">
        <v>80</v>
      </c>
      <c r="S1008" s="7" t="s">
        <v>33</v>
      </c>
      <c r="T1008" s="7" t="s">
        <v>34</v>
      </c>
      <c r="U1008" s="7">
        <v>3</v>
      </c>
      <c r="V1008" s="7" t="str">
        <f>TEXT('E-Commerce Sales Data'!$B1008,"mmmm")</f>
        <v>March</v>
      </c>
      <c r="W1008" s="8">
        <f t="shared" si="60"/>
        <v>1137360</v>
      </c>
      <c r="X1008">
        <f t="shared" si="61"/>
        <v>194</v>
      </c>
      <c r="Y1008">
        <f t="shared" si="62"/>
        <v>33830</v>
      </c>
      <c r="Z1008">
        <f t="shared" si="63"/>
        <v>52</v>
      </c>
    </row>
    <row r="1009" spans="1:26" x14ac:dyDescent="0.25">
      <c r="A1009" s="9" t="s">
        <v>1448</v>
      </c>
      <c r="B1009" s="10">
        <v>52681</v>
      </c>
      <c r="C1009" s="11" t="s">
        <v>1449</v>
      </c>
      <c r="D1009" s="11" t="s">
        <v>1450</v>
      </c>
      <c r="E1009" s="11">
        <v>30</v>
      </c>
      <c r="F1009" s="11" t="s">
        <v>38</v>
      </c>
      <c r="G1009" s="11" t="s">
        <v>1050</v>
      </c>
      <c r="H1009" s="11" t="s">
        <v>26</v>
      </c>
      <c r="I1009" s="11" t="s">
        <v>27</v>
      </c>
      <c r="J1009" s="11" t="s">
        <v>42</v>
      </c>
      <c r="K1009" s="11" t="s">
        <v>60</v>
      </c>
      <c r="L1009" s="11" t="s">
        <v>61</v>
      </c>
      <c r="M1009" s="11" t="s">
        <v>62</v>
      </c>
      <c r="N1009" s="11">
        <v>10800</v>
      </c>
      <c r="O1009" s="11">
        <v>10</v>
      </c>
      <c r="P1009" s="17">
        <v>0.03</v>
      </c>
      <c r="Q1009" s="11">
        <v>2680</v>
      </c>
      <c r="R1009" s="11" t="s">
        <v>32</v>
      </c>
      <c r="S1009" s="11" t="s">
        <v>33</v>
      </c>
      <c r="T1009" s="11" t="s">
        <v>34</v>
      </c>
      <c r="U1009" s="11">
        <v>5</v>
      </c>
      <c r="V1009" s="11" t="str">
        <f>TEXT('E-Commerce Sales Data'!$B1009,"mmmm")</f>
        <v>March</v>
      </c>
      <c r="W1009" s="8">
        <f t="shared" si="60"/>
        <v>1135360</v>
      </c>
      <c r="X1009">
        <f t="shared" si="61"/>
        <v>193</v>
      </c>
      <c r="Y1009">
        <f t="shared" si="62"/>
        <v>33970.051813471502</v>
      </c>
      <c r="Z1009">
        <f t="shared" si="63"/>
        <v>52</v>
      </c>
    </row>
    <row r="1010" spans="1:26" x14ac:dyDescent="0.25">
      <c r="A1010" s="5" t="s">
        <v>1451</v>
      </c>
      <c r="B1010" s="6">
        <v>52688</v>
      </c>
      <c r="C1010" s="7" t="s">
        <v>1452</v>
      </c>
      <c r="D1010" s="7" t="s">
        <v>1185</v>
      </c>
      <c r="E1010" s="7">
        <v>27</v>
      </c>
      <c r="F1010" s="7" t="s">
        <v>38</v>
      </c>
      <c r="G1010" s="7" t="s">
        <v>1453</v>
      </c>
      <c r="H1010" s="7" t="s">
        <v>26</v>
      </c>
      <c r="I1010" s="7" t="s">
        <v>27</v>
      </c>
      <c r="J1010" s="7" t="s">
        <v>42</v>
      </c>
      <c r="K1010" s="7" t="s">
        <v>43</v>
      </c>
      <c r="L1010" s="7" t="s">
        <v>92</v>
      </c>
      <c r="M1010" s="7" t="s">
        <v>93</v>
      </c>
      <c r="N1010" s="7">
        <v>27500</v>
      </c>
      <c r="O1010" s="7">
        <v>1</v>
      </c>
      <c r="P1010" s="16">
        <v>0.1</v>
      </c>
      <c r="Q1010" s="7">
        <v>4980</v>
      </c>
      <c r="R1010" s="7" t="s">
        <v>46</v>
      </c>
      <c r="S1010" s="7" t="s">
        <v>47</v>
      </c>
      <c r="T1010" s="7" t="s">
        <v>34</v>
      </c>
      <c r="U1010" s="7">
        <v>4</v>
      </c>
      <c r="V1010" s="7" t="str">
        <f>TEXT('E-Commerce Sales Data'!$B1010,"mmmm")</f>
        <v>April</v>
      </c>
      <c r="W1010" s="8">
        <f t="shared" si="60"/>
        <v>1132680</v>
      </c>
      <c r="X1010">
        <f t="shared" si="61"/>
        <v>192</v>
      </c>
      <c r="Y1010">
        <f t="shared" si="62"/>
        <v>34090.729166666664</v>
      </c>
      <c r="Z1010">
        <f t="shared" si="63"/>
        <v>52</v>
      </c>
    </row>
    <row r="1011" spans="1:26" x14ac:dyDescent="0.25">
      <c r="A1011" s="9" t="s">
        <v>1454</v>
      </c>
      <c r="B1011" s="10">
        <v>52695</v>
      </c>
      <c r="C1011" s="11" t="s">
        <v>1455</v>
      </c>
      <c r="D1011" s="11" t="s">
        <v>1456</v>
      </c>
      <c r="E1011" s="11">
        <v>39</v>
      </c>
      <c r="F1011" s="11" t="s">
        <v>24</v>
      </c>
      <c r="G1011" s="11" t="s">
        <v>1168</v>
      </c>
      <c r="H1011" s="11" t="s">
        <v>26</v>
      </c>
      <c r="I1011" s="11" t="s">
        <v>27</v>
      </c>
      <c r="J1011" s="11" t="s">
        <v>28</v>
      </c>
      <c r="K1011" s="11" t="s">
        <v>29</v>
      </c>
      <c r="L1011" s="11" t="s">
        <v>96</v>
      </c>
      <c r="M1011" s="11" t="s">
        <v>97</v>
      </c>
      <c r="N1011" s="11">
        <v>29800</v>
      </c>
      <c r="O1011" s="11">
        <v>2</v>
      </c>
      <c r="P1011" s="17">
        <v>0.05</v>
      </c>
      <c r="Q1011" s="11">
        <v>5700</v>
      </c>
      <c r="R1011" s="11" t="s">
        <v>32</v>
      </c>
      <c r="S1011" s="11" t="s">
        <v>33</v>
      </c>
      <c r="T1011" s="11" t="s">
        <v>34</v>
      </c>
      <c r="U1011" s="11">
        <v>4</v>
      </c>
      <c r="V1011" s="11" t="str">
        <f>TEXT('E-Commerce Sales Data'!$B1011,"mmmm")</f>
        <v>April</v>
      </c>
      <c r="W1011" s="8">
        <f t="shared" si="60"/>
        <v>1127700</v>
      </c>
      <c r="X1011">
        <f t="shared" si="61"/>
        <v>191</v>
      </c>
      <c r="Y1011">
        <f t="shared" si="62"/>
        <v>34125.235602094239</v>
      </c>
      <c r="Z1011">
        <f t="shared" si="63"/>
        <v>52</v>
      </c>
    </row>
    <row r="1012" spans="1:26" x14ac:dyDescent="0.25">
      <c r="A1012" s="5" t="s">
        <v>1457</v>
      </c>
      <c r="B1012" s="6">
        <v>52702</v>
      </c>
      <c r="C1012" s="7" t="s">
        <v>1458</v>
      </c>
      <c r="D1012" s="7" t="s">
        <v>988</v>
      </c>
      <c r="E1012" s="7">
        <v>24</v>
      </c>
      <c r="F1012" s="7" t="s">
        <v>38</v>
      </c>
      <c r="G1012" s="7" t="s">
        <v>25</v>
      </c>
      <c r="H1012" s="7" t="s">
        <v>26</v>
      </c>
      <c r="I1012" s="7" t="s">
        <v>27</v>
      </c>
      <c r="J1012" s="7" t="s">
        <v>28</v>
      </c>
      <c r="K1012" s="7" t="s">
        <v>60</v>
      </c>
      <c r="L1012" s="7" t="s">
        <v>53</v>
      </c>
      <c r="M1012" s="7" t="s">
        <v>103</v>
      </c>
      <c r="N1012" s="7">
        <v>1820</v>
      </c>
      <c r="O1012" s="7">
        <v>20</v>
      </c>
      <c r="P1012" s="16">
        <v>0</v>
      </c>
      <c r="Q1012" s="7">
        <v>560</v>
      </c>
      <c r="R1012" s="7" t="s">
        <v>55</v>
      </c>
      <c r="S1012" s="7" t="s">
        <v>33</v>
      </c>
      <c r="T1012" s="7" t="s">
        <v>34</v>
      </c>
      <c r="U1012" s="7">
        <v>5</v>
      </c>
      <c r="V1012" s="7" t="str">
        <f>TEXT('E-Commerce Sales Data'!$B1012,"mmmm")</f>
        <v>April</v>
      </c>
      <c r="W1012" s="8">
        <f t="shared" si="60"/>
        <v>1122000</v>
      </c>
      <c r="X1012">
        <f t="shared" si="61"/>
        <v>190</v>
      </c>
      <c r="Y1012">
        <f t="shared" si="62"/>
        <v>34148</v>
      </c>
      <c r="Z1012">
        <f t="shared" si="63"/>
        <v>52</v>
      </c>
    </row>
    <row r="1013" spans="1:26" x14ac:dyDescent="0.25">
      <c r="A1013" s="9" t="s">
        <v>1459</v>
      </c>
      <c r="B1013" s="10">
        <v>52709</v>
      </c>
      <c r="C1013" s="11" t="s">
        <v>1460</v>
      </c>
      <c r="D1013" s="11" t="s">
        <v>1461</v>
      </c>
      <c r="E1013" s="11">
        <v>41</v>
      </c>
      <c r="F1013" s="11" t="s">
        <v>24</v>
      </c>
      <c r="G1013" s="11" t="s">
        <v>953</v>
      </c>
      <c r="H1013" s="11" t="s">
        <v>953</v>
      </c>
      <c r="I1013" s="11" t="s">
        <v>27</v>
      </c>
      <c r="J1013" s="11" t="s">
        <v>42</v>
      </c>
      <c r="K1013" s="11" t="s">
        <v>43</v>
      </c>
      <c r="L1013" s="11" t="s">
        <v>68</v>
      </c>
      <c r="M1013" s="11" t="s">
        <v>106</v>
      </c>
      <c r="N1013" s="11">
        <v>44800</v>
      </c>
      <c r="O1013" s="11">
        <v>1</v>
      </c>
      <c r="P1013" s="17">
        <v>0.08</v>
      </c>
      <c r="Q1013" s="11">
        <v>9400</v>
      </c>
      <c r="R1013" s="11" t="s">
        <v>46</v>
      </c>
      <c r="S1013" s="11" t="s">
        <v>47</v>
      </c>
      <c r="T1013" s="11" t="s">
        <v>34</v>
      </c>
      <c r="U1013" s="11">
        <v>4</v>
      </c>
      <c r="V1013" s="11" t="str">
        <f>TEXT('E-Commerce Sales Data'!$B1013,"mmmm")</f>
        <v>April</v>
      </c>
      <c r="W1013" s="8">
        <f t="shared" si="60"/>
        <v>1121440</v>
      </c>
      <c r="X1013">
        <f t="shared" si="61"/>
        <v>189</v>
      </c>
      <c r="Y1013">
        <f t="shared" si="62"/>
        <v>34319.047619047618</v>
      </c>
      <c r="Z1013">
        <f t="shared" si="63"/>
        <v>52</v>
      </c>
    </row>
    <row r="1014" spans="1:26" x14ac:dyDescent="0.25">
      <c r="A1014" s="5" t="s">
        <v>1462</v>
      </c>
      <c r="B1014" s="6">
        <v>52716</v>
      </c>
      <c r="C1014" s="7" t="s">
        <v>1463</v>
      </c>
      <c r="D1014" s="7" t="s">
        <v>1464</v>
      </c>
      <c r="E1014" s="7">
        <v>29</v>
      </c>
      <c r="F1014" s="7" t="s">
        <v>38</v>
      </c>
      <c r="G1014" s="7" t="s">
        <v>59</v>
      </c>
      <c r="H1014" s="7" t="s">
        <v>26</v>
      </c>
      <c r="I1014" s="7" t="s">
        <v>27</v>
      </c>
      <c r="J1014" s="7" t="s">
        <v>28</v>
      </c>
      <c r="K1014" s="7" t="s">
        <v>29</v>
      </c>
      <c r="L1014" s="7" t="s">
        <v>30</v>
      </c>
      <c r="M1014" s="7" t="s">
        <v>31</v>
      </c>
      <c r="N1014" s="7">
        <v>112800</v>
      </c>
      <c r="O1014" s="7">
        <v>1</v>
      </c>
      <c r="P1014" s="16">
        <v>0.1</v>
      </c>
      <c r="Q1014" s="7">
        <v>13700</v>
      </c>
      <c r="R1014" s="7" t="s">
        <v>32</v>
      </c>
      <c r="S1014" s="7" t="s">
        <v>47</v>
      </c>
      <c r="T1014" s="7" t="s">
        <v>34</v>
      </c>
      <c r="U1014" s="7">
        <v>5</v>
      </c>
      <c r="V1014" s="7" t="str">
        <f>TEXT('E-Commerce Sales Data'!$B1014,"mmmm")</f>
        <v>April</v>
      </c>
      <c r="W1014" s="8">
        <f t="shared" si="60"/>
        <v>1112040</v>
      </c>
      <c r="X1014">
        <f t="shared" si="61"/>
        <v>188</v>
      </c>
      <c r="Y1014">
        <f t="shared" si="62"/>
        <v>34263.297872340423</v>
      </c>
      <c r="Z1014">
        <f t="shared" si="63"/>
        <v>52</v>
      </c>
    </row>
    <row r="1015" spans="1:26" x14ac:dyDescent="0.25">
      <c r="A1015" s="9" t="s">
        <v>1465</v>
      </c>
      <c r="B1015" s="10">
        <v>52723</v>
      </c>
      <c r="C1015" s="11" t="s">
        <v>1466</v>
      </c>
      <c r="D1015" s="11" t="s">
        <v>1210</v>
      </c>
      <c r="E1015" s="11">
        <v>35</v>
      </c>
      <c r="F1015" s="11" t="s">
        <v>24</v>
      </c>
      <c r="G1015" s="11" t="s">
        <v>914</v>
      </c>
      <c r="H1015" s="11" t="s">
        <v>26</v>
      </c>
      <c r="I1015" s="11" t="s">
        <v>27</v>
      </c>
      <c r="J1015" s="11" t="s">
        <v>28</v>
      </c>
      <c r="K1015" s="11" t="s">
        <v>60</v>
      </c>
      <c r="L1015" s="11" t="s">
        <v>92</v>
      </c>
      <c r="M1015" s="11" t="s">
        <v>111</v>
      </c>
      <c r="N1015" s="11">
        <v>2350</v>
      </c>
      <c r="O1015" s="11">
        <v>15</v>
      </c>
      <c r="P1015" s="17">
        <v>0.05</v>
      </c>
      <c r="Q1015" s="11">
        <v>760</v>
      </c>
      <c r="R1015" s="11" t="s">
        <v>80</v>
      </c>
      <c r="S1015" s="11" t="s">
        <v>33</v>
      </c>
      <c r="T1015" s="11" t="s">
        <v>34</v>
      </c>
      <c r="U1015" s="11">
        <v>4</v>
      </c>
      <c r="V1015" s="11" t="str">
        <f>TEXT('E-Commerce Sales Data'!$B1015,"mmmm")</f>
        <v>May</v>
      </c>
      <c r="W1015" s="8">
        <f t="shared" si="60"/>
        <v>1098340</v>
      </c>
      <c r="X1015">
        <f t="shared" si="61"/>
        <v>187</v>
      </c>
      <c r="Y1015">
        <f t="shared" si="62"/>
        <v>33843.315508021391</v>
      </c>
      <c r="Z1015">
        <f t="shared" si="63"/>
        <v>52</v>
      </c>
    </row>
    <row r="1016" spans="1:26" x14ac:dyDescent="0.25">
      <c r="A1016" s="5" t="s">
        <v>1467</v>
      </c>
      <c r="B1016" s="6">
        <v>52730</v>
      </c>
      <c r="C1016" s="7" t="s">
        <v>1468</v>
      </c>
      <c r="D1016" s="7" t="s">
        <v>1469</v>
      </c>
      <c r="E1016" s="7">
        <v>31</v>
      </c>
      <c r="F1016" s="7" t="s">
        <v>38</v>
      </c>
      <c r="G1016" s="7" t="s">
        <v>25</v>
      </c>
      <c r="H1016" s="7" t="s">
        <v>26</v>
      </c>
      <c r="I1016" s="7" t="s">
        <v>27</v>
      </c>
      <c r="J1016" s="7" t="s">
        <v>42</v>
      </c>
      <c r="K1016" s="7" t="s">
        <v>43</v>
      </c>
      <c r="L1016" s="7" t="s">
        <v>44</v>
      </c>
      <c r="M1016" s="7" t="s">
        <v>45</v>
      </c>
      <c r="N1016" s="7">
        <v>21900</v>
      </c>
      <c r="O1016" s="7">
        <v>4</v>
      </c>
      <c r="P1016" s="16">
        <v>7.0000000000000007E-2</v>
      </c>
      <c r="Q1016" s="7">
        <v>5100</v>
      </c>
      <c r="R1016" s="7" t="s">
        <v>46</v>
      </c>
      <c r="S1016" s="7" t="s">
        <v>33</v>
      </c>
      <c r="T1016" s="7" t="s">
        <v>34</v>
      </c>
      <c r="U1016" s="7">
        <v>4</v>
      </c>
      <c r="V1016" s="7" t="str">
        <f>TEXT('E-Commerce Sales Data'!$B1016,"mmmm")</f>
        <v>May</v>
      </c>
      <c r="W1016" s="8">
        <f t="shared" si="60"/>
        <v>1097580</v>
      </c>
      <c r="X1016">
        <f t="shared" si="61"/>
        <v>186</v>
      </c>
      <c r="Y1016">
        <f t="shared" si="62"/>
        <v>34012.634408602149</v>
      </c>
      <c r="Z1016">
        <f t="shared" si="63"/>
        <v>52</v>
      </c>
    </row>
    <row r="1017" spans="1:26" x14ac:dyDescent="0.25">
      <c r="A1017" s="9" t="s">
        <v>1470</v>
      </c>
      <c r="B1017" s="10">
        <v>52737</v>
      </c>
      <c r="C1017" s="11" t="s">
        <v>1471</v>
      </c>
      <c r="D1017" s="11" t="s">
        <v>1472</v>
      </c>
      <c r="E1017" s="11">
        <v>27</v>
      </c>
      <c r="F1017" s="11" t="s">
        <v>24</v>
      </c>
      <c r="G1017" s="11" t="s">
        <v>59</v>
      </c>
      <c r="H1017" s="11" t="s">
        <v>26</v>
      </c>
      <c r="I1017" s="11" t="s">
        <v>27</v>
      </c>
      <c r="J1017" s="11" t="s">
        <v>28</v>
      </c>
      <c r="K1017" s="11" t="s">
        <v>29</v>
      </c>
      <c r="L1017" s="11" t="s">
        <v>53</v>
      </c>
      <c r="M1017" s="11" t="s">
        <v>54</v>
      </c>
      <c r="N1017" s="11">
        <v>42800</v>
      </c>
      <c r="O1017" s="11">
        <v>2</v>
      </c>
      <c r="P1017" s="17">
        <v>0.05</v>
      </c>
      <c r="Q1017" s="11">
        <v>8350</v>
      </c>
      <c r="R1017" s="11" t="s">
        <v>32</v>
      </c>
      <c r="S1017" s="11" t="s">
        <v>47</v>
      </c>
      <c r="T1017" s="11" t="s">
        <v>34</v>
      </c>
      <c r="U1017" s="11">
        <v>5</v>
      </c>
      <c r="V1017" s="11" t="str">
        <f>TEXT('E-Commerce Sales Data'!$B1017,"mmmm")</f>
        <v>May</v>
      </c>
      <c r="W1017" s="8">
        <f t="shared" si="60"/>
        <v>1092480</v>
      </c>
      <c r="X1017">
        <f t="shared" si="61"/>
        <v>185</v>
      </c>
      <c r="Y1017">
        <f t="shared" si="62"/>
        <v>34078.108108108107</v>
      </c>
      <c r="Z1017">
        <f t="shared" si="63"/>
        <v>52</v>
      </c>
    </row>
    <row r="1018" spans="1:26" x14ac:dyDescent="0.25">
      <c r="A1018" s="5" t="s">
        <v>1473</v>
      </c>
      <c r="B1018" s="6">
        <v>52744</v>
      </c>
      <c r="C1018" s="7" t="s">
        <v>1474</v>
      </c>
      <c r="D1018" s="7" t="s">
        <v>1475</v>
      </c>
      <c r="E1018" s="7">
        <v>33</v>
      </c>
      <c r="F1018" s="7" t="s">
        <v>38</v>
      </c>
      <c r="G1018" s="7" t="s">
        <v>932</v>
      </c>
      <c r="H1018" s="7" t="s">
        <v>26</v>
      </c>
      <c r="I1018" s="7" t="s">
        <v>27</v>
      </c>
      <c r="J1018" s="7" t="s">
        <v>42</v>
      </c>
      <c r="K1018" s="7" t="s">
        <v>60</v>
      </c>
      <c r="L1018" s="7" t="s">
        <v>61</v>
      </c>
      <c r="M1018" s="7" t="s">
        <v>62</v>
      </c>
      <c r="N1018" s="7">
        <v>10600</v>
      </c>
      <c r="O1018" s="7">
        <v>10</v>
      </c>
      <c r="P1018" s="16">
        <v>0.03</v>
      </c>
      <c r="Q1018" s="7">
        <v>2640</v>
      </c>
      <c r="R1018" s="7" t="s">
        <v>55</v>
      </c>
      <c r="S1018" s="7" t="s">
        <v>33</v>
      </c>
      <c r="T1018" s="7" t="s">
        <v>34</v>
      </c>
      <c r="U1018" s="7">
        <v>4</v>
      </c>
      <c r="V1018" s="7" t="str">
        <f>TEXT('E-Commerce Sales Data'!$B1018,"mmmm")</f>
        <v>May</v>
      </c>
      <c r="W1018" s="8">
        <f t="shared" si="60"/>
        <v>1084130</v>
      </c>
      <c r="X1018">
        <f t="shared" si="61"/>
        <v>184</v>
      </c>
      <c r="Y1018">
        <f t="shared" si="62"/>
        <v>34030.706521739128</v>
      </c>
      <c r="Z1018">
        <f t="shared" si="63"/>
        <v>52</v>
      </c>
    </row>
    <row r="1019" spans="1:26" x14ac:dyDescent="0.25">
      <c r="A1019" s="9" t="s">
        <v>1476</v>
      </c>
      <c r="B1019" s="10">
        <v>52751</v>
      </c>
      <c r="C1019" s="11" t="s">
        <v>1477</v>
      </c>
      <c r="D1019" s="11" t="s">
        <v>1478</v>
      </c>
      <c r="E1019" s="11">
        <v>40</v>
      </c>
      <c r="F1019" s="11" t="s">
        <v>24</v>
      </c>
      <c r="G1019" s="11" t="s">
        <v>992</v>
      </c>
      <c r="H1019" s="11" t="s">
        <v>67</v>
      </c>
      <c r="I1019" s="11" t="s">
        <v>27</v>
      </c>
      <c r="J1019" s="11" t="s">
        <v>28</v>
      </c>
      <c r="K1019" s="11" t="s">
        <v>43</v>
      </c>
      <c r="L1019" s="11" t="s">
        <v>68</v>
      </c>
      <c r="M1019" s="11" t="s">
        <v>69</v>
      </c>
      <c r="N1019" s="11">
        <v>41800</v>
      </c>
      <c r="O1019" s="11">
        <v>2</v>
      </c>
      <c r="P1019" s="17">
        <v>0.1</v>
      </c>
      <c r="Q1019" s="11">
        <v>6900</v>
      </c>
      <c r="R1019" s="11" t="s">
        <v>32</v>
      </c>
      <c r="S1019" s="11" t="s">
        <v>47</v>
      </c>
      <c r="T1019" s="11" t="s">
        <v>34</v>
      </c>
      <c r="U1019" s="11">
        <v>5</v>
      </c>
      <c r="V1019" s="11" t="str">
        <f>TEXT('E-Commerce Sales Data'!$B1019,"mmmm")</f>
        <v>June</v>
      </c>
      <c r="W1019" s="8">
        <f t="shared" si="60"/>
        <v>1081490</v>
      </c>
      <c r="X1019">
        <f t="shared" si="61"/>
        <v>183</v>
      </c>
      <c r="Y1019">
        <f t="shared" si="62"/>
        <v>34158.743169398906</v>
      </c>
      <c r="Z1019">
        <f t="shared" si="63"/>
        <v>52</v>
      </c>
    </row>
    <row r="1020" spans="1:26" x14ac:dyDescent="0.25">
      <c r="A1020" s="5" t="s">
        <v>1479</v>
      </c>
      <c r="B1020" s="6">
        <v>52758</v>
      </c>
      <c r="C1020" s="7" t="s">
        <v>1480</v>
      </c>
      <c r="D1020" s="7" t="s">
        <v>37</v>
      </c>
      <c r="E1020" s="7">
        <v>26</v>
      </c>
      <c r="F1020" s="7" t="s">
        <v>38</v>
      </c>
      <c r="G1020" s="7" t="s">
        <v>960</v>
      </c>
      <c r="H1020" s="7" t="s">
        <v>67</v>
      </c>
      <c r="I1020" s="7" t="s">
        <v>27</v>
      </c>
      <c r="J1020" s="7" t="s">
        <v>42</v>
      </c>
      <c r="K1020" s="7" t="s">
        <v>29</v>
      </c>
      <c r="L1020" s="7" t="s">
        <v>53</v>
      </c>
      <c r="M1020" s="7" t="s">
        <v>75</v>
      </c>
      <c r="N1020" s="7">
        <v>6600</v>
      </c>
      <c r="O1020" s="7">
        <v>4</v>
      </c>
      <c r="P1020" s="16">
        <v>0.05</v>
      </c>
      <c r="Q1020" s="7">
        <v>1750</v>
      </c>
      <c r="R1020" s="7" t="s">
        <v>46</v>
      </c>
      <c r="S1020" s="7" t="s">
        <v>33</v>
      </c>
      <c r="T1020" s="7" t="s">
        <v>34</v>
      </c>
      <c r="U1020" s="7">
        <v>3</v>
      </c>
      <c r="V1020" s="7" t="str">
        <f>TEXT('E-Commerce Sales Data'!$B1020,"mmmm")</f>
        <v>June</v>
      </c>
      <c r="W1020" s="8">
        <f t="shared" si="60"/>
        <v>1074590</v>
      </c>
      <c r="X1020">
        <f t="shared" si="61"/>
        <v>182</v>
      </c>
      <c r="Y1020">
        <f t="shared" si="62"/>
        <v>34116.758241758245</v>
      </c>
      <c r="Z1020">
        <f t="shared" si="63"/>
        <v>52</v>
      </c>
    </row>
    <row r="1021" spans="1:26" x14ac:dyDescent="0.25">
      <c r="A1021" s="9" t="s">
        <v>1481</v>
      </c>
      <c r="B1021" s="10">
        <v>52765</v>
      </c>
      <c r="C1021" s="11" t="s">
        <v>1482</v>
      </c>
      <c r="D1021" s="11" t="s">
        <v>58</v>
      </c>
      <c r="E1021" s="11">
        <v>43</v>
      </c>
      <c r="F1021" s="11" t="s">
        <v>24</v>
      </c>
      <c r="G1021" s="11" t="s">
        <v>66</v>
      </c>
      <c r="H1021" s="11" t="s">
        <v>67</v>
      </c>
      <c r="I1021" s="11" t="s">
        <v>27</v>
      </c>
      <c r="J1021" s="11" t="s">
        <v>28</v>
      </c>
      <c r="K1021" s="11" t="s">
        <v>29</v>
      </c>
      <c r="L1021" s="11" t="s">
        <v>53</v>
      </c>
      <c r="M1021" s="11" t="s">
        <v>79</v>
      </c>
      <c r="N1021" s="11">
        <v>7100</v>
      </c>
      <c r="O1021" s="11">
        <v>6</v>
      </c>
      <c r="P1021" s="17">
        <v>0</v>
      </c>
      <c r="Q1021" s="11">
        <v>2140</v>
      </c>
      <c r="R1021" s="11" t="s">
        <v>32</v>
      </c>
      <c r="S1021" s="11" t="s">
        <v>33</v>
      </c>
      <c r="T1021" s="11" t="s">
        <v>34</v>
      </c>
      <c r="U1021" s="11">
        <v>4</v>
      </c>
      <c r="V1021" s="11" t="str">
        <f>TEXT('E-Commerce Sales Data'!$B1021,"mmmm")</f>
        <v>June</v>
      </c>
      <c r="W1021" s="8">
        <f t="shared" si="60"/>
        <v>1072840</v>
      </c>
      <c r="X1021">
        <f t="shared" si="61"/>
        <v>181</v>
      </c>
      <c r="Y1021">
        <f t="shared" si="62"/>
        <v>34268.784530386743</v>
      </c>
      <c r="Z1021">
        <f t="shared" si="63"/>
        <v>52</v>
      </c>
    </row>
    <row r="1022" spans="1:26" x14ac:dyDescent="0.25">
      <c r="A1022" s="5" t="s">
        <v>1483</v>
      </c>
      <c r="B1022" s="6">
        <v>52772</v>
      </c>
      <c r="C1022" s="7" t="s">
        <v>1484</v>
      </c>
      <c r="D1022" s="7" t="s">
        <v>1485</v>
      </c>
      <c r="E1022" s="7">
        <v>28</v>
      </c>
      <c r="F1022" s="7" t="s">
        <v>38</v>
      </c>
      <c r="G1022" s="7" t="s">
        <v>25</v>
      </c>
      <c r="H1022" s="7" t="s">
        <v>26</v>
      </c>
      <c r="I1022" s="7" t="s">
        <v>27</v>
      </c>
      <c r="J1022" s="7" t="s">
        <v>28</v>
      </c>
      <c r="K1022" s="7" t="s">
        <v>29</v>
      </c>
      <c r="L1022" s="7" t="s">
        <v>30</v>
      </c>
      <c r="M1022" s="7" t="s">
        <v>31</v>
      </c>
      <c r="N1022" s="7">
        <v>116400</v>
      </c>
      <c r="O1022" s="7">
        <v>1</v>
      </c>
      <c r="P1022" s="16">
        <v>0.05</v>
      </c>
      <c r="Q1022" s="7">
        <v>14900</v>
      </c>
      <c r="R1022" s="7" t="s">
        <v>32</v>
      </c>
      <c r="S1022" s="7" t="s">
        <v>47</v>
      </c>
      <c r="T1022" s="7" t="s">
        <v>34</v>
      </c>
      <c r="U1022" s="7">
        <v>5</v>
      </c>
      <c r="V1022" s="7" t="str">
        <f>TEXT('E-Commerce Sales Data'!$B1022,"mmmm")</f>
        <v>June</v>
      </c>
      <c r="W1022" s="8">
        <f t="shared" si="60"/>
        <v>1070700</v>
      </c>
      <c r="X1022">
        <f t="shared" si="61"/>
        <v>180</v>
      </c>
      <c r="Y1022">
        <f t="shared" si="62"/>
        <v>34419.722222222219</v>
      </c>
      <c r="Z1022">
        <f t="shared" si="63"/>
        <v>52</v>
      </c>
    </row>
    <row r="1023" spans="1:26" x14ac:dyDescent="0.25">
      <c r="A1023" s="9" t="s">
        <v>1486</v>
      </c>
      <c r="B1023" s="10">
        <v>52779</v>
      </c>
      <c r="C1023" s="11" t="s">
        <v>1487</v>
      </c>
      <c r="D1023" s="11" t="s">
        <v>1167</v>
      </c>
      <c r="E1023" s="11">
        <v>36</v>
      </c>
      <c r="F1023" s="11" t="s">
        <v>24</v>
      </c>
      <c r="G1023" s="11" t="s">
        <v>924</v>
      </c>
      <c r="H1023" s="11" t="s">
        <v>26</v>
      </c>
      <c r="I1023" s="11" t="s">
        <v>27</v>
      </c>
      <c r="J1023" s="11" t="s">
        <v>42</v>
      </c>
      <c r="K1023" s="11" t="s">
        <v>43</v>
      </c>
      <c r="L1023" s="11" t="s">
        <v>44</v>
      </c>
      <c r="M1023" s="11" t="s">
        <v>45</v>
      </c>
      <c r="N1023" s="11">
        <v>19100</v>
      </c>
      <c r="O1023" s="11">
        <v>3</v>
      </c>
      <c r="P1023" s="17">
        <v>0.1</v>
      </c>
      <c r="Q1023" s="11">
        <v>4450</v>
      </c>
      <c r="R1023" s="11" t="s">
        <v>46</v>
      </c>
      <c r="S1023" s="11" t="s">
        <v>33</v>
      </c>
      <c r="T1023" s="11" t="s">
        <v>34</v>
      </c>
      <c r="U1023" s="11">
        <v>4</v>
      </c>
      <c r="V1023" s="11" t="str">
        <f>TEXT('E-Commerce Sales Data'!$B1023,"mmmm")</f>
        <v>July</v>
      </c>
      <c r="W1023" s="8">
        <f t="shared" si="60"/>
        <v>1055800</v>
      </c>
      <c r="X1023">
        <f t="shared" si="61"/>
        <v>179</v>
      </c>
      <c r="Y1023">
        <f t="shared" si="62"/>
        <v>33961.73184357542</v>
      </c>
      <c r="Z1023">
        <f t="shared" si="63"/>
        <v>52</v>
      </c>
    </row>
    <row r="1024" spans="1:26" x14ac:dyDescent="0.25">
      <c r="A1024" s="5" t="s">
        <v>1488</v>
      </c>
      <c r="B1024" s="6">
        <v>52786</v>
      </c>
      <c r="C1024" s="7" t="s">
        <v>1489</v>
      </c>
      <c r="D1024" s="7" t="s">
        <v>1490</v>
      </c>
      <c r="E1024" s="7">
        <v>25</v>
      </c>
      <c r="F1024" s="7" t="s">
        <v>38</v>
      </c>
      <c r="G1024" s="7" t="s">
        <v>59</v>
      </c>
      <c r="H1024" s="7" t="s">
        <v>26</v>
      </c>
      <c r="I1024" s="7" t="s">
        <v>27</v>
      </c>
      <c r="J1024" s="7" t="s">
        <v>28</v>
      </c>
      <c r="K1024" s="7" t="s">
        <v>29</v>
      </c>
      <c r="L1024" s="7" t="s">
        <v>53</v>
      </c>
      <c r="M1024" s="7" t="s">
        <v>54</v>
      </c>
      <c r="N1024" s="7">
        <v>42100</v>
      </c>
      <c r="O1024" s="7">
        <v>2</v>
      </c>
      <c r="P1024" s="16">
        <v>0.05</v>
      </c>
      <c r="Q1024" s="7">
        <v>8200</v>
      </c>
      <c r="R1024" s="7" t="s">
        <v>55</v>
      </c>
      <c r="S1024" s="7" t="s">
        <v>33</v>
      </c>
      <c r="T1024" s="7" t="s">
        <v>34</v>
      </c>
      <c r="U1024" s="7">
        <v>4</v>
      </c>
      <c r="V1024" s="7" t="str">
        <f>TEXT('E-Commerce Sales Data'!$B1024,"mmmm")</f>
        <v>July</v>
      </c>
      <c r="W1024" s="8">
        <f t="shared" si="60"/>
        <v>1051350</v>
      </c>
      <c r="X1024">
        <f t="shared" si="61"/>
        <v>178</v>
      </c>
      <c r="Y1024">
        <f t="shared" si="62"/>
        <v>34045.224719101127</v>
      </c>
      <c r="Z1024">
        <f t="shared" si="63"/>
        <v>52</v>
      </c>
    </row>
    <row r="1025" spans="1:26" x14ac:dyDescent="0.25">
      <c r="A1025" s="9" t="s">
        <v>1491</v>
      </c>
      <c r="B1025" s="10">
        <v>52793</v>
      </c>
      <c r="C1025" s="11" t="s">
        <v>1492</v>
      </c>
      <c r="D1025" s="11" t="s">
        <v>1493</v>
      </c>
      <c r="E1025" s="11">
        <v>38</v>
      </c>
      <c r="F1025" s="11" t="s">
        <v>24</v>
      </c>
      <c r="G1025" s="11" t="s">
        <v>928</v>
      </c>
      <c r="H1025" s="11" t="s">
        <v>26</v>
      </c>
      <c r="I1025" s="11" t="s">
        <v>27</v>
      </c>
      <c r="J1025" s="11" t="s">
        <v>28</v>
      </c>
      <c r="K1025" s="11" t="s">
        <v>60</v>
      </c>
      <c r="L1025" s="11" t="s">
        <v>61</v>
      </c>
      <c r="M1025" s="11" t="s">
        <v>86</v>
      </c>
      <c r="N1025" s="11">
        <v>1290</v>
      </c>
      <c r="O1025" s="11">
        <v>20</v>
      </c>
      <c r="P1025" s="17">
        <v>0.02</v>
      </c>
      <c r="Q1025" s="11">
        <v>380</v>
      </c>
      <c r="R1025" s="11" t="s">
        <v>32</v>
      </c>
      <c r="S1025" s="11" t="s">
        <v>33</v>
      </c>
      <c r="T1025" s="11" t="s">
        <v>34</v>
      </c>
      <c r="U1025" s="11">
        <v>5</v>
      </c>
      <c r="V1025" s="11" t="str">
        <f>TEXT('E-Commerce Sales Data'!$B1025,"mmmm")</f>
        <v>July</v>
      </c>
      <c r="W1025" s="8">
        <f t="shared" si="60"/>
        <v>1043150</v>
      </c>
      <c r="X1025">
        <f t="shared" si="61"/>
        <v>177</v>
      </c>
      <c r="Y1025">
        <f t="shared" si="62"/>
        <v>33999.717514124291</v>
      </c>
      <c r="Z1025">
        <f t="shared" si="63"/>
        <v>52</v>
      </c>
    </row>
    <row r="1026" spans="1:26" x14ac:dyDescent="0.25">
      <c r="A1026" s="5" t="s">
        <v>1494</v>
      </c>
      <c r="B1026" s="6">
        <v>52800</v>
      </c>
      <c r="C1026" s="7" t="s">
        <v>1495</v>
      </c>
      <c r="D1026" s="7" t="s">
        <v>1430</v>
      </c>
      <c r="E1026" s="7">
        <v>30</v>
      </c>
      <c r="F1026" s="7" t="s">
        <v>38</v>
      </c>
      <c r="G1026" s="7" t="s">
        <v>25</v>
      </c>
      <c r="H1026" s="7" t="s">
        <v>26</v>
      </c>
      <c r="I1026" s="7" t="s">
        <v>27</v>
      </c>
      <c r="J1026" s="7" t="s">
        <v>42</v>
      </c>
      <c r="K1026" s="7" t="s">
        <v>43</v>
      </c>
      <c r="L1026" s="7" t="s">
        <v>68</v>
      </c>
      <c r="M1026" s="7" t="s">
        <v>69</v>
      </c>
      <c r="N1026" s="7">
        <v>44500</v>
      </c>
      <c r="O1026" s="7">
        <v>2</v>
      </c>
      <c r="P1026" s="16">
        <v>0.08</v>
      </c>
      <c r="Q1026" s="7">
        <v>7650</v>
      </c>
      <c r="R1026" s="7" t="s">
        <v>46</v>
      </c>
      <c r="S1026" s="7" t="s">
        <v>47</v>
      </c>
      <c r="T1026" s="7" t="s">
        <v>34</v>
      </c>
      <c r="U1026" s="7">
        <v>4</v>
      </c>
      <c r="V1026" s="7" t="str">
        <f>TEXT('E-Commerce Sales Data'!$B1026,"mmmm")</f>
        <v>July</v>
      </c>
      <c r="W1026" s="8">
        <f t="shared" si="60"/>
        <v>1042770</v>
      </c>
      <c r="X1026">
        <f t="shared" si="61"/>
        <v>176</v>
      </c>
      <c r="Y1026">
        <f t="shared" si="62"/>
        <v>34185.568181818184</v>
      </c>
      <c r="Z1026">
        <f t="shared" si="63"/>
        <v>52</v>
      </c>
    </row>
    <row r="1027" spans="1:26" x14ac:dyDescent="0.25">
      <c r="A1027" s="9" t="s">
        <v>1496</v>
      </c>
      <c r="B1027" s="10">
        <v>52807</v>
      </c>
      <c r="C1027" s="11" t="s">
        <v>1497</v>
      </c>
      <c r="D1027" s="11" t="s">
        <v>1498</v>
      </c>
      <c r="E1027" s="11">
        <v>34</v>
      </c>
      <c r="F1027" s="11" t="s">
        <v>24</v>
      </c>
      <c r="G1027" s="11" t="s">
        <v>78</v>
      </c>
      <c r="H1027" s="11" t="s">
        <v>26</v>
      </c>
      <c r="I1027" s="11" t="s">
        <v>27</v>
      </c>
      <c r="J1027" s="11" t="s">
        <v>28</v>
      </c>
      <c r="K1027" s="11" t="s">
        <v>29</v>
      </c>
      <c r="L1027" s="11" t="s">
        <v>53</v>
      </c>
      <c r="M1027" s="11" t="s">
        <v>75</v>
      </c>
      <c r="N1027" s="11">
        <v>6750</v>
      </c>
      <c r="O1027" s="11">
        <v>3</v>
      </c>
      <c r="P1027" s="17">
        <v>0.05</v>
      </c>
      <c r="Q1027" s="11">
        <v>1780</v>
      </c>
      <c r="R1027" s="11" t="s">
        <v>32</v>
      </c>
      <c r="S1027" s="11" t="s">
        <v>33</v>
      </c>
      <c r="T1027" s="11" t="s">
        <v>34</v>
      </c>
      <c r="U1027" s="11">
        <v>4</v>
      </c>
      <c r="V1027" s="11" t="str">
        <f>TEXT('E-Commerce Sales Data'!$B1027,"mmmm")</f>
        <v>July</v>
      </c>
      <c r="W1027" s="8">
        <f t="shared" ref="W1027:W1090" si="64">SUM(Q1027:Q2226)</f>
        <v>1035120</v>
      </c>
      <c r="X1027">
        <f t="shared" ref="X1027:X1090" si="65">COUNT(E1027:E2226)</f>
        <v>175</v>
      </c>
      <c r="Y1027">
        <f t="shared" ref="Y1027:Y1090" si="66">AVERAGE(N1027:N2226)</f>
        <v>34126.62857142857</v>
      </c>
      <c r="Z1027">
        <f t="shared" ref="Z1027:Z1090" si="67">MAX(E1027:E2226)</f>
        <v>52</v>
      </c>
    </row>
    <row r="1028" spans="1:26" x14ac:dyDescent="0.25">
      <c r="A1028" s="5" t="s">
        <v>1499</v>
      </c>
      <c r="B1028" s="6">
        <v>52814</v>
      </c>
      <c r="C1028" s="7" t="s">
        <v>1500</v>
      </c>
      <c r="D1028" s="7" t="s">
        <v>1501</v>
      </c>
      <c r="E1028" s="7">
        <v>27</v>
      </c>
      <c r="F1028" s="7" t="s">
        <v>38</v>
      </c>
      <c r="G1028" s="7" t="s">
        <v>914</v>
      </c>
      <c r="H1028" s="7" t="s">
        <v>26</v>
      </c>
      <c r="I1028" s="7" t="s">
        <v>27</v>
      </c>
      <c r="J1028" s="7" t="s">
        <v>28</v>
      </c>
      <c r="K1028" s="7" t="s">
        <v>29</v>
      </c>
      <c r="L1028" s="7" t="s">
        <v>53</v>
      </c>
      <c r="M1028" s="7" t="s">
        <v>79</v>
      </c>
      <c r="N1028" s="7">
        <v>7350</v>
      </c>
      <c r="O1028" s="7">
        <v>6</v>
      </c>
      <c r="P1028" s="16">
        <v>0</v>
      </c>
      <c r="Q1028" s="7">
        <v>2200</v>
      </c>
      <c r="R1028" s="7" t="s">
        <v>80</v>
      </c>
      <c r="S1028" s="7" t="s">
        <v>33</v>
      </c>
      <c r="T1028" s="7" t="s">
        <v>34</v>
      </c>
      <c r="U1028" s="7">
        <v>3</v>
      </c>
      <c r="V1028" s="7" t="str">
        <f>TEXT('E-Commerce Sales Data'!$B1028,"mmmm")</f>
        <v>August</v>
      </c>
      <c r="W1028" s="8">
        <f t="shared" si="64"/>
        <v>1033340</v>
      </c>
      <c r="X1028">
        <f t="shared" si="65"/>
        <v>174</v>
      </c>
      <c r="Y1028">
        <f t="shared" si="66"/>
        <v>34283.965517241377</v>
      </c>
      <c r="Z1028">
        <f t="shared" si="67"/>
        <v>52</v>
      </c>
    </row>
    <row r="1029" spans="1:26" x14ac:dyDescent="0.25">
      <c r="A1029" s="9" t="s">
        <v>1502</v>
      </c>
      <c r="B1029" s="10">
        <v>52821</v>
      </c>
      <c r="C1029" s="11" t="s">
        <v>1503</v>
      </c>
      <c r="D1029" s="11" t="s">
        <v>58</v>
      </c>
      <c r="E1029" s="11">
        <v>42</v>
      </c>
      <c r="F1029" s="11" t="s">
        <v>24</v>
      </c>
      <c r="G1029" s="11" t="s">
        <v>66</v>
      </c>
      <c r="H1029" s="11" t="s">
        <v>67</v>
      </c>
      <c r="I1029" s="11" t="s">
        <v>27</v>
      </c>
      <c r="J1029" s="11" t="s">
        <v>42</v>
      </c>
      <c r="K1029" s="11" t="s">
        <v>60</v>
      </c>
      <c r="L1029" s="11" t="s">
        <v>61</v>
      </c>
      <c r="M1029" s="11" t="s">
        <v>62</v>
      </c>
      <c r="N1029" s="11">
        <v>11200</v>
      </c>
      <c r="O1029" s="11">
        <v>10</v>
      </c>
      <c r="P1029" s="17">
        <v>0.02</v>
      </c>
      <c r="Q1029" s="11">
        <v>2780</v>
      </c>
      <c r="R1029" s="11" t="s">
        <v>32</v>
      </c>
      <c r="S1029" s="11" t="s">
        <v>33</v>
      </c>
      <c r="T1029" s="11" t="s">
        <v>34</v>
      </c>
      <c r="U1029" s="11">
        <v>5</v>
      </c>
      <c r="V1029" s="11" t="str">
        <f>TEXT('E-Commerce Sales Data'!$B1029,"mmmm")</f>
        <v>August</v>
      </c>
      <c r="W1029" s="8">
        <f t="shared" si="64"/>
        <v>1031140</v>
      </c>
      <c r="X1029">
        <f t="shared" si="65"/>
        <v>173</v>
      </c>
      <c r="Y1029">
        <f t="shared" si="66"/>
        <v>34439.653179190755</v>
      </c>
      <c r="Z1029">
        <f t="shared" si="67"/>
        <v>52</v>
      </c>
    </row>
    <row r="1030" spans="1:26" x14ac:dyDescent="0.25">
      <c r="A1030" s="5" t="s">
        <v>1504</v>
      </c>
      <c r="B1030" s="6">
        <v>52828</v>
      </c>
      <c r="C1030" s="7" t="s">
        <v>1505</v>
      </c>
      <c r="D1030" s="7" t="s">
        <v>1506</v>
      </c>
      <c r="E1030" s="7">
        <v>29</v>
      </c>
      <c r="F1030" s="7" t="s">
        <v>38</v>
      </c>
      <c r="G1030" s="7" t="s">
        <v>59</v>
      </c>
      <c r="H1030" s="7" t="s">
        <v>26</v>
      </c>
      <c r="I1030" s="7" t="s">
        <v>27</v>
      </c>
      <c r="J1030" s="7" t="s">
        <v>42</v>
      </c>
      <c r="K1030" s="7" t="s">
        <v>43</v>
      </c>
      <c r="L1030" s="7" t="s">
        <v>92</v>
      </c>
      <c r="M1030" s="7" t="s">
        <v>93</v>
      </c>
      <c r="N1030" s="7">
        <v>28100</v>
      </c>
      <c r="O1030" s="7">
        <v>1</v>
      </c>
      <c r="P1030" s="16">
        <v>0.1</v>
      </c>
      <c r="Q1030" s="7">
        <v>5080</v>
      </c>
      <c r="R1030" s="7" t="s">
        <v>46</v>
      </c>
      <c r="S1030" s="7" t="s">
        <v>47</v>
      </c>
      <c r="T1030" s="7" t="s">
        <v>34</v>
      </c>
      <c r="U1030" s="7">
        <v>4</v>
      </c>
      <c r="V1030" s="7" t="str">
        <f>TEXT('E-Commerce Sales Data'!$B1030,"mmmm")</f>
        <v>August</v>
      </c>
      <c r="W1030" s="8">
        <f t="shared" si="64"/>
        <v>1028360</v>
      </c>
      <c r="X1030">
        <f t="shared" si="65"/>
        <v>172</v>
      </c>
      <c r="Y1030">
        <f t="shared" si="66"/>
        <v>34574.767441860466</v>
      </c>
      <c r="Z1030">
        <f t="shared" si="67"/>
        <v>52</v>
      </c>
    </row>
    <row r="1031" spans="1:26" x14ac:dyDescent="0.25">
      <c r="A1031" s="9" t="s">
        <v>1507</v>
      </c>
      <c r="B1031" s="10">
        <v>52835</v>
      </c>
      <c r="C1031" s="11" t="s">
        <v>1508</v>
      </c>
      <c r="D1031" s="11" t="s">
        <v>1236</v>
      </c>
      <c r="E1031" s="11">
        <v>37</v>
      </c>
      <c r="F1031" s="11" t="s">
        <v>24</v>
      </c>
      <c r="G1031" s="11" t="s">
        <v>932</v>
      </c>
      <c r="H1031" s="11" t="s">
        <v>26</v>
      </c>
      <c r="I1031" s="11" t="s">
        <v>27</v>
      </c>
      <c r="J1031" s="11" t="s">
        <v>28</v>
      </c>
      <c r="K1031" s="11" t="s">
        <v>29</v>
      </c>
      <c r="L1031" s="11" t="s">
        <v>96</v>
      </c>
      <c r="M1031" s="11" t="s">
        <v>97</v>
      </c>
      <c r="N1031" s="11">
        <v>30400</v>
      </c>
      <c r="O1031" s="11">
        <v>2</v>
      </c>
      <c r="P1031" s="17">
        <v>0.05</v>
      </c>
      <c r="Q1031" s="11">
        <v>5800</v>
      </c>
      <c r="R1031" s="11" t="s">
        <v>32</v>
      </c>
      <c r="S1031" s="11" t="s">
        <v>33</v>
      </c>
      <c r="T1031" s="11" t="s">
        <v>34</v>
      </c>
      <c r="U1031" s="11">
        <v>4</v>
      </c>
      <c r="V1031" s="11" t="str">
        <f>TEXT('E-Commerce Sales Data'!$B1031,"mmmm")</f>
        <v>August</v>
      </c>
      <c r="W1031" s="8">
        <f t="shared" si="64"/>
        <v>1023280</v>
      </c>
      <c r="X1031">
        <f t="shared" si="65"/>
        <v>171</v>
      </c>
      <c r="Y1031">
        <f t="shared" si="66"/>
        <v>34612.631578947367</v>
      </c>
      <c r="Z1031">
        <f t="shared" si="67"/>
        <v>52</v>
      </c>
    </row>
    <row r="1032" spans="1:26" x14ac:dyDescent="0.25">
      <c r="A1032" s="5" t="s">
        <v>1509</v>
      </c>
      <c r="B1032" s="6">
        <v>52842</v>
      </c>
      <c r="C1032" s="7" t="s">
        <v>1510</v>
      </c>
      <c r="D1032" s="7" t="s">
        <v>1511</v>
      </c>
      <c r="E1032" s="7">
        <v>26</v>
      </c>
      <c r="F1032" s="7" t="s">
        <v>38</v>
      </c>
      <c r="G1032" s="7" t="s">
        <v>964</v>
      </c>
      <c r="H1032" s="7" t="s">
        <v>965</v>
      </c>
      <c r="I1032" s="7" t="s">
        <v>966</v>
      </c>
      <c r="J1032" s="7" t="s">
        <v>28</v>
      </c>
      <c r="K1032" s="7" t="s">
        <v>60</v>
      </c>
      <c r="L1032" s="7" t="s">
        <v>53</v>
      </c>
      <c r="M1032" s="7" t="s">
        <v>103</v>
      </c>
      <c r="N1032" s="7">
        <v>1760</v>
      </c>
      <c r="O1032" s="7">
        <v>25</v>
      </c>
      <c r="P1032" s="16">
        <v>0</v>
      </c>
      <c r="Q1032" s="7">
        <v>540</v>
      </c>
      <c r="R1032" s="7" t="s">
        <v>55</v>
      </c>
      <c r="S1032" s="7" t="s">
        <v>33</v>
      </c>
      <c r="T1032" s="7" t="s">
        <v>34</v>
      </c>
      <c r="U1032" s="7">
        <v>5</v>
      </c>
      <c r="V1032" s="7" t="str">
        <f>TEXT('E-Commerce Sales Data'!$B1032,"mmmm")</f>
        <v>September</v>
      </c>
      <c r="W1032" s="8">
        <f t="shared" si="64"/>
        <v>1017480</v>
      </c>
      <c r="X1032">
        <f t="shared" si="65"/>
        <v>170</v>
      </c>
      <c r="Y1032">
        <f t="shared" si="66"/>
        <v>34637.411764705881</v>
      </c>
      <c r="Z1032">
        <f t="shared" si="67"/>
        <v>52</v>
      </c>
    </row>
    <row r="1033" spans="1:26" x14ac:dyDescent="0.25">
      <c r="A1033" s="9" t="s">
        <v>1512</v>
      </c>
      <c r="B1033" s="10">
        <v>52849</v>
      </c>
      <c r="C1033" s="11" t="s">
        <v>1513</v>
      </c>
      <c r="D1033" s="11" t="s">
        <v>1514</v>
      </c>
      <c r="E1033" s="11">
        <v>44</v>
      </c>
      <c r="F1033" s="11" t="s">
        <v>24</v>
      </c>
      <c r="G1033" s="11" t="s">
        <v>78</v>
      </c>
      <c r="H1033" s="11" t="s">
        <v>26</v>
      </c>
      <c r="I1033" s="11" t="s">
        <v>27</v>
      </c>
      <c r="J1033" s="11" t="s">
        <v>42</v>
      </c>
      <c r="K1033" s="11" t="s">
        <v>43</v>
      </c>
      <c r="L1033" s="11" t="s">
        <v>68</v>
      </c>
      <c r="M1033" s="11" t="s">
        <v>106</v>
      </c>
      <c r="N1033" s="11">
        <v>45200</v>
      </c>
      <c r="O1033" s="11">
        <v>1</v>
      </c>
      <c r="P1033" s="17">
        <v>0.08</v>
      </c>
      <c r="Q1033" s="11">
        <v>9550</v>
      </c>
      <c r="R1033" s="11" t="s">
        <v>46</v>
      </c>
      <c r="S1033" s="11" t="s">
        <v>47</v>
      </c>
      <c r="T1033" s="11" t="s">
        <v>34</v>
      </c>
      <c r="U1033" s="11">
        <v>4</v>
      </c>
      <c r="V1033" s="11" t="str">
        <f>TEXT('E-Commerce Sales Data'!$B1033,"mmmm")</f>
        <v>September</v>
      </c>
      <c r="W1033" s="8">
        <f t="shared" si="64"/>
        <v>1016940</v>
      </c>
      <c r="X1033">
        <f t="shared" si="65"/>
        <v>169</v>
      </c>
      <c r="Y1033">
        <f t="shared" si="66"/>
        <v>34831.952662721895</v>
      </c>
      <c r="Z1033">
        <f t="shared" si="67"/>
        <v>52</v>
      </c>
    </row>
    <row r="1034" spans="1:26" x14ac:dyDescent="0.25">
      <c r="A1034" s="5" t="s">
        <v>1515</v>
      </c>
      <c r="B1034" s="6">
        <v>52856</v>
      </c>
      <c r="C1034" s="7" t="s">
        <v>1516</v>
      </c>
      <c r="D1034" s="7" t="s">
        <v>1517</v>
      </c>
      <c r="E1034" s="7">
        <v>32</v>
      </c>
      <c r="F1034" s="7" t="s">
        <v>38</v>
      </c>
      <c r="G1034" s="7" t="s">
        <v>59</v>
      </c>
      <c r="H1034" s="7" t="s">
        <v>26</v>
      </c>
      <c r="I1034" s="7" t="s">
        <v>27</v>
      </c>
      <c r="J1034" s="7" t="s">
        <v>28</v>
      </c>
      <c r="K1034" s="7" t="s">
        <v>29</v>
      </c>
      <c r="L1034" s="7" t="s">
        <v>30</v>
      </c>
      <c r="M1034" s="7" t="s">
        <v>31</v>
      </c>
      <c r="N1034" s="7">
        <v>118900</v>
      </c>
      <c r="O1034" s="7">
        <v>1</v>
      </c>
      <c r="P1034" s="16">
        <v>0.1</v>
      </c>
      <c r="Q1034" s="7">
        <v>14100</v>
      </c>
      <c r="R1034" s="7" t="s">
        <v>32</v>
      </c>
      <c r="S1034" s="7" t="s">
        <v>47</v>
      </c>
      <c r="T1034" s="7" t="s">
        <v>34</v>
      </c>
      <c r="U1034" s="7">
        <v>5</v>
      </c>
      <c r="V1034" s="7" t="str">
        <f>TEXT('E-Commerce Sales Data'!$B1034,"mmmm")</f>
        <v>September</v>
      </c>
      <c r="W1034" s="8">
        <f t="shared" si="64"/>
        <v>1007390</v>
      </c>
      <c r="X1034">
        <f t="shared" si="65"/>
        <v>168</v>
      </c>
      <c r="Y1034">
        <f t="shared" si="66"/>
        <v>34770.238095238092</v>
      </c>
      <c r="Z1034">
        <f t="shared" si="67"/>
        <v>52</v>
      </c>
    </row>
    <row r="1035" spans="1:26" x14ac:dyDescent="0.25">
      <c r="A1035" s="9" t="s">
        <v>1518</v>
      </c>
      <c r="B1035" s="10">
        <v>52863</v>
      </c>
      <c r="C1035" s="11" t="s">
        <v>1519</v>
      </c>
      <c r="D1035" s="11" t="s">
        <v>1520</v>
      </c>
      <c r="E1035" s="11">
        <v>46</v>
      </c>
      <c r="F1035" s="11" t="s">
        <v>24</v>
      </c>
      <c r="G1035" s="11" t="s">
        <v>25</v>
      </c>
      <c r="H1035" s="11" t="s">
        <v>26</v>
      </c>
      <c r="I1035" s="11" t="s">
        <v>27</v>
      </c>
      <c r="J1035" s="11" t="s">
        <v>28</v>
      </c>
      <c r="K1035" s="11" t="s">
        <v>60</v>
      </c>
      <c r="L1035" s="11" t="s">
        <v>92</v>
      </c>
      <c r="M1035" s="11" t="s">
        <v>111</v>
      </c>
      <c r="N1035" s="11">
        <v>2410</v>
      </c>
      <c r="O1035" s="11">
        <v>15</v>
      </c>
      <c r="P1035" s="17">
        <v>0.05</v>
      </c>
      <c r="Q1035" s="11">
        <v>790</v>
      </c>
      <c r="R1035" s="11" t="s">
        <v>80</v>
      </c>
      <c r="S1035" s="11" t="s">
        <v>33</v>
      </c>
      <c r="T1035" s="11" t="s">
        <v>34</v>
      </c>
      <c r="U1035" s="11">
        <v>4</v>
      </c>
      <c r="V1035" s="11" t="str">
        <f>TEXT('E-Commerce Sales Data'!$B1035,"mmmm")</f>
        <v>September</v>
      </c>
      <c r="W1035" s="8">
        <f t="shared" si="64"/>
        <v>993290</v>
      </c>
      <c r="X1035">
        <f t="shared" si="65"/>
        <v>167</v>
      </c>
      <c r="Y1035">
        <f t="shared" si="66"/>
        <v>34266.467065868266</v>
      </c>
      <c r="Z1035">
        <f t="shared" si="67"/>
        <v>52</v>
      </c>
    </row>
    <row r="1036" spans="1:26" x14ac:dyDescent="0.25">
      <c r="A1036" s="5" t="s">
        <v>1521</v>
      </c>
      <c r="B1036" s="6">
        <v>52870</v>
      </c>
      <c r="C1036" s="7" t="s">
        <v>1522</v>
      </c>
      <c r="D1036" s="7" t="s">
        <v>1523</v>
      </c>
      <c r="E1036" s="7">
        <v>28</v>
      </c>
      <c r="F1036" s="7" t="s">
        <v>38</v>
      </c>
      <c r="G1036" s="7" t="s">
        <v>953</v>
      </c>
      <c r="H1036" s="7" t="s">
        <v>953</v>
      </c>
      <c r="I1036" s="7" t="s">
        <v>27</v>
      </c>
      <c r="J1036" s="7" t="s">
        <v>42</v>
      </c>
      <c r="K1036" s="7" t="s">
        <v>43</v>
      </c>
      <c r="L1036" s="7" t="s">
        <v>44</v>
      </c>
      <c r="M1036" s="7" t="s">
        <v>45</v>
      </c>
      <c r="N1036" s="7">
        <v>22500</v>
      </c>
      <c r="O1036" s="7">
        <v>4</v>
      </c>
      <c r="P1036" s="16">
        <v>7.0000000000000007E-2</v>
      </c>
      <c r="Q1036" s="7">
        <v>5200</v>
      </c>
      <c r="R1036" s="7" t="s">
        <v>46</v>
      </c>
      <c r="S1036" s="7" t="s">
        <v>33</v>
      </c>
      <c r="T1036" s="7" t="s">
        <v>34</v>
      </c>
      <c r="U1036" s="7">
        <v>4</v>
      </c>
      <c r="V1036" s="7" t="str">
        <f>TEXT('E-Commerce Sales Data'!$B1036,"mmmm")</f>
        <v>September</v>
      </c>
      <c r="W1036" s="8">
        <f t="shared" si="64"/>
        <v>992500</v>
      </c>
      <c r="X1036">
        <f t="shared" si="65"/>
        <v>166</v>
      </c>
      <c r="Y1036">
        <f t="shared" si="66"/>
        <v>34458.373493975902</v>
      </c>
      <c r="Z1036">
        <f t="shared" si="67"/>
        <v>52</v>
      </c>
    </row>
    <row r="1037" spans="1:26" x14ac:dyDescent="0.25">
      <c r="A1037" s="9" t="s">
        <v>1524</v>
      </c>
      <c r="B1037" s="10">
        <v>52877</v>
      </c>
      <c r="C1037" s="11" t="s">
        <v>1525</v>
      </c>
      <c r="D1037" s="11" t="s">
        <v>1219</v>
      </c>
      <c r="E1037" s="11">
        <v>31</v>
      </c>
      <c r="F1037" s="11" t="s">
        <v>24</v>
      </c>
      <c r="G1037" s="11" t="s">
        <v>59</v>
      </c>
      <c r="H1037" s="11" t="s">
        <v>26</v>
      </c>
      <c r="I1037" s="11" t="s">
        <v>27</v>
      </c>
      <c r="J1037" s="11" t="s">
        <v>28</v>
      </c>
      <c r="K1037" s="11" t="s">
        <v>29</v>
      </c>
      <c r="L1037" s="11" t="s">
        <v>53</v>
      </c>
      <c r="M1037" s="11" t="s">
        <v>54</v>
      </c>
      <c r="N1037" s="11">
        <v>43900</v>
      </c>
      <c r="O1037" s="11">
        <v>2</v>
      </c>
      <c r="P1037" s="17">
        <v>0.05</v>
      </c>
      <c r="Q1037" s="11">
        <v>8600</v>
      </c>
      <c r="R1037" s="11" t="s">
        <v>32</v>
      </c>
      <c r="S1037" s="11" t="s">
        <v>47</v>
      </c>
      <c r="T1037" s="11" t="s">
        <v>34</v>
      </c>
      <c r="U1037" s="11">
        <v>5</v>
      </c>
      <c r="V1037" s="11" t="str">
        <f>TEXT('E-Commerce Sales Data'!$B1037,"mmmm")</f>
        <v>October</v>
      </c>
      <c r="W1037" s="8">
        <f t="shared" si="64"/>
        <v>987300</v>
      </c>
      <c r="X1037">
        <f t="shared" si="65"/>
        <v>165</v>
      </c>
      <c r="Y1037">
        <f t="shared" si="66"/>
        <v>34530.848484848488</v>
      </c>
      <c r="Z1037">
        <f t="shared" si="67"/>
        <v>52</v>
      </c>
    </row>
    <row r="1038" spans="1:26" x14ac:dyDescent="0.25">
      <c r="A1038" s="5" t="s">
        <v>1526</v>
      </c>
      <c r="B1038" s="6">
        <v>52884</v>
      </c>
      <c r="C1038" s="7" t="s">
        <v>1218</v>
      </c>
      <c r="D1038" s="7" t="s">
        <v>1027</v>
      </c>
      <c r="E1038" s="7">
        <v>35</v>
      </c>
      <c r="F1038" s="7" t="s">
        <v>38</v>
      </c>
      <c r="G1038" s="7" t="s">
        <v>1028</v>
      </c>
      <c r="H1038" s="7" t="s">
        <v>953</v>
      </c>
      <c r="I1038" s="7" t="s">
        <v>27</v>
      </c>
      <c r="J1038" s="7" t="s">
        <v>42</v>
      </c>
      <c r="K1038" s="7" t="s">
        <v>60</v>
      </c>
      <c r="L1038" s="7" t="s">
        <v>61</v>
      </c>
      <c r="M1038" s="7" t="s">
        <v>62</v>
      </c>
      <c r="N1038" s="7">
        <v>11400</v>
      </c>
      <c r="O1038" s="7">
        <v>10</v>
      </c>
      <c r="P1038" s="16">
        <v>0.03</v>
      </c>
      <c r="Q1038" s="7">
        <v>2820</v>
      </c>
      <c r="R1038" s="7" t="s">
        <v>55</v>
      </c>
      <c r="S1038" s="7" t="s">
        <v>33</v>
      </c>
      <c r="T1038" s="7" t="s">
        <v>34</v>
      </c>
      <c r="U1038" s="7">
        <v>4</v>
      </c>
      <c r="V1038" s="7" t="str">
        <f>TEXT('E-Commerce Sales Data'!$B1038,"mmmm")</f>
        <v>October</v>
      </c>
      <c r="W1038" s="8">
        <f t="shared" si="64"/>
        <v>978700</v>
      </c>
      <c r="X1038">
        <f t="shared" si="65"/>
        <v>164</v>
      </c>
      <c r="Y1038">
        <f t="shared" si="66"/>
        <v>34473.719512195123</v>
      </c>
      <c r="Z1038">
        <f t="shared" si="67"/>
        <v>52</v>
      </c>
    </row>
    <row r="1039" spans="1:26" x14ac:dyDescent="0.25">
      <c r="A1039" s="9" t="s">
        <v>1527</v>
      </c>
      <c r="B1039" s="10">
        <v>52891</v>
      </c>
      <c r="C1039" s="11" t="s">
        <v>1528</v>
      </c>
      <c r="D1039" s="11" t="s">
        <v>1529</v>
      </c>
      <c r="E1039" s="11">
        <v>24</v>
      </c>
      <c r="F1039" s="11" t="s">
        <v>24</v>
      </c>
      <c r="G1039" s="11" t="s">
        <v>25</v>
      </c>
      <c r="H1039" s="11" t="s">
        <v>26</v>
      </c>
      <c r="I1039" s="11" t="s">
        <v>27</v>
      </c>
      <c r="J1039" s="11" t="s">
        <v>28</v>
      </c>
      <c r="K1039" s="11" t="s">
        <v>43</v>
      </c>
      <c r="L1039" s="11" t="s">
        <v>68</v>
      </c>
      <c r="M1039" s="11" t="s">
        <v>69</v>
      </c>
      <c r="N1039" s="11">
        <v>42700</v>
      </c>
      <c r="O1039" s="11">
        <v>2</v>
      </c>
      <c r="P1039" s="17">
        <v>0.1</v>
      </c>
      <c r="Q1039" s="11">
        <v>7050</v>
      </c>
      <c r="R1039" s="11" t="s">
        <v>32</v>
      </c>
      <c r="S1039" s="11" t="s">
        <v>47</v>
      </c>
      <c r="T1039" s="11" t="s">
        <v>34</v>
      </c>
      <c r="U1039" s="11">
        <v>5</v>
      </c>
      <c r="V1039" s="11" t="str">
        <f>TEXT('E-Commerce Sales Data'!$B1039,"mmmm")</f>
        <v>October</v>
      </c>
      <c r="W1039" s="8">
        <f t="shared" si="64"/>
        <v>975880</v>
      </c>
      <c r="X1039">
        <f t="shared" si="65"/>
        <v>163</v>
      </c>
      <c r="Y1039">
        <f t="shared" si="66"/>
        <v>34615.276073619629</v>
      </c>
      <c r="Z1039">
        <f t="shared" si="67"/>
        <v>52</v>
      </c>
    </row>
    <row r="1040" spans="1:26" x14ac:dyDescent="0.25">
      <c r="A1040" s="5" t="s">
        <v>1530</v>
      </c>
      <c r="B1040" s="6">
        <v>52898</v>
      </c>
      <c r="C1040" s="7" t="s">
        <v>1531</v>
      </c>
      <c r="D1040" s="7" t="s">
        <v>1532</v>
      </c>
      <c r="E1040" s="7">
        <v>29</v>
      </c>
      <c r="F1040" s="7" t="s">
        <v>38</v>
      </c>
      <c r="G1040" s="7" t="s">
        <v>924</v>
      </c>
      <c r="H1040" s="7" t="s">
        <v>26</v>
      </c>
      <c r="I1040" s="7" t="s">
        <v>27</v>
      </c>
      <c r="J1040" s="7" t="s">
        <v>42</v>
      </c>
      <c r="K1040" s="7" t="s">
        <v>29</v>
      </c>
      <c r="L1040" s="7" t="s">
        <v>53</v>
      </c>
      <c r="M1040" s="7" t="s">
        <v>75</v>
      </c>
      <c r="N1040" s="7">
        <v>6900</v>
      </c>
      <c r="O1040" s="7">
        <v>4</v>
      </c>
      <c r="P1040" s="16">
        <v>0.05</v>
      </c>
      <c r="Q1040" s="7">
        <v>1820</v>
      </c>
      <c r="R1040" s="7" t="s">
        <v>46</v>
      </c>
      <c r="S1040" s="7" t="s">
        <v>33</v>
      </c>
      <c r="T1040" s="7" t="s">
        <v>34</v>
      </c>
      <c r="U1040" s="7">
        <v>3</v>
      </c>
      <c r="V1040" s="7" t="str">
        <f>TEXT('E-Commerce Sales Data'!$B1040,"mmmm")</f>
        <v>October</v>
      </c>
      <c r="W1040" s="8">
        <f t="shared" si="64"/>
        <v>968830</v>
      </c>
      <c r="X1040">
        <f t="shared" si="65"/>
        <v>162</v>
      </c>
      <c r="Y1040">
        <f t="shared" si="66"/>
        <v>34565.370370370372</v>
      </c>
      <c r="Z1040">
        <f t="shared" si="67"/>
        <v>52</v>
      </c>
    </row>
    <row r="1041" spans="1:26" x14ac:dyDescent="0.25">
      <c r="A1041" s="9" t="s">
        <v>1533</v>
      </c>
      <c r="B1041" s="10">
        <v>52905</v>
      </c>
      <c r="C1041" s="11" t="s">
        <v>1534</v>
      </c>
      <c r="D1041" s="11" t="s">
        <v>1535</v>
      </c>
      <c r="E1041" s="11">
        <v>33</v>
      </c>
      <c r="F1041" s="11" t="s">
        <v>38</v>
      </c>
      <c r="G1041" s="11" t="s">
        <v>78</v>
      </c>
      <c r="H1041" s="11" t="s">
        <v>26</v>
      </c>
      <c r="I1041" s="11" t="s">
        <v>27</v>
      </c>
      <c r="J1041" s="11" t="s">
        <v>28</v>
      </c>
      <c r="K1041" s="11" t="s">
        <v>29</v>
      </c>
      <c r="L1041" s="11" t="s">
        <v>53</v>
      </c>
      <c r="M1041" s="11" t="s">
        <v>79</v>
      </c>
      <c r="N1041" s="11">
        <v>7600</v>
      </c>
      <c r="O1041" s="11">
        <v>7</v>
      </c>
      <c r="P1041" s="17">
        <v>0</v>
      </c>
      <c r="Q1041" s="11">
        <v>2280</v>
      </c>
      <c r="R1041" s="11" t="s">
        <v>32</v>
      </c>
      <c r="S1041" s="11" t="s">
        <v>33</v>
      </c>
      <c r="T1041" s="11" t="s">
        <v>34</v>
      </c>
      <c r="U1041" s="11">
        <v>4</v>
      </c>
      <c r="V1041" s="11" t="str">
        <f>TEXT('E-Commerce Sales Data'!$B1041,"mmmm")</f>
        <v>November</v>
      </c>
      <c r="W1041" s="8">
        <f t="shared" si="64"/>
        <v>967010</v>
      </c>
      <c r="X1041">
        <f t="shared" si="65"/>
        <v>161</v>
      </c>
      <c r="Y1041">
        <f t="shared" si="66"/>
        <v>34737.204968944097</v>
      </c>
      <c r="Z1041">
        <f t="shared" si="67"/>
        <v>52</v>
      </c>
    </row>
    <row r="1042" spans="1:26" x14ac:dyDescent="0.25">
      <c r="A1042" s="5" t="s">
        <v>1536</v>
      </c>
      <c r="B1042" s="6">
        <v>52912</v>
      </c>
      <c r="C1042" s="7" t="s">
        <v>1184</v>
      </c>
      <c r="D1042" s="7" t="s">
        <v>1171</v>
      </c>
      <c r="E1042" s="7">
        <v>40</v>
      </c>
      <c r="F1042" s="7" t="s">
        <v>24</v>
      </c>
      <c r="G1042" s="7" t="s">
        <v>25</v>
      </c>
      <c r="H1042" s="7" t="s">
        <v>26</v>
      </c>
      <c r="I1042" s="7" t="s">
        <v>27</v>
      </c>
      <c r="J1042" s="7" t="s">
        <v>28</v>
      </c>
      <c r="K1042" s="7" t="s">
        <v>29</v>
      </c>
      <c r="L1042" s="7" t="s">
        <v>30</v>
      </c>
      <c r="M1042" s="7" t="s">
        <v>31</v>
      </c>
      <c r="N1042" s="7">
        <v>120200</v>
      </c>
      <c r="O1042" s="7">
        <v>1</v>
      </c>
      <c r="P1042" s="16">
        <v>0.05</v>
      </c>
      <c r="Q1042" s="7">
        <v>15400</v>
      </c>
      <c r="R1042" s="7" t="s">
        <v>32</v>
      </c>
      <c r="S1042" s="7" t="s">
        <v>47</v>
      </c>
      <c r="T1042" s="7" t="s">
        <v>34</v>
      </c>
      <c r="U1042" s="7">
        <v>5</v>
      </c>
      <c r="V1042" s="7" t="str">
        <f>TEXT('E-Commerce Sales Data'!$B1042,"mmmm")</f>
        <v>November</v>
      </c>
      <c r="W1042" s="8">
        <f t="shared" si="64"/>
        <v>964730</v>
      </c>
      <c r="X1042">
        <f t="shared" si="65"/>
        <v>160</v>
      </c>
      <c r="Y1042">
        <f t="shared" si="66"/>
        <v>34906.8125</v>
      </c>
      <c r="Z1042">
        <f t="shared" si="67"/>
        <v>52</v>
      </c>
    </row>
    <row r="1043" spans="1:26" x14ac:dyDescent="0.25">
      <c r="A1043" s="9" t="s">
        <v>1537</v>
      </c>
      <c r="B1043" s="10">
        <v>52919</v>
      </c>
      <c r="C1043" s="11" t="s">
        <v>1538</v>
      </c>
      <c r="D1043" s="11" t="s">
        <v>1539</v>
      </c>
      <c r="E1043" s="11">
        <v>25</v>
      </c>
      <c r="F1043" s="11" t="s">
        <v>38</v>
      </c>
      <c r="G1043" s="11" t="s">
        <v>928</v>
      </c>
      <c r="H1043" s="11" t="s">
        <v>26</v>
      </c>
      <c r="I1043" s="11" t="s">
        <v>27</v>
      </c>
      <c r="J1043" s="11" t="s">
        <v>42</v>
      </c>
      <c r="K1043" s="11" t="s">
        <v>43</v>
      </c>
      <c r="L1043" s="11" t="s">
        <v>44</v>
      </c>
      <c r="M1043" s="11" t="s">
        <v>45</v>
      </c>
      <c r="N1043" s="11">
        <v>19700</v>
      </c>
      <c r="O1043" s="11">
        <v>3</v>
      </c>
      <c r="P1043" s="17">
        <v>0.1</v>
      </c>
      <c r="Q1043" s="11">
        <v>4620</v>
      </c>
      <c r="R1043" s="11" t="s">
        <v>46</v>
      </c>
      <c r="S1043" s="11" t="s">
        <v>33</v>
      </c>
      <c r="T1043" s="11" t="s">
        <v>34</v>
      </c>
      <c r="U1043" s="11">
        <v>4</v>
      </c>
      <c r="V1043" s="11" t="str">
        <f>TEXT('E-Commerce Sales Data'!$B1043,"mmmm")</f>
        <v>November</v>
      </c>
      <c r="W1043" s="8">
        <f t="shared" si="64"/>
        <v>949330</v>
      </c>
      <c r="X1043">
        <f t="shared" si="65"/>
        <v>159</v>
      </c>
      <c r="Y1043">
        <f t="shared" si="66"/>
        <v>34370.377358490565</v>
      </c>
      <c r="Z1043">
        <f t="shared" si="67"/>
        <v>52</v>
      </c>
    </row>
    <row r="1044" spans="1:26" x14ac:dyDescent="0.25">
      <c r="A1044" s="5" t="s">
        <v>1540</v>
      </c>
      <c r="B1044" s="6">
        <v>52926</v>
      </c>
      <c r="C1044" s="7" t="s">
        <v>1541</v>
      </c>
      <c r="D1044" s="7" t="s">
        <v>1542</v>
      </c>
      <c r="E1044" s="7">
        <v>38</v>
      </c>
      <c r="F1044" s="7" t="s">
        <v>24</v>
      </c>
      <c r="G1044" s="7" t="s">
        <v>960</v>
      </c>
      <c r="H1044" s="7" t="s">
        <v>67</v>
      </c>
      <c r="I1044" s="7" t="s">
        <v>27</v>
      </c>
      <c r="J1044" s="7" t="s">
        <v>28</v>
      </c>
      <c r="K1044" s="7" t="s">
        <v>29</v>
      </c>
      <c r="L1044" s="7" t="s">
        <v>53</v>
      </c>
      <c r="M1044" s="7" t="s">
        <v>54</v>
      </c>
      <c r="N1044" s="7">
        <v>44700</v>
      </c>
      <c r="O1044" s="7">
        <v>2</v>
      </c>
      <c r="P1044" s="16">
        <v>0.05</v>
      </c>
      <c r="Q1044" s="7">
        <v>8750</v>
      </c>
      <c r="R1044" s="7" t="s">
        <v>55</v>
      </c>
      <c r="S1044" s="7" t="s">
        <v>33</v>
      </c>
      <c r="T1044" s="7" t="s">
        <v>34</v>
      </c>
      <c r="U1044" s="7">
        <v>4</v>
      </c>
      <c r="V1044" s="7" t="str">
        <f>TEXT('E-Commerce Sales Data'!$B1044,"mmmm")</f>
        <v>November</v>
      </c>
      <c r="W1044" s="8">
        <f t="shared" si="64"/>
        <v>944710</v>
      </c>
      <c r="X1044">
        <f t="shared" si="65"/>
        <v>158</v>
      </c>
      <c r="Y1044">
        <f t="shared" si="66"/>
        <v>34463.227848101269</v>
      </c>
      <c r="Z1044">
        <f t="shared" si="67"/>
        <v>52</v>
      </c>
    </row>
    <row r="1045" spans="1:26" x14ac:dyDescent="0.25">
      <c r="A1045" s="9" t="s">
        <v>1543</v>
      </c>
      <c r="B1045" s="10">
        <v>52933</v>
      </c>
      <c r="C1045" s="11" t="s">
        <v>1544</v>
      </c>
      <c r="D1045" s="11" t="s">
        <v>1545</v>
      </c>
      <c r="E1045" s="11">
        <v>27</v>
      </c>
      <c r="F1045" s="11" t="s">
        <v>38</v>
      </c>
      <c r="G1045" s="11" t="s">
        <v>25</v>
      </c>
      <c r="H1045" s="11" t="s">
        <v>26</v>
      </c>
      <c r="I1045" s="11" t="s">
        <v>27</v>
      </c>
      <c r="J1045" s="11" t="s">
        <v>28</v>
      </c>
      <c r="K1045" s="11" t="s">
        <v>60</v>
      </c>
      <c r="L1045" s="11" t="s">
        <v>61</v>
      </c>
      <c r="M1045" s="11" t="s">
        <v>86</v>
      </c>
      <c r="N1045" s="11">
        <v>1320</v>
      </c>
      <c r="O1045" s="11">
        <v>20</v>
      </c>
      <c r="P1045" s="17">
        <v>0.02</v>
      </c>
      <c r="Q1045" s="11">
        <v>390</v>
      </c>
      <c r="R1045" s="11" t="s">
        <v>32</v>
      </c>
      <c r="S1045" s="11" t="s">
        <v>33</v>
      </c>
      <c r="T1045" s="11" t="s">
        <v>34</v>
      </c>
      <c r="U1045" s="11">
        <v>5</v>
      </c>
      <c r="V1045" s="11" t="str">
        <f>TEXT('E-Commerce Sales Data'!$B1045,"mmmm")</f>
        <v>December</v>
      </c>
      <c r="W1045" s="8">
        <f t="shared" si="64"/>
        <v>935960</v>
      </c>
      <c r="X1045">
        <f t="shared" si="65"/>
        <v>157</v>
      </c>
      <c r="Y1045">
        <f t="shared" si="66"/>
        <v>34398.025477707008</v>
      </c>
      <c r="Z1045">
        <f t="shared" si="67"/>
        <v>52</v>
      </c>
    </row>
    <row r="1046" spans="1:26" x14ac:dyDescent="0.25">
      <c r="A1046" s="5" t="s">
        <v>1546</v>
      </c>
      <c r="B1046" s="6">
        <v>52940</v>
      </c>
      <c r="C1046" s="7" t="s">
        <v>1039</v>
      </c>
      <c r="D1046" s="7" t="s">
        <v>1506</v>
      </c>
      <c r="E1046" s="7">
        <v>43</v>
      </c>
      <c r="F1046" s="7" t="s">
        <v>24</v>
      </c>
      <c r="G1046" s="7" t="s">
        <v>59</v>
      </c>
      <c r="H1046" s="7" t="s">
        <v>26</v>
      </c>
      <c r="I1046" s="7" t="s">
        <v>27</v>
      </c>
      <c r="J1046" s="7" t="s">
        <v>42</v>
      </c>
      <c r="K1046" s="7" t="s">
        <v>43</v>
      </c>
      <c r="L1046" s="7" t="s">
        <v>68</v>
      </c>
      <c r="M1046" s="7" t="s">
        <v>69</v>
      </c>
      <c r="N1046" s="7">
        <v>45600</v>
      </c>
      <c r="O1046" s="7">
        <v>2</v>
      </c>
      <c r="P1046" s="16">
        <v>0.08</v>
      </c>
      <c r="Q1046" s="7">
        <v>7820</v>
      </c>
      <c r="R1046" s="7" t="s">
        <v>46</v>
      </c>
      <c r="S1046" s="7" t="s">
        <v>47</v>
      </c>
      <c r="T1046" s="7" t="s">
        <v>34</v>
      </c>
      <c r="U1046" s="7">
        <v>4</v>
      </c>
      <c r="V1046" s="7" t="str">
        <f>TEXT('E-Commerce Sales Data'!$B1046,"mmmm")</f>
        <v>December</v>
      </c>
      <c r="W1046" s="8">
        <f t="shared" si="64"/>
        <v>935570</v>
      </c>
      <c r="X1046">
        <f t="shared" si="65"/>
        <v>156</v>
      </c>
      <c r="Y1046">
        <f t="shared" si="66"/>
        <v>34610.064102564102</v>
      </c>
      <c r="Z1046">
        <f t="shared" si="67"/>
        <v>52</v>
      </c>
    </row>
    <row r="1047" spans="1:26" x14ac:dyDescent="0.25">
      <c r="A1047" s="9" t="s">
        <v>1547</v>
      </c>
      <c r="B1047" s="10">
        <v>52947</v>
      </c>
      <c r="C1047" s="11" t="s">
        <v>1548</v>
      </c>
      <c r="D1047" s="11" t="s">
        <v>1549</v>
      </c>
      <c r="E1047" s="11">
        <v>30</v>
      </c>
      <c r="F1047" s="11" t="s">
        <v>38</v>
      </c>
      <c r="G1047" s="11" t="s">
        <v>25</v>
      </c>
      <c r="H1047" s="11" t="s">
        <v>26</v>
      </c>
      <c r="I1047" s="11" t="s">
        <v>27</v>
      </c>
      <c r="J1047" s="11" t="s">
        <v>28</v>
      </c>
      <c r="K1047" s="11" t="s">
        <v>29</v>
      </c>
      <c r="L1047" s="11" t="s">
        <v>53</v>
      </c>
      <c r="M1047" s="11" t="s">
        <v>75</v>
      </c>
      <c r="N1047" s="11">
        <v>6500</v>
      </c>
      <c r="O1047" s="11">
        <v>3</v>
      </c>
      <c r="P1047" s="17">
        <v>0.05</v>
      </c>
      <c r="Q1047" s="11">
        <v>1730</v>
      </c>
      <c r="R1047" s="11" t="s">
        <v>32</v>
      </c>
      <c r="S1047" s="11" t="s">
        <v>33</v>
      </c>
      <c r="T1047" s="11" t="s">
        <v>34</v>
      </c>
      <c r="U1047" s="11">
        <v>4</v>
      </c>
      <c r="V1047" s="11" t="str">
        <f>TEXT('E-Commerce Sales Data'!$B1047,"mmmm")</f>
        <v>December</v>
      </c>
      <c r="W1047" s="8">
        <f t="shared" si="64"/>
        <v>927750</v>
      </c>
      <c r="X1047">
        <f t="shared" si="65"/>
        <v>155</v>
      </c>
      <c r="Y1047">
        <f t="shared" si="66"/>
        <v>34539.161290322583</v>
      </c>
      <c r="Z1047">
        <f t="shared" si="67"/>
        <v>52</v>
      </c>
    </row>
    <row r="1048" spans="1:26" x14ac:dyDescent="0.25">
      <c r="A1048" s="5" t="s">
        <v>1550</v>
      </c>
      <c r="B1048" s="6">
        <v>52954</v>
      </c>
      <c r="C1048" s="7" t="s">
        <v>1551</v>
      </c>
      <c r="D1048" s="7" t="s">
        <v>1158</v>
      </c>
      <c r="E1048" s="7">
        <v>36</v>
      </c>
      <c r="F1048" s="7" t="s">
        <v>24</v>
      </c>
      <c r="G1048" s="7" t="s">
        <v>1174</v>
      </c>
      <c r="H1048" s="7" t="s">
        <v>26</v>
      </c>
      <c r="I1048" s="7" t="s">
        <v>27</v>
      </c>
      <c r="J1048" s="7" t="s">
        <v>28</v>
      </c>
      <c r="K1048" s="7" t="s">
        <v>29</v>
      </c>
      <c r="L1048" s="7" t="s">
        <v>53</v>
      </c>
      <c r="M1048" s="7" t="s">
        <v>79</v>
      </c>
      <c r="N1048" s="7">
        <v>7850</v>
      </c>
      <c r="O1048" s="7">
        <v>6</v>
      </c>
      <c r="P1048" s="16">
        <v>0</v>
      </c>
      <c r="Q1048" s="7">
        <v>2350</v>
      </c>
      <c r="R1048" s="7" t="s">
        <v>80</v>
      </c>
      <c r="S1048" s="7" t="s">
        <v>33</v>
      </c>
      <c r="T1048" s="7" t="s">
        <v>34</v>
      </c>
      <c r="U1048" s="7">
        <v>3</v>
      </c>
      <c r="V1048" s="7" t="str">
        <f>TEXT('E-Commerce Sales Data'!$B1048,"mmmm")</f>
        <v>December</v>
      </c>
      <c r="W1048" s="8">
        <f t="shared" si="64"/>
        <v>926020</v>
      </c>
      <c r="X1048">
        <f t="shared" si="65"/>
        <v>154</v>
      </c>
      <c r="Y1048">
        <f t="shared" si="66"/>
        <v>34721.233766233767</v>
      </c>
      <c r="Z1048">
        <f t="shared" si="67"/>
        <v>52</v>
      </c>
    </row>
    <row r="1049" spans="1:26" x14ac:dyDescent="0.25">
      <c r="A1049" s="9" t="s">
        <v>1552</v>
      </c>
      <c r="B1049" s="10">
        <v>52961</v>
      </c>
      <c r="C1049" s="11" t="s">
        <v>1553</v>
      </c>
      <c r="D1049" s="11" t="s">
        <v>1185</v>
      </c>
      <c r="E1049" s="11">
        <v>28</v>
      </c>
      <c r="F1049" s="11" t="s">
        <v>38</v>
      </c>
      <c r="G1049" s="11" t="s">
        <v>59</v>
      </c>
      <c r="H1049" s="11" t="s">
        <v>26</v>
      </c>
      <c r="I1049" s="11" t="s">
        <v>27</v>
      </c>
      <c r="J1049" s="11" t="s">
        <v>42</v>
      </c>
      <c r="K1049" s="11" t="s">
        <v>60</v>
      </c>
      <c r="L1049" s="11" t="s">
        <v>61</v>
      </c>
      <c r="M1049" s="11" t="s">
        <v>62</v>
      </c>
      <c r="N1049" s="11">
        <v>11800</v>
      </c>
      <c r="O1049" s="11">
        <v>10</v>
      </c>
      <c r="P1049" s="17">
        <v>0.02</v>
      </c>
      <c r="Q1049" s="11">
        <v>2920</v>
      </c>
      <c r="R1049" s="11" t="s">
        <v>32</v>
      </c>
      <c r="S1049" s="11" t="s">
        <v>33</v>
      </c>
      <c r="T1049" s="11" t="s">
        <v>34</v>
      </c>
      <c r="U1049" s="11">
        <v>5</v>
      </c>
      <c r="V1049" s="11" t="str">
        <f>TEXT('E-Commerce Sales Data'!$B1049,"mmmm")</f>
        <v>December</v>
      </c>
      <c r="W1049" s="8">
        <f t="shared" si="64"/>
        <v>923670</v>
      </c>
      <c r="X1049">
        <f t="shared" si="65"/>
        <v>153</v>
      </c>
      <c r="Y1049">
        <f t="shared" si="66"/>
        <v>34896.862745098042</v>
      </c>
      <c r="Z1049">
        <f t="shared" si="67"/>
        <v>52</v>
      </c>
    </row>
    <row r="1050" spans="1:26" x14ac:dyDescent="0.25">
      <c r="A1050" s="5" t="s">
        <v>1554</v>
      </c>
      <c r="B1050" s="6">
        <v>52968</v>
      </c>
      <c r="C1050" s="7" t="s">
        <v>1555</v>
      </c>
      <c r="D1050" s="7" t="s">
        <v>1556</v>
      </c>
      <c r="E1050" s="7">
        <v>49</v>
      </c>
      <c r="F1050" s="7" t="s">
        <v>24</v>
      </c>
      <c r="G1050" s="7" t="s">
        <v>914</v>
      </c>
      <c r="H1050" s="7" t="s">
        <v>26</v>
      </c>
      <c r="I1050" s="7" t="s">
        <v>27</v>
      </c>
      <c r="J1050" s="7" t="s">
        <v>42</v>
      </c>
      <c r="K1050" s="7" t="s">
        <v>43</v>
      </c>
      <c r="L1050" s="7" t="s">
        <v>92</v>
      </c>
      <c r="M1050" s="7" t="s">
        <v>93</v>
      </c>
      <c r="N1050" s="7">
        <v>28900</v>
      </c>
      <c r="O1050" s="7">
        <v>1</v>
      </c>
      <c r="P1050" s="16">
        <v>0.1</v>
      </c>
      <c r="Q1050" s="7">
        <v>5240</v>
      </c>
      <c r="R1050" s="7" t="s">
        <v>46</v>
      </c>
      <c r="S1050" s="7" t="s">
        <v>47</v>
      </c>
      <c r="T1050" s="7" t="s">
        <v>34</v>
      </c>
      <c r="U1050" s="7">
        <v>4</v>
      </c>
      <c r="V1050" s="7" t="str">
        <f>TEXT('E-Commerce Sales Data'!$B1050,"mmmm")</f>
        <v>January</v>
      </c>
      <c r="W1050" s="8">
        <f t="shared" si="64"/>
        <v>920750</v>
      </c>
      <c r="X1050">
        <f t="shared" si="65"/>
        <v>152</v>
      </c>
      <c r="Y1050">
        <f t="shared" si="66"/>
        <v>35048.815789473687</v>
      </c>
      <c r="Z1050">
        <f t="shared" si="67"/>
        <v>52</v>
      </c>
    </row>
    <row r="1051" spans="1:26" x14ac:dyDescent="0.25">
      <c r="A1051" s="9" t="s">
        <v>1557</v>
      </c>
      <c r="B1051" s="10">
        <v>52975</v>
      </c>
      <c r="C1051" s="11" t="s">
        <v>1558</v>
      </c>
      <c r="D1051" s="11" t="s">
        <v>1559</v>
      </c>
      <c r="E1051" s="11">
        <v>34</v>
      </c>
      <c r="F1051" s="11" t="s">
        <v>38</v>
      </c>
      <c r="G1051" s="11" t="s">
        <v>25</v>
      </c>
      <c r="H1051" s="11" t="s">
        <v>26</v>
      </c>
      <c r="I1051" s="11" t="s">
        <v>27</v>
      </c>
      <c r="J1051" s="11" t="s">
        <v>28</v>
      </c>
      <c r="K1051" s="11" t="s">
        <v>29</v>
      </c>
      <c r="L1051" s="11" t="s">
        <v>96</v>
      </c>
      <c r="M1051" s="11" t="s">
        <v>97</v>
      </c>
      <c r="N1051" s="11">
        <v>31200</v>
      </c>
      <c r="O1051" s="11">
        <v>2</v>
      </c>
      <c r="P1051" s="17">
        <v>0.05</v>
      </c>
      <c r="Q1051" s="11">
        <v>5950</v>
      </c>
      <c r="R1051" s="11" t="s">
        <v>32</v>
      </c>
      <c r="S1051" s="11" t="s">
        <v>33</v>
      </c>
      <c r="T1051" s="11" t="s">
        <v>34</v>
      </c>
      <c r="U1051" s="11">
        <v>4</v>
      </c>
      <c r="V1051" s="11" t="str">
        <f>TEXT('E-Commerce Sales Data'!$B1051,"mmmm")</f>
        <v>January</v>
      </c>
      <c r="W1051" s="8">
        <f t="shared" si="64"/>
        <v>915510</v>
      </c>
      <c r="X1051">
        <f t="shared" si="65"/>
        <v>151</v>
      </c>
      <c r="Y1051">
        <f t="shared" si="66"/>
        <v>35089.536423841062</v>
      </c>
      <c r="Z1051">
        <f t="shared" si="67"/>
        <v>52</v>
      </c>
    </row>
    <row r="1052" spans="1:26" x14ac:dyDescent="0.25">
      <c r="A1052" s="5" t="s">
        <v>1560</v>
      </c>
      <c r="B1052" s="6">
        <v>52982</v>
      </c>
      <c r="C1052" s="7" t="s">
        <v>1561</v>
      </c>
      <c r="D1052" s="7" t="s">
        <v>1562</v>
      </c>
      <c r="E1052" s="7">
        <v>26</v>
      </c>
      <c r="F1052" s="7" t="s">
        <v>24</v>
      </c>
      <c r="G1052" s="7" t="s">
        <v>59</v>
      </c>
      <c r="H1052" s="7" t="s">
        <v>26</v>
      </c>
      <c r="I1052" s="7" t="s">
        <v>27</v>
      </c>
      <c r="J1052" s="7" t="s">
        <v>28</v>
      </c>
      <c r="K1052" s="7" t="s">
        <v>60</v>
      </c>
      <c r="L1052" s="7" t="s">
        <v>53</v>
      </c>
      <c r="M1052" s="7" t="s">
        <v>103</v>
      </c>
      <c r="N1052" s="7">
        <v>1890</v>
      </c>
      <c r="O1052" s="7">
        <v>25</v>
      </c>
      <c r="P1052" s="16">
        <v>0</v>
      </c>
      <c r="Q1052" s="7">
        <v>580</v>
      </c>
      <c r="R1052" s="7" t="s">
        <v>55</v>
      </c>
      <c r="S1052" s="7" t="s">
        <v>33</v>
      </c>
      <c r="T1052" s="7" t="s">
        <v>34</v>
      </c>
      <c r="U1052" s="7">
        <v>5</v>
      </c>
      <c r="V1052" s="7" t="str">
        <f>TEXT('E-Commerce Sales Data'!$B1052,"mmmm")</f>
        <v>January</v>
      </c>
      <c r="W1052" s="8">
        <f t="shared" si="64"/>
        <v>909560</v>
      </c>
      <c r="X1052">
        <f t="shared" si="65"/>
        <v>150</v>
      </c>
      <c r="Y1052">
        <f t="shared" si="66"/>
        <v>35115.466666666667</v>
      </c>
      <c r="Z1052">
        <f t="shared" si="67"/>
        <v>52</v>
      </c>
    </row>
    <row r="1053" spans="1:26" x14ac:dyDescent="0.25">
      <c r="A1053" s="9" t="s">
        <v>1563</v>
      </c>
      <c r="B1053" s="10">
        <v>52989</v>
      </c>
      <c r="C1053" s="11" t="s">
        <v>1564</v>
      </c>
      <c r="D1053" s="11" t="s">
        <v>1430</v>
      </c>
      <c r="E1053" s="11">
        <v>39</v>
      </c>
      <c r="F1053" s="11" t="s">
        <v>38</v>
      </c>
      <c r="G1053" s="11" t="s">
        <v>924</v>
      </c>
      <c r="H1053" s="11" t="s">
        <v>26</v>
      </c>
      <c r="I1053" s="11" t="s">
        <v>27</v>
      </c>
      <c r="J1053" s="11" t="s">
        <v>42</v>
      </c>
      <c r="K1053" s="11" t="s">
        <v>43</v>
      </c>
      <c r="L1053" s="11" t="s">
        <v>68</v>
      </c>
      <c r="M1053" s="11" t="s">
        <v>106</v>
      </c>
      <c r="N1053" s="11">
        <v>46100</v>
      </c>
      <c r="O1053" s="11">
        <v>1</v>
      </c>
      <c r="P1053" s="17">
        <v>0.08</v>
      </c>
      <c r="Q1053" s="11">
        <v>9700</v>
      </c>
      <c r="R1053" s="11" t="s">
        <v>46</v>
      </c>
      <c r="S1053" s="11" t="s">
        <v>47</v>
      </c>
      <c r="T1053" s="11" t="s">
        <v>34</v>
      </c>
      <c r="U1053" s="11">
        <v>4</v>
      </c>
      <c r="V1053" s="11" t="str">
        <f>TEXT('E-Commerce Sales Data'!$B1053,"mmmm")</f>
        <v>January</v>
      </c>
      <c r="W1053" s="8">
        <f t="shared" si="64"/>
        <v>908980</v>
      </c>
      <c r="X1053">
        <f t="shared" si="65"/>
        <v>149</v>
      </c>
      <c r="Y1053">
        <f t="shared" si="66"/>
        <v>35338.456375838927</v>
      </c>
      <c r="Z1053">
        <f t="shared" si="67"/>
        <v>52</v>
      </c>
    </row>
    <row r="1054" spans="1:26" x14ac:dyDescent="0.25">
      <c r="A1054" s="5" t="s">
        <v>1565</v>
      </c>
      <c r="B1054" s="6">
        <v>52996</v>
      </c>
      <c r="C1054" s="7" t="s">
        <v>1102</v>
      </c>
      <c r="D1054" s="7" t="s">
        <v>1117</v>
      </c>
      <c r="E1054" s="7">
        <v>45</v>
      </c>
      <c r="F1054" s="7" t="s">
        <v>24</v>
      </c>
      <c r="G1054" s="7" t="s">
        <v>78</v>
      </c>
      <c r="H1054" s="7" t="s">
        <v>26</v>
      </c>
      <c r="I1054" s="7" t="s">
        <v>27</v>
      </c>
      <c r="J1054" s="7" t="s">
        <v>28</v>
      </c>
      <c r="K1054" s="7" t="s">
        <v>29</v>
      </c>
      <c r="L1054" s="7" t="s">
        <v>30</v>
      </c>
      <c r="M1054" s="7" t="s">
        <v>31</v>
      </c>
      <c r="N1054" s="7">
        <v>121800</v>
      </c>
      <c r="O1054" s="7">
        <v>1</v>
      </c>
      <c r="P1054" s="16">
        <v>0.1</v>
      </c>
      <c r="Q1054" s="7">
        <v>14500</v>
      </c>
      <c r="R1054" s="7" t="s">
        <v>32</v>
      </c>
      <c r="S1054" s="7" t="s">
        <v>47</v>
      </c>
      <c r="T1054" s="7" t="s">
        <v>34</v>
      </c>
      <c r="U1054" s="7">
        <v>5</v>
      </c>
      <c r="V1054" s="7" t="str">
        <f>TEXT('E-Commerce Sales Data'!$B1054,"mmmm")</f>
        <v>February</v>
      </c>
      <c r="W1054" s="8">
        <f t="shared" si="64"/>
        <v>899280</v>
      </c>
      <c r="X1054">
        <f t="shared" si="65"/>
        <v>148</v>
      </c>
      <c r="Y1054">
        <f t="shared" si="66"/>
        <v>35265.74324324324</v>
      </c>
      <c r="Z1054">
        <f t="shared" si="67"/>
        <v>52</v>
      </c>
    </row>
    <row r="1055" spans="1:26" x14ac:dyDescent="0.25">
      <c r="A1055" s="9" t="s">
        <v>1566</v>
      </c>
      <c r="B1055" s="10">
        <v>53003</v>
      </c>
      <c r="C1055" s="11" t="s">
        <v>1567</v>
      </c>
      <c r="D1055" s="11" t="s">
        <v>1436</v>
      </c>
      <c r="E1055" s="11">
        <v>29</v>
      </c>
      <c r="F1055" s="11" t="s">
        <v>38</v>
      </c>
      <c r="G1055" s="11" t="s">
        <v>59</v>
      </c>
      <c r="H1055" s="11" t="s">
        <v>26</v>
      </c>
      <c r="I1055" s="11" t="s">
        <v>27</v>
      </c>
      <c r="J1055" s="11" t="s">
        <v>28</v>
      </c>
      <c r="K1055" s="11" t="s">
        <v>60</v>
      </c>
      <c r="L1055" s="11" t="s">
        <v>92</v>
      </c>
      <c r="M1055" s="11" t="s">
        <v>111</v>
      </c>
      <c r="N1055" s="11">
        <v>2490</v>
      </c>
      <c r="O1055" s="11">
        <v>15</v>
      </c>
      <c r="P1055" s="17">
        <v>0.05</v>
      </c>
      <c r="Q1055" s="11">
        <v>810</v>
      </c>
      <c r="R1055" s="11" t="s">
        <v>80</v>
      </c>
      <c r="S1055" s="11" t="s">
        <v>33</v>
      </c>
      <c r="T1055" s="11" t="s">
        <v>34</v>
      </c>
      <c r="U1055" s="11">
        <v>4</v>
      </c>
      <c r="V1055" s="11" t="str">
        <f>TEXT('E-Commerce Sales Data'!$B1055,"mmmm")</f>
        <v>February</v>
      </c>
      <c r="W1055" s="8">
        <f t="shared" si="64"/>
        <v>884780</v>
      </c>
      <c r="X1055">
        <f t="shared" si="65"/>
        <v>147</v>
      </c>
      <c r="Y1055">
        <f t="shared" si="66"/>
        <v>34677.074829931975</v>
      </c>
      <c r="Z1055">
        <f t="shared" si="67"/>
        <v>52</v>
      </c>
    </row>
    <row r="1056" spans="1:26" x14ac:dyDescent="0.25">
      <c r="A1056" s="5" t="s">
        <v>1568</v>
      </c>
      <c r="B1056" s="6">
        <v>53010</v>
      </c>
      <c r="C1056" s="7" t="s">
        <v>1026</v>
      </c>
      <c r="D1056" s="7" t="s">
        <v>1450</v>
      </c>
      <c r="E1056" s="7">
        <v>37</v>
      </c>
      <c r="F1056" s="7" t="s">
        <v>24</v>
      </c>
      <c r="G1056" s="7" t="s">
        <v>25</v>
      </c>
      <c r="H1056" s="7" t="s">
        <v>26</v>
      </c>
      <c r="I1056" s="7" t="s">
        <v>27</v>
      </c>
      <c r="J1056" s="7" t="s">
        <v>42</v>
      </c>
      <c r="K1056" s="7" t="s">
        <v>43</v>
      </c>
      <c r="L1056" s="7" t="s">
        <v>44</v>
      </c>
      <c r="M1056" s="7" t="s">
        <v>45</v>
      </c>
      <c r="N1056" s="7">
        <v>23000</v>
      </c>
      <c r="O1056" s="7">
        <v>4</v>
      </c>
      <c r="P1056" s="16">
        <v>7.0000000000000007E-2</v>
      </c>
      <c r="Q1056" s="7">
        <v>5350</v>
      </c>
      <c r="R1056" s="7" t="s">
        <v>46</v>
      </c>
      <c r="S1056" s="7" t="s">
        <v>33</v>
      </c>
      <c r="T1056" s="7" t="s">
        <v>34</v>
      </c>
      <c r="U1056" s="7">
        <v>4</v>
      </c>
      <c r="V1056" s="7" t="str">
        <f>TEXT('E-Commerce Sales Data'!$B1056,"mmmm")</f>
        <v>February</v>
      </c>
      <c r="W1056" s="8">
        <f t="shared" si="64"/>
        <v>883970</v>
      </c>
      <c r="X1056">
        <f t="shared" si="65"/>
        <v>146</v>
      </c>
      <c r="Y1056">
        <f t="shared" si="66"/>
        <v>34897.534246575342</v>
      </c>
      <c r="Z1056">
        <f t="shared" si="67"/>
        <v>52</v>
      </c>
    </row>
    <row r="1057" spans="1:26" x14ac:dyDescent="0.25">
      <c r="A1057" s="9" t="s">
        <v>1569</v>
      </c>
      <c r="B1057" s="10">
        <v>53017</v>
      </c>
      <c r="C1057" s="11" t="s">
        <v>1570</v>
      </c>
      <c r="D1057" s="11" t="s">
        <v>1571</v>
      </c>
      <c r="E1057" s="11">
        <v>25</v>
      </c>
      <c r="F1057" s="11" t="s">
        <v>38</v>
      </c>
      <c r="G1057" s="11" t="s">
        <v>960</v>
      </c>
      <c r="H1057" s="11" t="s">
        <v>67</v>
      </c>
      <c r="I1057" s="11" t="s">
        <v>27</v>
      </c>
      <c r="J1057" s="11" t="s">
        <v>28</v>
      </c>
      <c r="K1057" s="11" t="s">
        <v>29</v>
      </c>
      <c r="L1057" s="11" t="s">
        <v>53</v>
      </c>
      <c r="M1057" s="11" t="s">
        <v>54</v>
      </c>
      <c r="N1057" s="11">
        <v>45500</v>
      </c>
      <c r="O1057" s="11">
        <v>2</v>
      </c>
      <c r="P1057" s="17">
        <v>0.05</v>
      </c>
      <c r="Q1057" s="11">
        <v>8900</v>
      </c>
      <c r="R1057" s="11" t="s">
        <v>32</v>
      </c>
      <c r="S1057" s="11" t="s">
        <v>47</v>
      </c>
      <c r="T1057" s="11" t="s">
        <v>34</v>
      </c>
      <c r="U1057" s="11">
        <v>5</v>
      </c>
      <c r="V1057" s="11" t="str">
        <f>TEXT('E-Commerce Sales Data'!$B1057,"mmmm")</f>
        <v>February</v>
      </c>
      <c r="W1057" s="8">
        <f t="shared" si="64"/>
        <v>878620</v>
      </c>
      <c r="X1057">
        <f t="shared" si="65"/>
        <v>145</v>
      </c>
      <c r="Y1057">
        <f t="shared" si="66"/>
        <v>34979.586206896551</v>
      </c>
      <c r="Z1057">
        <f t="shared" si="67"/>
        <v>52</v>
      </c>
    </row>
    <row r="1058" spans="1:26" x14ac:dyDescent="0.25">
      <c r="A1058" s="5" t="s">
        <v>1572</v>
      </c>
      <c r="B1058" s="6">
        <v>53024</v>
      </c>
      <c r="C1058" s="7" t="s">
        <v>1173</v>
      </c>
      <c r="D1058" s="7" t="s">
        <v>37</v>
      </c>
      <c r="E1058" s="7">
        <v>42</v>
      </c>
      <c r="F1058" s="7" t="s">
        <v>24</v>
      </c>
      <c r="G1058" s="7" t="s">
        <v>66</v>
      </c>
      <c r="H1058" s="7" t="s">
        <v>67</v>
      </c>
      <c r="I1058" s="7" t="s">
        <v>27</v>
      </c>
      <c r="J1058" s="7" t="s">
        <v>42</v>
      </c>
      <c r="K1058" s="7" t="s">
        <v>60</v>
      </c>
      <c r="L1058" s="7" t="s">
        <v>61</v>
      </c>
      <c r="M1058" s="7" t="s">
        <v>62</v>
      </c>
      <c r="N1058" s="7">
        <v>12000</v>
      </c>
      <c r="O1058" s="7">
        <v>10</v>
      </c>
      <c r="P1058" s="16">
        <v>0.03</v>
      </c>
      <c r="Q1058" s="7">
        <v>2980</v>
      </c>
      <c r="R1058" s="7" t="s">
        <v>55</v>
      </c>
      <c r="S1058" s="7" t="s">
        <v>33</v>
      </c>
      <c r="T1058" s="7" t="s">
        <v>34</v>
      </c>
      <c r="U1058" s="7">
        <v>4</v>
      </c>
      <c r="V1058" s="7" t="str">
        <f>TEXT('E-Commerce Sales Data'!$B1058,"mmmm")</f>
        <v>March</v>
      </c>
      <c r="W1058" s="8">
        <f t="shared" si="64"/>
        <v>869720</v>
      </c>
      <c r="X1058">
        <f t="shared" si="65"/>
        <v>144</v>
      </c>
      <c r="Y1058">
        <f t="shared" si="66"/>
        <v>34906.527777777781</v>
      </c>
      <c r="Z1058">
        <f t="shared" si="67"/>
        <v>52</v>
      </c>
    </row>
    <row r="1059" spans="1:26" x14ac:dyDescent="0.25">
      <c r="A1059" s="9" t="s">
        <v>1573</v>
      </c>
      <c r="B1059" s="10">
        <v>53031</v>
      </c>
      <c r="C1059" s="11" t="s">
        <v>1574</v>
      </c>
      <c r="D1059" s="11" t="s">
        <v>1250</v>
      </c>
      <c r="E1059" s="11">
        <v>31</v>
      </c>
      <c r="F1059" s="11" t="s">
        <v>38</v>
      </c>
      <c r="G1059" s="11" t="s">
        <v>25</v>
      </c>
      <c r="H1059" s="11" t="s">
        <v>26</v>
      </c>
      <c r="I1059" s="11" t="s">
        <v>27</v>
      </c>
      <c r="J1059" s="11" t="s">
        <v>28</v>
      </c>
      <c r="K1059" s="11" t="s">
        <v>43</v>
      </c>
      <c r="L1059" s="11" t="s">
        <v>68</v>
      </c>
      <c r="M1059" s="11" t="s">
        <v>69</v>
      </c>
      <c r="N1059" s="11">
        <v>43800</v>
      </c>
      <c r="O1059" s="11">
        <v>2</v>
      </c>
      <c r="P1059" s="17">
        <v>0.1</v>
      </c>
      <c r="Q1059" s="11">
        <v>7200</v>
      </c>
      <c r="R1059" s="11" t="s">
        <v>32</v>
      </c>
      <c r="S1059" s="11" t="s">
        <v>47</v>
      </c>
      <c r="T1059" s="11" t="s">
        <v>34</v>
      </c>
      <c r="U1059" s="11">
        <v>5</v>
      </c>
      <c r="V1059" s="11" t="str">
        <f>TEXT('E-Commerce Sales Data'!$B1059,"mmmm")</f>
        <v>March</v>
      </c>
      <c r="W1059" s="8">
        <f t="shared" si="64"/>
        <v>866740</v>
      </c>
      <c r="X1059">
        <f t="shared" si="65"/>
        <v>143</v>
      </c>
      <c r="Y1059">
        <f t="shared" si="66"/>
        <v>35066.71328671329</v>
      </c>
      <c r="Z1059">
        <f t="shared" si="67"/>
        <v>52</v>
      </c>
    </row>
    <row r="1060" spans="1:26" x14ac:dyDescent="0.25">
      <c r="A1060" s="5" t="s">
        <v>1575</v>
      </c>
      <c r="B1060" s="6">
        <v>53038</v>
      </c>
      <c r="C1060" s="7" t="s">
        <v>1429</v>
      </c>
      <c r="D1060" s="7" t="s">
        <v>910</v>
      </c>
      <c r="E1060" s="7">
        <v>35</v>
      </c>
      <c r="F1060" s="7" t="s">
        <v>24</v>
      </c>
      <c r="G1060" s="7" t="s">
        <v>59</v>
      </c>
      <c r="H1060" s="7" t="s">
        <v>26</v>
      </c>
      <c r="I1060" s="7" t="s">
        <v>27</v>
      </c>
      <c r="J1060" s="7" t="s">
        <v>42</v>
      </c>
      <c r="K1060" s="7" t="s">
        <v>29</v>
      </c>
      <c r="L1060" s="7" t="s">
        <v>53</v>
      </c>
      <c r="M1060" s="7" t="s">
        <v>75</v>
      </c>
      <c r="N1060" s="7">
        <v>7100</v>
      </c>
      <c r="O1060" s="7">
        <v>4</v>
      </c>
      <c r="P1060" s="16">
        <v>0.05</v>
      </c>
      <c r="Q1060" s="7">
        <v>1870</v>
      </c>
      <c r="R1060" s="7" t="s">
        <v>46</v>
      </c>
      <c r="S1060" s="7" t="s">
        <v>33</v>
      </c>
      <c r="T1060" s="7" t="s">
        <v>34</v>
      </c>
      <c r="U1060" s="7">
        <v>3</v>
      </c>
      <c r="V1060" s="7" t="str">
        <f>TEXT('E-Commerce Sales Data'!$B1060,"mmmm")</f>
        <v>March</v>
      </c>
      <c r="W1060" s="8">
        <f t="shared" si="64"/>
        <v>859540</v>
      </c>
      <c r="X1060">
        <f t="shared" si="65"/>
        <v>142</v>
      </c>
      <c r="Y1060">
        <f t="shared" si="66"/>
        <v>35005.211267605635</v>
      </c>
      <c r="Z1060">
        <f t="shared" si="67"/>
        <v>52</v>
      </c>
    </row>
    <row r="1061" spans="1:26" x14ac:dyDescent="0.25">
      <c r="A1061" s="9" t="s">
        <v>1576</v>
      </c>
      <c r="B1061" s="10">
        <v>53045</v>
      </c>
      <c r="C1061" s="11" t="s">
        <v>1577</v>
      </c>
      <c r="D1061" s="11" t="s">
        <v>1578</v>
      </c>
      <c r="E1061" s="11">
        <v>27</v>
      </c>
      <c r="F1061" s="11" t="s">
        <v>38</v>
      </c>
      <c r="G1061" s="11" t="s">
        <v>1050</v>
      </c>
      <c r="H1061" s="11" t="s">
        <v>26</v>
      </c>
      <c r="I1061" s="11" t="s">
        <v>27</v>
      </c>
      <c r="J1061" s="11" t="s">
        <v>28</v>
      </c>
      <c r="K1061" s="11" t="s">
        <v>29</v>
      </c>
      <c r="L1061" s="11" t="s">
        <v>53</v>
      </c>
      <c r="M1061" s="11" t="s">
        <v>79</v>
      </c>
      <c r="N1061" s="11">
        <v>8100</v>
      </c>
      <c r="O1061" s="11">
        <v>7</v>
      </c>
      <c r="P1061" s="17">
        <v>0</v>
      </c>
      <c r="Q1061" s="11">
        <v>2430</v>
      </c>
      <c r="R1061" s="11" t="s">
        <v>32</v>
      </c>
      <c r="S1061" s="11" t="s">
        <v>33</v>
      </c>
      <c r="T1061" s="11" t="s">
        <v>34</v>
      </c>
      <c r="U1061" s="11">
        <v>4</v>
      </c>
      <c r="V1061" s="11" t="str">
        <f>TEXT('E-Commerce Sales Data'!$B1061,"mmmm")</f>
        <v>March</v>
      </c>
      <c r="W1061" s="8">
        <f t="shared" si="64"/>
        <v>857670</v>
      </c>
      <c r="X1061">
        <f t="shared" si="65"/>
        <v>141</v>
      </c>
      <c r="Y1061">
        <f t="shared" si="66"/>
        <v>35203.120567375889</v>
      </c>
      <c r="Z1061">
        <f t="shared" si="67"/>
        <v>52</v>
      </c>
    </row>
    <row r="1062" spans="1:26" x14ac:dyDescent="0.25">
      <c r="A1062" s="5" t="s">
        <v>1579</v>
      </c>
      <c r="B1062" s="6">
        <v>53052</v>
      </c>
      <c r="C1062" s="7" t="s">
        <v>1257</v>
      </c>
      <c r="D1062" s="7" t="s">
        <v>1433</v>
      </c>
      <c r="E1062" s="7">
        <v>33</v>
      </c>
      <c r="F1062" s="7" t="s">
        <v>24</v>
      </c>
      <c r="G1062" s="7" t="s">
        <v>914</v>
      </c>
      <c r="H1062" s="7" t="s">
        <v>26</v>
      </c>
      <c r="I1062" s="7" t="s">
        <v>27</v>
      </c>
      <c r="J1062" s="7" t="s">
        <v>28</v>
      </c>
      <c r="K1062" s="7" t="s">
        <v>29</v>
      </c>
      <c r="L1062" s="7" t="s">
        <v>30</v>
      </c>
      <c r="M1062" s="7" t="s">
        <v>31</v>
      </c>
      <c r="N1062" s="7">
        <v>123600</v>
      </c>
      <c r="O1062" s="7">
        <v>1</v>
      </c>
      <c r="P1062" s="16">
        <v>0.05</v>
      </c>
      <c r="Q1062" s="7">
        <v>15700</v>
      </c>
      <c r="R1062" s="7" t="s">
        <v>32</v>
      </c>
      <c r="S1062" s="7" t="s">
        <v>47</v>
      </c>
      <c r="T1062" s="7" t="s">
        <v>34</v>
      </c>
      <c r="U1062" s="7">
        <v>5</v>
      </c>
      <c r="V1062" s="7" t="str">
        <f>TEXT('E-Commerce Sales Data'!$B1062,"mmmm")</f>
        <v>March</v>
      </c>
      <c r="W1062" s="8">
        <f t="shared" si="64"/>
        <v>855240</v>
      </c>
      <c r="X1062">
        <f t="shared" si="65"/>
        <v>140</v>
      </c>
      <c r="Y1062">
        <f t="shared" si="66"/>
        <v>35396.714285714283</v>
      </c>
      <c r="Z1062">
        <f t="shared" si="67"/>
        <v>52</v>
      </c>
    </row>
    <row r="1063" spans="1:26" x14ac:dyDescent="0.25">
      <c r="A1063" s="9" t="s">
        <v>1580</v>
      </c>
      <c r="B1063" s="10">
        <v>53059</v>
      </c>
      <c r="C1063" s="11" t="s">
        <v>1581</v>
      </c>
      <c r="D1063" s="11" t="s">
        <v>1582</v>
      </c>
      <c r="E1063" s="11">
        <v>30</v>
      </c>
      <c r="F1063" s="11" t="s">
        <v>38</v>
      </c>
      <c r="G1063" s="11" t="s">
        <v>932</v>
      </c>
      <c r="H1063" s="11" t="s">
        <v>26</v>
      </c>
      <c r="I1063" s="11" t="s">
        <v>27</v>
      </c>
      <c r="J1063" s="11" t="s">
        <v>42</v>
      </c>
      <c r="K1063" s="11" t="s">
        <v>43</v>
      </c>
      <c r="L1063" s="11" t="s">
        <v>44</v>
      </c>
      <c r="M1063" s="11" t="s">
        <v>45</v>
      </c>
      <c r="N1063" s="11">
        <v>20400</v>
      </c>
      <c r="O1063" s="11">
        <v>3</v>
      </c>
      <c r="P1063" s="17">
        <v>0.1</v>
      </c>
      <c r="Q1063" s="11">
        <v>4780</v>
      </c>
      <c r="R1063" s="11" t="s">
        <v>46</v>
      </c>
      <c r="S1063" s="11" t="s">
        <v>33</v>
      </c>
      <c r="T1063" s="11" t="s">
        <v>34</v>
      </c>
      <c r="U1063" s="11">
        <v>4</v>
      </c>
      <c r="V1063" s="11" t="str">
        <f>TEXT('E-Commerce Sales Data'!$B1063,"mmmm")</f>
        <v>April</v>
      </c>
      <c r="W1063" s="8">
        <f t="shared" si="64"/>
        <v>839540</v>
      </c>
      <c r="X1063">
        <f t="shared" si="65"/>
        <v>139</v>
      </c>
      <c r="Y1063">
        <f t="shared" si="66"/>
        <v>34762.158273381297</v>
      </c>
      <c r="Z1063">
        <f t="shared" si="67"/>
        <v>52</v>
      </c>
    </row>
    <row r="1064" spans="1:26" x14ac:dyDescent="0.25">
      <c r="A1064" s="5" t="s">
        <v>1583</v>
      </c>
      <c r="B1064" s="6">
        <v>53066</v>
      </c>
      <c r="C1064" s="7" t="s">
        <v>1584</v>
      </c>
      <c r="D1064" s="7" t="s">
        <v>1545</v>
      </c>
      <c r="E1064" s="7">
        <v>41</v>
      </c>
      <c r="F1064" s="7" t="s">
        <v>24</v>
      </c>
      <c r="G1064" s="7" t="s">
        <v>25</v>
      </c>
      <c r="H1064" s="7" t="s">
        <v>26</v>
      </c>
      <c r="I1064" s="7" t="s">
        <v>27</v>
      </c>
      <c r="J1064" s="7" t="s">
        <v>28</v>
      </c>
      <c r="K1064" s="7" t="s">
        <v>29</v>
      </c>
      <c r="L1064" s="7" t="s">
        <v>53</v>
      </c>
      <c r="M1064" s="7" t="s">
        <v>54</v>
      </c>
      <c r="N1064" s="7">
        <v>46300</v>
      </c>
      <c r="O1064" s="7">
        <v>2</v>
      </c>
      <c r="P1064" s="16">
        <v>0.05</v>
      </c>
      <c r="Q1064" s="7">
        <v>9050</v>
      </c>
      <c r="R1064" s="7" t="s">
        <v>55</v>
      </c>
      <c r="S1064" s="7" t="s">
        <v>33</v>
      </c>
      <c r="T1064" s="7" t="s">
        <v>34</v>
      </c>
      <c r="U1064" s="7">
        <v>4</v>
      </c>
      <c r="V1064" s="7" t="str">
        <f>TEXT('E-Commerce Sales Data'!$B1064,"mmmm")</f>
        <v>April</v>
      </c>
      <c r="W1064" s="8">
        <f t="shared" si="64"/>
        <v>834760</v>
      </c>
      <c r="X1064">
        <f t="shared" si="65"/>
        <v>138</v>
      </c>
      <c r="Y1064">
        <f t="shared" si="66"/>
        <v>34866.231884057968</v>
      </c>
      <c r="Z1064">
        <f t="shared" si="67"/>
        <v>52</v>
      </c>
    </row>
    <row r="1065" spans="1:26" x14ac:dyDescent="0.25">
      <c r="A1065" s="9" t="s">
        <v>1585</v>
      </c>
      <c r="B1065" s="10">
        <v>53073</v>
      </c>
      <c r="C1065" s="11" t="s">
        <v>979</v>
      </c>
      <c r="D1065" s="11" t="s">
        <v>1586</v>
      </c>
      <c r="E1065" s="11">
        <v>26</v>
      </c>
      <c r="F1065" s="11" t="s">
        <v>38</v>
      </c>
      <c r="G1065" s="11" t="s">
        <v>59</v>
      </c>
      <c r="H1065" s="11" t="s">
        <v>26</v>
      </c>
      <c r="I1065" s="11" t="s">
        <v>27</v>
      </c>
      <c r="J1065" s="11" t="s">
        <v>28</v>
      </c>
      <c r="K1065" s="11" t="s">
        <v>60</v>
      </c>
      <c r="L1065" s="11" t="s">
        <v>61</v>
      </c>
      <c r="M1065" s="11" t="s">
        <v>86</v>
      </c>
      <c r="N1065" s="11">
        <v>1350</v>
      </c>
      <c r="O1065" s="11">
        <v>20</v>
      </c>
      <c r="P1065" s="17">
        <v>0.02</v>
      </c>
      <c r="Q1065" s="11">
        <v>400</v>
      </c>
      <c r="R1065" s="11" t="s">
        <v>32</v>
      </c>
      <c r="S1065" s="11" t="s">
        <v>33</v>
      </c>
      <c r="T1065" s="11" t="s">
        <v>34</v>
      </c>
      <c r="U1065" s="11">
        <v>5</v>
      </c>
      <c r="V1065" s="11" t="str">
        <f>TEXT('E-Commerce Sales Data'!$B1065,"mmmm")</f>
        <v>April</v>
      </c>
      <c r="W1065" s="8">
        <f t="shared" si="64"/>
        <v>825710</v>
      </c>
      <c r="X1065">
        <f t="shared" si="65"/>
        <v>137</v>
      </c>
      <c r="Y1065">
        <f t="shared" si="66"/>
        <v>34782.773722627739</v>
      </c>
      <c r="Z1065">
        <f t="shared" si="67"/>
        <v>52</v>
      </c>
    </row>
    <row r="1066" spans="1:26" x14ac:dyDescent="0.25">
      <c r="A1066" s="5" t="s">
        <v>1587</v>
      </c>
      <c r="B1066" s="6">
        <v>53080</v>
      </c>
      <c r="C1066" s="7" t="s">
        <v>1588</v>
      </c>
      <c r="D1066" s="7" t="s">
        <v>1469</v>
      </c>
      <c r="E1066" s="7">
        <v>47</v>
      </c>
      <c r="F1066" s="7" t="s">
        <v>24</v>
      </c>
      <c r="G1066" s="7" t="s">
        <v>924</v>
      </c>
      <c r="H1066" s="7" t="s">
        <v>26</v>
      </c>
      <c r="I1066" s="7" t="s">
        <v>27</v>
      </c>
      <c r="J1066" s="7" t="s">
        <v>42</v>
      </c>
      <c r="K1066" s="7" t="s">
        <v>43</v>
      </c>
      <c r="L1066" s="7" t="s">
        <v>68</v>
      </c>
      <c r="M1066" s="7" t="s">
        <v>69</v>
      </c>
      <c r="N1066" s="7">
        <v>47000</v>
      </c>
      <c r="O1066" s="7">
        <v>2</v>
      </c>
      <c r="P1066" s="16">
        <v>0.08</v>
      </c>
      <c r="Q1066" s="7">
        <v>8100</v>
      </c>
      <c r="R1066" s="7" t="s">
        <v>46</v>
      </c>
      <c r="S1066" s="7" t="s">
        <v>47</v>
      </c>
      <c r="T1066" s="7" t="s">
        <v>34</v>
      </c>
      <c r="U1066" s="7">
        <v>4</v>
      </c>
      <c r="V1066" s="7" t="str">
        <f>TEXT('E-Commerce Sales Data'!$B1066,"mmmm")</f>
        <v>April</v>
      </c>
      <c r="W1066" s="8">
        <f t="shared" si="64"/>
        <v>825310</v>
      </c>
      <c r="X1066">
        <f t="shared" si="65"/>
        <v>136</v>
      </c>
      <c r="Y1066">
        <f t="shared" si="66"/>
        <v>35028.602941176468</v>
      </c>
      <c r="Z1066">
        <f t="shared" si="67"/>
        <v>52</v>
      </c>
    </row>
    <row r="1067" spans="1:26" x14ac:dyDescent="0.25">
      <c r="A1067" s="9" t="s">
        <v>1589</v>
      </c>
      <c r="B1067" s="10">
        <v>53087</v>
      </c>
      <c r="C1067" s="11" t="s">
        <v>1022</v>
      </c>
      <c r="D1067" s="11" t="s">
        <v>1590</v>
      </c>
      <c r="E1067" s="11">
        <v>32</v>
      </c>
      <c r="F1067" s="11" t="s">
        <v>38</v>
      </c>
      <c r="G1067" s="11" t="s">
        <v>25</v>
      </c>
      <c r="H1067" s="11" t="s">
        <v>26</v>
      </c>
      <c r="I1067" s="11" t="s">
        <v>27</v>
      </c>
      <c r="J1067" s="11" t="s">
        <v>28</v>
      </c>
      <c r="K1067" s="11" t="s">
        <v>29</v>
      </c>
      <c r="L1067" s="11" t="s">
        <v>53</v>
      </c>
      <c r="M1067" s="11" t="s">
        <v>75</v>
      </c>
      <c r="N1067" s="11">
        <v>6700</v>
      </c>
      <c r="O1067" s="11">
        <v>3</v>
      </c>
      <c r="P1067" s="17">
        <v>0.05</v>
      </c>
      <c r="Q1067" s="11">
        <v>1780</v>
      </c>
      <c r="R1067" s="11" t="s">
        <v>32</v>
      </c>
      <c r="S1067" s="11" t="s">
        <v>33</v>
      </c>
      <c r="T1067" s="11" t="s">
        <v>34</v>
      </c>
      <c r="U1067" s="11">
        <v>4</v>
      </c>
      <c r="V1067" s="11" t="str">
        <f>TEXT('E-Commerce Sales Data'!$B1067,"mmmm")</f>
        <v>May</v>
      </c>
      <c r="W1067" s="8">
        <f t="shared" si="64"/>
        <v>817210</v>
      </c>
      <c r="X1067">
        <f t="shared" si="65"/>
        <v>135</v>
      </c>
      <c r="Y1067">
        <f t="shared" si="66"/>
        <v>34939.925925925927</v>
      </c>
      <c r="Z1067">
        <f t="shared" si="67"/>
        <v>52</v>
      </c>
    </row>
    <row r="1068" spans="1:26" x14ac:dyDescent="0.25">
      <c r="A1068" s="5" t="s">
        <v>1591</v>
      </c>
      <c r="B1068" s="6">
        <v>53094</v>
      </c>
      <c r="C1068" s="7" t="s">
        <v>1592</v>
      </c>
      <c r="D1068" s="7" t="s">
        <v>1593</v>
      </c>
      <c r="E1068" s="7">
        <v>39</v>
      </c>
      <c r="F1068" s="7" t="s">
        <v>24</v>
      </c>
      <c r="G1068" s="7" t="s">
        <v>78</v>
      </c>
      <c r="H1068" s="7" t="s">
        <v>26</v>
      </c>
      <c r="I1068" s="7" t="s">
        <v>27</v>
      </c>
      <c r="J1068" s="7" t="s">
        <v>28</v>
      </c>
      <c r="K1068" s="7" t="s">
        <v>29</v>
      </c>
      <c r="L1068" s="7" t="s">
        <v>53</v>
      </c>
      <c r="M1068" s="7" t="s">
        <v>79</v>
      </c>
      <c r="N1068" s="7">
        <v>8250</v>
      </c>
      <c r="O1068" s="7">
        <v>6</v>
      </c>
      <c r="P1068" s="16">
        <v>0</v>
      </c>
      <c r="Q1068" s="7">
        <v>2480</v>
      </c>
      <c r="R1068" s="7" t="s">
        <v>80</v>
      </c>
      <c r="S1068" s="7" t="s">
        <v>33</v>
      </c>
      <c r="T1068" s="7" t="s">
        <v>34</v>
      </c>
      <c r="U1068" s="7">
        <v>3</v>
      </c>
      <c r="V1068" s="7" t="str">
        <f>TEXT('E-Commerce Sales Data'!$B1068,"mmmm")</f>
        <v>May</v>
      </c>
      <c r="W1068" s="8">
        <f t="shared" si="64"/>
        <v>815430</v>
      </c>
      <c r="X1068">
        <f t="shared" si="65"/>
        <v>134</v>
      </c>
      <c r="Y1068">
        <f t="shared" si="66"/>
        <v>35150.671641791043</v>
      </c>
      <c r="Z1068">
        <f t="shared" si="67"/>
        <v>52</v>
      </c>
    </row>
    <row r="1069" spans="1:26" x14ac:dyDescent="0.25">
      <c r="A1069" s="9" t="s">
        <v>1594</v>
      </c>
      <c r="B1069" s="10">
        <v>53101</v>
      </c>
      <c r="C1069" s="11" t="s">
        <v>1595</v>
      </c>
      <c r="D1069" s="11" t="s">
        <v>1596</v>
      </c>
      <c r="E1069" s="11">
        <v>28</v>
      </c>
      <c r="F1069" s="11" t="s">
        <v>38</v>
      </c>
      <c r="G1069" s="11" t="s">
        <v>1125</v>
      </c>
      <c r="H1069" s="11" t="s">
        <v>26</v>
      </c>
      <c r="I1069" s="11" t="s">
        <v>27</v>
      </c>
      <c r="J1069" s="11" t="s">
        <v>42</v>
      </c>
      <c r="K1069" s="11" t="s">
        <v>60</v>
      </c>
      <c r="L1069" s="11" t="s">
        <v>61</v>
      </c>
      <c r="M1069" s="11" t="s">
        <v>62</v>
      </c>
      <c r="N1069" s="11">
        <v>12200</v>
      </c>
      <c r="O1069" s="11">
        <v>10</v>
      </c>
      <c r="P1069" s="17">
        <v>0.02</v>
      </c>
      <c r="Q1069" s="11">
        <v>3040</v>
      </c>
      <c r="R1069" s="11" t="s">
        <v>32</v>
      </c>
      <c r="S1069" s="11" t="s">
        <v>33</v>
      </c>
      <c r="T1069" s="11" t="s">
        <v>34</v>
      </c>
      <c r="U1069" s="11">
        <v>5</v>
      </c>
      <c r="V1069" s="11" t="str">
        <f>TEXT('E-Commerce Sales Data'!$B1069,"mmmm")</f>
        <v>May</v>
      </c>
      <c r="W1069" s="8">
        <f t="shared" si="64"/>
        <v>812950</v>
      </c>
      <c r="X1069">
        <f t="shared" si="65"/>
        <v>133</v>
      </c>
      <c r="Y1069">
        <f t="shared" si="66"/>
        <v>35352.932330827069</v>
      </c>
      <c r="Z1069">
        <f t="shared" si="67"/>
        <v>52</v>
      </c>
    </row>
    <row r="1070" spans="1:26" x14ac:dyDescent="0.25">
      <c r="A1070" s="5" t="s">
        <v>1597</v>
      </c>
      <c r="B1070" s="6">
        <v>53108</v>
      </c>
      <c r="C1070" s="7" t="s">
        <v>1598</v>
      </c>
      <c r="D1070" s="7" t="s">
        <v>1599</v>
      </c>
      <c r="E1070" s="7">
        <v>44</v>
      </c>
      <c r="F1070" s="7" t="s">
        <v>24</v>
      </c>
      <c r="G1070" s="7" t="s">
        <v>1069</v>
      </c>
      <c r="H1070" s="7" t="s">
        <v>26</v>
      </c>
      <c r="I1070" s="7" t="s">
        <v>27</v>
      </c>
      <c r="J1070" s="7" t="s">
        <v>42</v>
      </c>
      <c r="K1070" s="7" t="s">
        <v>43</v>
      </c>
      <c r="L1070" s="7" t="s">
        <v>92</v>
      </c>
      <c r="M1070" s="7" t="s">
        <v>93</v>
      </c>
      <c r="N1070" s="7">
        <v>29600</v>
      </c>
      <c r="O1070" s="7">
        <v>1</v>
      </c>
      <c r="P1070" s="16">
        <v>0.1</v>
      </c>
      <c r="Q1070" s="7">
        <v>5360</v>
      </c>
      <c r="R1070" s="7" t="s">
        <v>46</v>
      </c>
      <c r="S1070" s="7" t="s">
        <v>47</v>
      </c>
      <c r="T1070" s="7" t="s">
        <v>34</v>
      </c>
      <c r="U1070" s="7">
        <v>4</v>
      </c>
      <c r="V1070" s="7" t="str">
        <f>TEXT('E-Commerce Sales Data'!$B1070,"mmmm")</f>
        <v>May</v>
      </c>
      <c r="W1070" s="8">
        <f t="shared" si="64"/>
        <v>809910</v>
      </c>
      <c r="X1070">
        <f t="shared" si="65"/>
        <v>132</v>
      </c>
      <c r="Y1070">
        <f t="shared" si="66"/>
        <v>35528.333333333336</v>
      </c>
      <c r="Z1070">
        <f t="shared" si="67"/>
        <v>52</v>
      </c>
    </row>
    <row r="1071" spans="1:26" x14ac:dyDescent="0.25">
      <c r="A1071" s="9" t="s">
        <v>1600</v>
      </c>
      <c r="B1071" s="10">
        <v>53115</v>
      </c>
      <c r="C1071" s="11" t="s">
        <v>1601</v>
      </c>
      <c r="D1071" s="11" t="s">
        <v>1219</v>
      </c>
      <c r="E1071" s="11">
        <v>35</v>
      </c>
      <c r="F1071" s="11" t="s">
        <v>38</v>
      </c>
      <c r="G1071" s="11" t="s">
        <v>59</v>
      </c>
      <c r="H1071" s="11" t="s">
        <v>26</v>
      </c>
      <c r="I1071" s="11" t="s">
        <v>27</v>
      </c>
      <c r="J1071" s="11" t="s">
        <v>28</v>
      </c>
      <c r="K1071" s="11" t="s">
        <v>29</v>
      </c>
      <c r="L1071" s="11" t="s">
        <v>96</v>
      </c>
      <c r="M1071" s="11" t="s">
        <v>97</v>
      </c>
      <c r="N1071" s="11">
        <v>31900</v>
      </c>
      <c r="O1071" s="11">
        <v>2</v>
      </c>
      <c r="P1071" s="17">
        <v>0.05</v>
      </c>
      <c r="Q1071" s="11">
        <v>6100</v>
      </c>
      <c r="R1071" s="11" t="s">
        <v>32</v>
      </c>
      <c r="S1071" s="11" t="s">
        <v>33</v>
      </c>
      <c r="T1071" s="11" t="s">
        <v>34</v>
      </c>
      <c r="U1071" s="11">
        <v>4</v>
      </c>
      <c r="V1071" s="11" t="str">
        <f>TEXT('E-Commerce Sales Data'!$B1071,"mmmm")</f>
        <v>June</v>
      </c>
      <c r="W1071" s="8">
        <f t="shared" si="64"/>
        <v>804550</v>
      </c>
      <c r="X1071">
        <f t="shared" si="65"/>
        <v>131</v>
      </c>
      <c r="Y1071">
        <f t="shared" si="66"/>
        <v>35573.587786259544</v>
      </c>
      <c r="Z1071">
        <f t="shared" si="67"/>
        <v>52</v>
      </c>
    </row>
    <row r="1072" spans="1:26" x14ac:dyDescent="0.25">
      <c r="A1072" s="5" t="s">
        <v>1602</v>
      </c>
      <c r="B1072" s="6">
        <v>53122</v>
      </c>
      <c r="C1072" s="7" t="s">
        <v>959</v>
      </c>
      <c r="D1072" s="7" t="s">
        <v>1603</v>
      </c>
      <c r="E1072" s="7">
        <v>29</v>
      </c>
      <c r="F1072" s="7" t="s">
        <v>24</v>
      </c>
      <c r="G1072" s="7" t="s">
        <v>25</v>
      </c>
      <c r="H1072" s="7" t="s">
        <v>26</v>
      </c>
      <c r="I1072" s="7" t="s">
        <v>27</v>
      </c>
      <c r="J1072" s="7" t="s">
        <v>28</v>
      </c>
      <c r="K1072" s="7" t="s">
        <v>60</v>
      </c>
      <c r="L1072" s="7" t="s">
        <v>53</v>
      </c>
      <c r="M1072" s="7" t="s">
        <v>103</v>
      </c>
      <c r="N1072" s="7">
        <v>1920</v>
      </c>
      <c r="O1072" s="7">
        <v>25</v>
      </c>
      <c r="P1072" s="16">
        <v>0</v>
      </c>
      <c r="Q1072" s="7">
        <v>590</v>
      </c>
      <c r="R1072" s="7" t="s">
        <v>55</v>
      </c>
      <c r="S1072" s="7" t="s">
        <v>33</v>
      </c>
      <c r="T1072" s="7" t="s">
        <v>34</v>
      </c>
      <c r="U1072" s="7">
        <v>5</v>
      </c>
      <c r="V1072" s="7" t="str">
        <f>TEXT('E-Commerce Sales Data'!$B1072,"mmmm")</f>
        <v>June</v>
      </c>
      <c r="W1072" s="8">
        <f t="shared" si="64"/>
        <v>798450</v>
      </c>
      <c r="X1072">
        <f t="shared" si="65"/>
        <v>130</v>
      </c>
      <c r="Y1072">
        <f t="shared" si="66"/>
        <v>35601.846153846156</v>
      </c>
      <c r="Z1072">
        <f t="shared" si="67"/>
        <v>52</v>
      </c>
    </row>
    <row r="1073" spans="1:26" x14ac:dyDescent="0.25">
      <c r="A1073" s="9" t="s">
        <v>1604</v>
      </c>
      <c r="B1073" s="10">
        <v>53129</v>
      </c>
      <c r="C1073" s="11" t="s">
        <v>1605</v>
      </c>
      <c r="D1073" s="11" t="s">
        <v>1606</v>
      </c>
      <c r="E1073" s="11">
        <v>33</v>
      </c>
      <c r="F1073" s="11" t="s">
        <v>38</v>
      </c>
      <c r="G1073" s="11" t="s">
        <v>914</v>
      </c>
      <c r="H1073" s="11" t="s">
        <v>26</v>
      </c>
      <c r="I1073" s="11" t="s">
        <v>27</v>
      </c>
      <c r="J1073" s="11" t="s">
        <v>42</v>
      </c>
      <c r="K1073" s="11" t="s">
        <v>43</v>
      </c>
      <c r="L1073" s="11" t="s">
        <v>68</v>
      </c>
      <c r="M1073" s="11" t="s">
        <v>106</v>
      </c>
      <c r="N1073" s="11">
        <v>47000</v>
      </c>
      <c r="O1073" s="11">
        <v>1</v>
      </c>
      <c r="P1073" s="17">
        <v>0.08</v>
      </c>
      <c r="Q1073" s="11">
        <v>9850</v>
      </c>
      <c r="R1073" s="11" t="s">
        <v>46</v>
      </c>
      <c r="S1073" s="11" t="s">
        <v>47</v>
      </c>
      <c r="T1073" s="11" t="s">
        <v>34</v>
      </c>
      <c r="U1073" s="11">
        <v>4</v>
      </c>
      <c r="V1073" s="11" t="str">
        <f>TEXT('E-Commerce Sales Data'!$B1073,"mmmm")</f>
        <v>June</v>
      </c>
      <c r="W1073" s="8">
        <f t="shared" si="64"/>
        <v>797860</v>
      </c>
      <c r="X1073">
        <f t="shared" si="65"/>
        <v>129</v>
      </c>
      <c r="Y1073">
        <f t="shared" si="66"/>
        <v>35862.945736434107</v>
      </c>
      <c r="Z1073">
        <f t="shared" si="67"/>
        <v>52</v>
      </c>
    </row>
    <row r="1074" spans="1:26" x14ac:dyDescent="0.25">
      <c r="A1074" s="5" t="s">
        <v>1607</v>
      </c>
      <c r="B1074" s="6">
        <v>53136</v>
      </c>
      <c r="C1074" s="7" t="s">
        <v>1608</v>
      </c>
      <c r="D1074" s="7" t="s">
        <v>1225</v>
      </c>
      <c r="E1074" s="7">
        <v>46</v>
      </c>
      <c r="F1074" s="7" t="s">
        <v>24</v>
      </c>
      <c r="G1074" s="7" t="s">
        <v>59</v>
      </c>
      <c r="H1074" s="7" t="s">
        <v>26</v>
      </c>
      <c r="I1074" s="7" t="s">
        <v>27</v>
      </c>
      <c r="J1074" s="7" t="s">
        <v>28</v>
      </c>
      <c r="K1074" s="7" t="s">
        <v>29</v>
      </c>
      <c r="L1074" s="7" t="s">
        <v>30</v>
      </c>
      <c r="M1074" s="7" t="s">
        <v>31</v>
      </c>
      <c r="N1074" s="7">
        <v>126500</v>
      </c>
      <c r="O1074" s="7">
        <v>1</v>
      </c>
      <c r="P1074" s="16">
        <v>0.1</v>
      </c>
      <c r="Q1074" s="7">
        <v>15100</v>
      </c>
      <c r="R1074" s="7" t="s">
        <v>32</v>
      </c>
      <c r="S1074" s="7" t="s">
        <v>47</v>
      </c>
      <c r="T1074" s="7" t="s">
        <v>34</v>
      </c>
      <c r="U1074" s="7">
        <v>5</v>
      </c>
      <c r="V1074" s="7" t="str">
        <f>TEXT('E-Commerce Sales Data'!$B1074,"mmmm")</f>
        <v>June</v>
      </c>
      <c r="W1074" s="8">
        <f t="shared" si="64"/>
        <v>788010</v>
      </c>
      <c r="X1074">
        <f t="shared" si="65"/>
        <v>128</v>
      </c>
      <c r="Y1074">
        <f t="shared" si="66"/>
        <v>35775.9375</v>
      </c>
      <c r="Z1074">
        <f t="shared" si="67"/>
        <v>52</v>
      </c>
    </row>
    <row r="1075" spans="1:26" x14ac:dyDescent="0.25">
      <c r="A1075" s="9" t="s">
        <v>1609</v>
      </c>
      <c r="B1075" s="10">
        <v>53143</v>
      </c>
      <c r="C1075" s="11" t="s">
        <v>1610</v>
      </c>
      <c r="D1075" s="11" t="s">
        <v>1611</v>
      </c>
      <c r="E1075" s="11">
        <v>27</v>
      </c>
      <c r="F1075" s="11" t="s">
        <v>38</v>
      </c>
      <c r="G1075" s="11" t="s">
        <v>924</v>
      </c>
      <c r="H1075" s="11" t="s">
        <v>26</v>
      </c>
      <c r="I1075" s="11" t="s">
        <v>27</v>
      </c>
      <c r="J1075" s="11" t="s">
        <v>28</v>
      </c>
      <c r="K1075" s="11" t="s">
        <v>60</v>
      </c>
      <c r="L1075" s="11" t="s">
        <v>92</v>
      </c>
      <c r="M1075" s="11" t="s">
        <v>111</v>
      </c>
      <c r="N1075" s="11">
        <v>2570</v>
      </c>
      <c r="O1075" s="11">
        <v>15</v>
      </c>
      <c r="P1075" s="17">
        <v>0.05</v>
      </c>
      <c r="Q1075" s="11">
        <v>840</v>
      </c>
      <c r="R1075" s="11" t="s">
        <v>80</v>
      </c>
      <c r="S1075" s="11" t="s">
        <v>33</v>
      </c>
      <c r="T1075" s="11" t="s">
        <v>34</v>
      </c>
      <c r="U1075" s="11">
        <v>4</v>
      </c>
      <c r="V1075" s="11" t="str">
        <f>TEXT('E-Commerce Sales Data'!$B1075,"mmmm")</f>
        <v>June</v>
      </c>
      <c r="W1075" s="8">
        <f t="shared" si="64"/>
        <v>772910</v>
      </c>
      <c r="X1075">
        <f t="shared" si="65"/>
        <v>127</v>
      </c>
      <c r="Y1075">
        <f t="shared" si="66"/>
        <v>35061.574803149604</v>
      </c>
      <c r="Z1075">
        <f t="shared" si="67"/>
        <v>52</v>
      </c>
    </row>
    <row r="1076" spans="1:26" x14ac:dyDescent="0.25">
      <c r="A1076" s="5" t="s">
        <v>1612</v>
      </c>
      <c r="B1076" s="6">
        <v>53150</v>
      </c>
      <c r="C1076" s="7" t="s">
        <v>1613</v>
      </c>
      <c r="D1076" s="7" t="s">
        <v>931</v>
      </c>
      <c r="E1076" s="7">
        <v>40</v>
      </c>
      <c r="F1076" s="7" t="s">
        <v>24</v>
      </c>
      <c r="G1076" s="7" t="s">
        <v>928</v>
      </c>
      <c r="H1076" s="7" t="s">
        <v>26</v>
      </c>
      <c r="I1076" s="7" t="s">
        <v>27</v>
      </c>
      <c r="J1076" s="7" t="s">
        <v>42</v>
      </c>
      <c r="K1076" s="7" t="s">
        <v>43</v>
      </c>
      <c r="L1076" s="7" t="s">
        <v>44</v>
      </c>
      <c r="M1076" s="7" t="s">
        <v>45</v>
      </c>
      <c r="N1076" s="7">
        <v>23800</v>
      </c>
      <c r="O1076" s="7">
        <v>4</v>
      </c>
      <c r="P1076" s="16">
        <v>7.0000000000000007E-2</v>
      </c>
      <c r="Q1076" s="7">
        <v>5550</v>
      </c>
      <c r="R1076" s="7" t="s">
        <v>46</v>
      </c>
      <c r="S1076" s="7" t="s">
        <v>33</v>
      </c>
      <c r="T1076" s="7" t="s">
        <v>34</v>
      </c>
      <c r="U1076" s="7">
        <v>4</v>
      </c>
      <c r="V1076" s="7" t="str">
        <f>TEXT('E-Commerce Sales Data'!$B1076,"mmmm")</f>
        <v>July</v>
      </c>
      <c r="W1076" s="8">
        <f t="shared" si="64"/>
        <v>772070</v>
      </c>
      <c r="X1076">
        <f t="shared" si="65"/>
        <v>126</v>
      </c>
      <c r="Y1076">
        <f t="shared" si="66"/>
        <v>35319.444444444445</v>
      </c>
      <c r="Z1076">
        <f t="shared" si="67"/>
        <v>52</v>
      </c>
    </row>
    <row r="1077" spans="1:26" x14ac:dyDescent="0.25">
      <c r="A1077" s="9" t="s">
        <v>1614</v>
      </c>
      <c r="B1077" s="10">
        <v>53157</v>
      </c>
      <c r="C1077" s="11" t="s">
        <v>1615</v>
      </c>
      <c r="D1077" s="11" t="s">
        <v>1616</v>
      </c>
      <c r="E1077" s="11">
        <v>31</v>
      </c>
      <c r="F1077" s="11" t="s">
        <v>38</v>
      </c>
      <c r="G1077" s="11" t="s">
        <v>953</v>
      </c>
      <c r="H1077" s="11" t="s">
        <v>953</v>
      </c>
      <c r="I1077" s="11" t="s">
        <v>27</v>
      </c>
      <c r="J1077" s="11" t="s">
        <v>28</v>
      </c>
      <c r="K1077" s="11" t="s">
        <v>29</v>
      </c>
      <c r="L1077" s="11" t="s">
        <v>53</v>
      </c>
      <c r="M1077" s="11" t="s">
        <v>54</v>
      </c>
      <c r="N1077" s="11">
        <v>47200</v>
      </c>
      <c r="O1077" s="11">
        <v>2</v>
      </c>
      <c r="P1077" s="17">
        <v>0.05</v>
      </c>
      <c r="Q1077" s="11">
        <v>9250</v>
      </c>
      <c r="R1077" s="11" t="s">
        <v>32</v>
      </c>
      <c r="S1077" s="11" t="s">
        <v>47</v>
      </c>
      <c r="T1077" s="11" t="s">
        <v>34</v>
      </c>
      <c r="U1077" s="11">
        <v>5</v>
      </c>
      <c r="V1077" s="11" t="str">
        <f>TEXT('E-Commerce Sales Data'!$B1077,"mmmm")</f>
        <v>July</v>
      </c>
      <c r="W1077" s="8">
        <f t="shared" si="64"/>
        <v>766520</v>
      </c>
      <c r="X1077">
        <f t="shared" si="65"/>
        <v>125</v>
      </c>
      <c r="Y1077">
        <f t="shared" si="66"/>
        <v>35411.599999999999</v>
      </c>
      <c r="Z1077">
        <f t="shared" si="67"/>
        <v>52</v>
      </c>
    </row>
    <row r="1078" spans="1:26" x14ac:dyDescent="0.25">
      <c r="A1078" s="5" t="s">
        <v>1617</v>
      </c>
      <c r="B1078" s="6">
        <v>53164</v>
      </c>
      <c r="C1078" s="7" t="s">
        <v>1108</v>
      </c>
      <c r="D1078" s="7" t="s">
        <v>1618</v>
      </c>
      <c r="E1078" s="7">
        <v>43</v>
      </c>
      <c r="F1078" s="7" t="s">
        <v>24</v>
      </c>
      <c r="G1078" s="7" t="s">
        <v>1050</v>
      </c>
      <c r="H1078" s="7" t="s">
        <v>26</v>
      </c>
      <c r="I1078" s="7" t="s">
        <v>27</v>
      </c>
      <c r="J1078" s="7" t="s">
        <v>42</v>
      </c>
      <c r="K1078" s="7" t="s">
        <v>60</v>
      </c>
      <c r="L1078" s="7" t="s">
        <v>61</v>
      </c>
      <c r="M1078" s="7" t="s">
        <v>62</v>
      </c>
      <c r="N1078" s="7">
        <v>12600</v>
      </c>
      <c r="O1078" s="7">
        <v>10</v>
      </c>
      <c r="P1078" s="16">
        <v>0.03</v>
      </c>
      <c r="Q1078" s="7">
        <v>3140</v>
      </c>
      <c r="R1078" s="7" t="s">
        <v>55</v>
      </c>
      <c r="S1078" s="7" t="s">
        <v>33</v>
      </c>
      <c r="T1078" s="7" t="s">
        <v>34</v>
      </c>
      <c r="U1078" s="7">
        <v>4</v>
      </c>
      <c r="V1078" s="7" t="str">
        <f>TEXT('E-Commerce Sales Data'!$B1078,"mmmm")</f>
        <v>July</v>
      </c>
      <c r="W1078" s="8">
        <f t="shared" si="64"/>
        <v>757270</v>
      </c>
      <c r="X1078">
        <f t="shared" si="65"/>
        <v>124</v>
      </c>
      <c r="Y1078">
        <f t="shared" si="66"/>
        <v>35316.532258064515</v>
      </c>
      <c r="Z1078">
        <f t="shared" si="67"/>
        <v>52</v>
      </c>
    </row>
    <row r="1079" spans="1:26" x14ac:dyDescent="0.25">
      <c r="A1079" s="9" t="s">
        <v>1619</v>
      </c>
      <c r="B1079" s="10">
        <v>53171</v>
      </c>
      <c r="C1079" s="11" t="s">
        <v>1170</v>
      </c>
      <c r="D1079" s="11" t="s">
        <v>1620</v>
      </c>
      <c r="E1079" s="11">
        <v>24</v>
      </c>
      <c r="F1079" s="11" t="s">
        <v>38</v>
      </c>
      <c r="G1079" s="11" t="s">
        <v>1174</v>
      </c>
      <c r="H1079" s="11" t="s">
        <v>26</v>
      </c>
      <c r="I1079" s="11" t="s">
        <v>27</v>
      </c>
      <c r="J1079" s="11" t="s">
        <v>28</v>
      </c>
      <c r="K1079" s="11" t="s">
        <v>43</v>
      </c>
      <c r="L1079" s="11" t="s">
        <v>68</v>
      </c>
      <c r="M1079" s="11" t="s">
        <v>69</v>
      </c>
      <c r="N1079" s="11">
        <v>45100</v>
      </c>
      <c r="O1079" s="11">
        <v>2</v>
      </c>
      <c r="P1079" s="17">
        <v>0.1</v>
      </c>
      <c r="Q1079" s="11">
        <v>7400</v>
      </c>
      <c r="R1079" s="11" t="s">
        <v>32</v>
      </c>
      <c r="S1079" s="11" t="s">
        <v>47</v>
      </c>
      <c r="T1079" s="11" t="s">
        <v>34</v>
      </c>
      <c r="U1079" s="11">
        <v>5</v>
      </c>
      <c r="V1079" s="11" t="str">
        <f>TEXT('E-Commerce Sales Data'!$B1079,"mmmm")</f>
        <v>July</v>
      </c>
      <c r="W1079" s="8">
        <f t="shared" si="64"/>
        <v>754130</v>
      </c>
      <c r="X1079">
        <f t="shared" si="65"/>
        <v>123</v>
      </c>
      <c r="Y1079">
        <f t="shared" si="66"/>
        <v>35501.219512195123</v>
      </c>
      <c r="Z1079">
        <f t="shared" si="67"/>
        <v>52</v>
      </c>
    </row>
    <row r="1080" spans="1:26" x14ac:dyDescent="0.25">
      <c r="A1080" s="5" t="s">
        <v>1621</v>
      </c>
      <c r="B1080" s="6">
        <v>53178</v>
      </c>
      <c r="C1080" s="7" t="s">
        <v>1166</v>
      </c>
      <c r="D1080" s="7" t="s">
        <v>1622</v>
      </c>
      <c r="E1080" s="7">
        <v>48</v>
      </c>
      <c r="F1080" s="7" t="s">
        <v>24</v>
      </c>
      <c r="G1080" s="7" t="s">
        <v>59</v>
      </c>
      <c r="H1080" s="7" t="s">
        <v>26</v>
      </c>
      <c r="I1080" s="7" t="s">
        <v>27</v>
      </c>
      <c r="J1080" s="7" t="s">
        <v>42</v>
      </c>
      <c r="K1080" s="7" t="s">
        <v>29</v>
      </c>
      <c r="L1080" s="7" t="s">
        <v>53</v>
      </c>
      <c r="M1080" s="7" t="s">
        <v>75</v>
      </c>
      <c r="N1080" s="7">
        <v>7250</v>
      </c>
      <c r="O1080" s="7">
        <v>4</v>
      </c>
      <c r="P1080" s="16">
        <v>0.05</v>
      </c>
      <c r="Q1080" s="7">
        <v>1910</v>
      </c>
      <c r="R1080" s="7" t="s">
        <v>46</v>
      </c>
      <c r="S1080" s="7" t="s">
        <v>33</v>
      </c>
      <c r="T1080" s="7" t="s">
        <v>34</v>
      </c>
      <c r="U1080" s="7">
        <v>3</v>
      </c>
      <c r="V1080" s="7" t="str">
        <f>TEXT('E-Commerce Sales Data'!$B1080,"mmmm")</f>
        <v>August</v>
      </c>
      <c r="W1080" s="8">
        <f t="shared" si="64"/>
        <v>746730</v>
      </c>
      <c r="X1080">
        <f t="shared" si="65"/>
        <v>122</v>
      </c>
      <c r="Y1080">
        <f t="shared" si="66"/>
        <v>35422.540983606559</v>
      </c>
      <c r="Z1080">
        <f t="shared" si="67"/>
        <v>52</v>
      </c>
    </row>
    <row r="1081" spans="1:26" x14ac:dyDescent="0.25">
      <c r="A1081" s="9" t="s">
        <v>1623</v>
      </c>
      <c r="B1081" s="10">
        <v>53185</v>
      </c>
      <c r="C1081" s="11" t="s">
        <v>1218</v>
      </c>
      <c r="D1081" s="11" t="s">
        <v>1624</v>
      </c>
      <c r="E1081" s="11">
        <v>29</v>
      </c>
      <c r="F1081" s="11" t="s">
        <v>38</v>
      </c>
      <c r="G1081" s="11" t="s">
        <v>25</v>
      </c>
      <c r="H1081" s="11" t="s">
        <v>26</v>
      </c>
      <c r="I1081" s="11" t="s">
        <v>27</v>
      </c>
      <c r="J1081" s="11" t="s">
        <v>28</v>
      </c>
      <c r="K1081" s="11" t="s">
        <v>29</v>
      </c>
      <c r="L1081" s="11" t="s">
        <v>53</v>
      </c>
      <c r="M1081" s="11" t="s">
        <v>79</v>
      </c>
      <c r="N1081" s="11">
        <v>8400</v>
      </c>
      <c r="O1081" s="11">
        <v>7</v>
      </c>
      <c r="P1081" s="17">
        <v>0</v>
      </c>
      <c r="Q1081" s="11">
        <v>2520</v>
      </c>
      <c r="R1081" s="11" t="s">
        <v>32</v>
      </c>
      <c r="S1081" s="11" t="s">
        <v>33</v>
      </c>
      <c r="T1081" s="11" t="s">
        <v>34</v>
      </c>
      <c r="U1081" s="11">
        <v>4</v>
      </c>
      <c r="V1081" s="11" t="str">
        <f>TEXT('E-Commerce Sales Data'!$B1081,"mmmm")</f>
        <v>August</v>
      </c>
      <c r="W1081" s="8">
        <f t="shared" si="64"/>
        <v>744820</v>
      </c>
      <c r="X1081">
        <f t="shared" si="65"/>
        <v>121</v>
      </c>
      <c r="Y1081">
        <f t="shared" si="66"/>
        <v>35655.371900826445</v>
      </c>
      <c r="Z1081">
        <f t="shared" si="67"/>
        <v>52</v>
      </c>
    </row>
    <row r="1082" spans="1:26" x14ac:dyDescent="0.25">
      <c r="A1082" s="5" t="s">
        <v>1625</v>
      </c>
      <c r="B1082" s="6">
        <v>53192</v>
      </c>
      <c r="C1082" s="7" t="s">
        <v>1067</v>
      </c>
      <c r="D1082" s="7" t="s">
        <v>1626</v>
      </c>
      <c r="E1082" s="7">
        <v>36</v>
      </c>
      <c r="F1082" s="7" t="s">
        <v>24</v>
      </c>
      <c r="G1082" s="7" t="s">
        <v>914</v>
      </c>
      <c r="H1082" s="7" t="s">
        <v>26</v>
      </c>
      <c r="I1082" s="7" t="s">
        <v>27</v>
      </c>
      <c r="J1082" s="7" t="s">
        <v>28</v>
      </c>
      <c r="K1082" s="7" t="s">
        <v>29</v>
      </c>
      <c r="L1082" s="7" t="s">
        <v>30</v>
      </c>
      <c r="M1082" s="7" t="s">
        <v>31</v>
      </c>
      <c r="N1082" s="7">
        <v>128200</v>
      </c>
      <c r="O1082" s="7">
        <v>1</v>
      </c>
      <c r="P1082" s="16">
        <v>0.05</v>
      </c>
      <c r="Q1082" s="7">
        <v>16000</v>
      </c>
      <c r="R1082" s="7" t="s">
        <v>32</v>
      </c>
      <c r="S1082" s="7" t="s">
        <v>47</v>
      </c>
      <c r="T1082" s="7" t="s">
        <v>34</v>
      </c>
      <c r="U1082" s="7">
        <v>5</v>
      </c>
      <c r="V1082" s="7" t="str">
        <f>TEXT('E-Commerce Sales Data'!$B1082,"mmmm")</f>
        <v>August</v>
      </c>
      <c r="W1082" s="8">
        <f t="shared" si="64"/>
        <v>742300</v>
      </c>
      <c r="X1082">
        <f t="shared" si="65"/>
        <v>120</v>
      </c>
      <c r="Y1082">
        <f t="shared" si="66"/>
        <v>35882.5</v>
      </c>
      <c r="Z1082">
        <f t="shared" si="67"/>
        <v>52</v>
      </c>
    </row>
    <row r="1083" spans="1:26" x14ac:dyDescent="0.25">
      <c r="A1083" s="9" t="s">
        <v>1627</v>
      </c>
      <c r="B1083" s="10">
        <v>53199</v>
      </c>
      <c r="C1083" s="11" t="s">
        <v>1628</v>
      </c>
      <c r="D1083" s="11" t="s">
        <v>1629</v>
      </c>
      <c r="E1083" s="11">
        <v>28</v>
      </c>
      <c r="F1083" s="11" t="s">
        <v>38</v>
      </c>
      <c r="G1083" s="11" t="s">
        <v>59</v>
      </c>
      <c r="H1083" s="11" t="s">
        <v>26</v>
      </c>
      <c r="I1083" s="11" t="s">
        <v>27</v>
      </c>
      <c r="J1083" s="11" t="s">
        <v>42</v>
      </c>
      <c r="K1083" s="11" t="s">
        <v>43</v>
      </c>
      <c r="L1083" s="11" t="s">
        <v>44</v>
      </c>
      <c r="M1083" s="11" t="s">
        <v>45</v>
      </c>
      <c r="N1083" s="11">
        <v>21100</v>
      </c>
      <c r="O1083" s="11">
        <v>3</v>
      </c>
      <c r="P1083" s="17">
        <v>0.1</v>
      </c>
      <c r="Q1083" s="11">
        <v>4920</v>
      </c>
      <c r="R1083" s="11" t="s">
        <v>46</v>
      </c>
      <c r="S1083" s="11" t="s">
        <v>33</v>
      </c>
      <c r="T1083" s="11" t="s">
        <v>34</v>
      </c>
      <c r="U1083" s="11">
        <v>4</v>
      </c>
      <c r="V1083" s="11" t="str">
        <f>TEXT('E-Commerce Sales Data'!$B1083,"mmmm")</f>
        <v>August</v>
      </c>
      <c r="W1083" s="8">
        <f t="shared" si="64"/>
        <v>726300</v>
      </c>
      <c r="X1083">
        <f t="shared" si="65"/>
        <v>119</v>
      </c>
      <c r="Y1083">
        <f t="shared" si="66"/>
        <v>35106.722689075628</v>
      </c>
      <c r="Z1083">
        <f t="shared" si="67"/>
        <v>52</v>
      </c>
    </row>
    <row r="1084" spans="1:26" x14ac:dyDescent="0.25">
      <c r="A1084" s="5" t="s">
        <v>1630</v>
      </c>
      <c r="B1084" s="6">
        <v>53206</v>
      </c>
      <c r="C1084" s="7" t="s">
        <v>1047</v>
      </c>
      <c r="D1084" s="7" t="s">
        <v>1562</v>
      </c>
      <c r="E1084" s="7">
        <v>34</v>
      </c>
      <c r="F1084" s="7" t="s">
        <v>24</v>
      </c>
      <c r="G1084" s="7" t="s">
        <v>25</v>
      </c>
      <c r="H1084" s="7" t="s">
        <v>26</v>
      </c>
      <c r="I1084" s="7" t="s">
        <v>27</v>
      </c>
      <c r="J1084" s="7" t="s">
        <v>28</v>
      </c>
      <c r="K1084" s="7" t="s">
        <v>29</v>
      </c>
      <c r="L1084" s="7" t="s">
        <v>53</v>
      </c>
      <c r="M1084" s="7" t="s">
        <v>54</v>
      </c>
      <c r="N1084" s="7">
        <v>48100</v>
      </c>
      <c r="O1084" s="7">
        <v>2</v>
      </c>
      <c r="P1084" s="16">
        <v>0.05</v>
      </c>
      <c r="Q1084" s="7">
        <v>9450</v>
      </c>
      <c r="R1084" s="7" t="s">
        <v>55</v>
      </c>
      <c r="S1084" s="7" t="s">
        <v>33</v>
      </c>
      <c r="T1084" s="7" t="s">
        <v>34</v>
      </c>
      <c r="U1084" s="7">
        <v>4</v>
      </c>
      <c r="V1084" s="7" t="str">
        <f>TEXT('E-Commerce Sales Data'!$B1084,"mmmm")</f>
        <v>September</v>
      </c>
      <c r="W1084" s="8">
        <f t="shared" si="64"/>
        <v>721380</v>
      </c>
      <c r="X1084">
        <f t="shared" si="65"/>
        <v>118</v>
      </c>
      <c r="Y1084">
        <f t="shared" si="66"/>
        <v>35225.423728813563</v>
      </c>
      <c r="Z1084">
        <f t="shared" si="67"/>
        <v>52</v>
      </c>
    </row>
    <row r="1085" spans="1:26" x14ac:dyDescent="0.25">
      <c r="A1085" s="9" t="s">
        <v>1631</v>
      </c>
      <c r="B1085" s="10">
        <v>53213</v>
      </c>
      <c r="C1085" s="11" t="s">
        <v>1632</v>
      </c>
      <c r="D1085" s="11" t="s">
        <v>1506</v>
      </c>
      <c r="E1085" s="11">
        <v>30</v>
      </c>
      <c r="F1085" s="11" t="s">
        <v>38</v>
      </c>
      <c r="G1085" s="11" t="s">
        <v>924</v>
      </c>
      <c r="H1085" s="11" t="s">
        <v>26</v>
      </c>
      <c r="I1085" s="11" t="s">
        <v>27</v>
      </c>
      <c r="J1085" s="11" t="s">
        <v>28</v>
      </c>
      <c r="K1085" s="11" t="s">
        <v>60</v>
      </c>
      <c r="L1085" s="11" t="s">
        <v>61</v>
      </c>
      <c r="M1085" s="11" t="s">
        <v>86</v>
      </c>
      <c r="N1085" s="11">
        <v>1380</v>
      </c>
      <c r="O1085" s="11">
        <v>20</v>
      </c>
      <c r="P1085" s="17">
        <v>0.02</v>
      </c>
      <c r="Q1085" s="11">
        <v>410</v>
      </c>
      <c r="R1085" s="11" t="s">
        <v>32</v>
      </c>
      <c r="S1085" s="11" t="s">
        <v>33</v>
      </c>
      <c r="T1085" s="11" t="s">
        <v>34</v>
      </c>
      <c r="U1085" s="11">
        <v>5</v>
      </c>
      <c r="V1085" s="11" t="str">
        <f>TEXT('E-Commerce Sales Data'!$B1085,"mmmm")</f>
        <v>September</v>
      </c>
      <c r="W1085" s="8">
        <f t="shared" si="64"/>
        <v>711930</v>
      </c>
      <c r="X1085">
        <f t="shared" si="65"/>
        <v>117</v>
      </c>
      <c r="Y1085">
        <f t="shared" si="66"/>
        <v>35115.384615384617</v>
      </c>
      <c r="Z1085">
        <f t="shared" si="67"/>
        <v>52</v>
      </c>
    </row>
    <row r="1086" spans="1:26" x14ac:dyDescent="0.25">
      <c r="A1086" s="5" t="s">
        <v>1633</v>
      </c>
      <c r="B1086" s="6">
        <v>53220</v>
      </c>
      <c r="C1086" s="7" t="s">
        <v>1634</v>
      </c>
      <c r="D1086" s="7" t="s">
        <v>988</v>
      </c>
      <c r="E1086" s="7">
        <v>45</v>
      </c>
      <c r="F1086" s="7" t="s">
        <v>24</v>
      </c>
      <c r="G1086" s="7" t="s">
        <v>59</v>
      </c>
      <c r="H1086" s="7" t="s">
        <v>26</v>
      </c>
      <c r="I1086" s="7" t="s">
        <v>27</v>
      </c>
      <c r="J1086" s="7" t="s">
        <v>42</v>
      </c>
      <c r="K1086" s="7" t="s">
        <v>43</v>
      </c>
      <c r="L1086" s="7" t="s">
        <v>68</v>
      </c>
      <c r="M1086" s="7" t="s">
        <v>69</v>
      </c>
      <c r="N1086" s="7">
        <v>48200</v>
      </c>
      <c r="O1086" s="7">
        <v>2</v>
      </c>
      <c r="P1086" s="16">
        <v>0.08</v>
      </c>
      <c r="Q1086" s="7">
        <v>8300</v>
      </c>
      <c r="R1086" s="7" t="s">
        <v>46</v>
      </c>
      <c r="S1086" s="7" t="s">
        <v>47</v>
      </c>
      <c r="T1086" s="7" t="s">
        <v>34</v>
      </c>
      <c r="U1086" s="7">
        <v>4</v>
      </c>
      <c r="V1086" s="7" t="str">
        <f>TEXT('E-Commerce Sales Data'!$B1086,"mmmm")</f>
        <v>September</v>
      </c>
      <c r="W1086" s="8">
        <f t="shared" si="64"/>
        <v>711520</v>
      </c>
      <c r="X1086">
        <f t="shared" si="65"/>
        <v>116</v>
      </c>
      <c r="Y1086">
        <f t="shared" si="66"/>
        <v>35406.206896551725</v>
      </c>
      <c r="Z1086">
        <f t="shared" si="67"/>
        <v>52</v>
      </c>
    </row>
    <row r="1087" spans="1:26" x14ac:dyDescent="0.25">
      <c r="A1087" s="9" t="s">
        <v>1635</v>
      </c>
      <c r="B1087" s="10">
        <v>53227</v>
      </c>
      <c r="C1087" s="11" t="s">
        <v>1116</v>
      </c>
      <c r="D1087" s="11" t="s">
        <v>1027</v>
      </c>
      <c r="E1087" s="11">
        <v>26</v>
      </c>
      <c r="F1087" s="11" t="s">
        <v>38</v>
      </c>
      <c r="G1087" s="11" t="s">
        <v>953</v>
      </c>
      <c r="H1087" s="11" t="s">
        <v>953</v>
      </c>
      <c r="I1087" s="11" t="s">
        <v>27</v>
      </c>
      <c r="J1087" s="11" t="s">
        <v>28</v>
      </c>
      <c r="K1087" s="11" t="s">
        <v>29</v>
      </c>
      <c r="L1087" s="11" t="s">
        <v>53</v>
      </c>
      <c r="M1087" s="11" t="s">
        <v>75</v>
      </c>
      <c r="N1087" s="11">
        <v>6900</v>
      </c>
      <c r="O1087" s="11">
        <v>3</v>
      </c>
      <c r="P1087" s="17">
        <v>0.05</v>
      </c>
      <c r="Q1087" s="11">
        <v>1840</v>
      </c>
      <c r="R1087" s="11" t="s">
        <v>32</v>
      </c>
      <c r="S1087" s="11" t="s">
        <v>33</v>
      </c>
      <c r="T1087" s="11" t="s">
        <v>34</v>
      </c>
      <c r="U1087" s="11">
        <v>4</v>
      </c>
      <c r="V1087" s="11" t="str">
        <f>TEXT('E-Commerce Sales Data'!$B1087,"mmmm")</f>
        <v>September</v>
      </c>
      <c r="W1087" s="8">
        <f t="shared" si="64"/>
        <v>703220</v>
      </c>
      <c r="X1087">
        <f t="shared" si="65"/>
        <v>115</v>
      </c>
      <c r="Y1087">
        <f t="shared" si="66"/>
        <v>35294.956521739128</v>
      </c>
      <c r="Z1087">
        <f t="shared" si="67"/>
        <v>52</v>
      </c>
    </row>
    <row r="1088" spans="1:26" x14ac:dyDescent="0.25">
      <c r="A1088" s="5" t="s">
        <v>1636</v>
      </c>
      <c r="B1088" s="6">
        <v>53234</v>
      </c>
      <c r="C1088" s="7" t="s">
        <v>1637</v>
      </c>
      <c r="D1088" s="7" t="s">
        <v>923</v>
      </c>
      <c r="E1088" s="7">
        <v>38</v>
      </c>
      <c r="F1088" s="7" t="s">
        <v>24</v>
      </c>
      <c r="G1088" s="7" t="s">
        <v>914</v>
      </c>
      <c r="H1088" s="7" t="s">
        <v>26</v>
      </c>
      <c r="I1088" s="7" t="s">
        <v>27</v>
      </c>
      <c r="J1088" s="7" t="s">
        <v>28</v>
      </c>
      <c r="K1088" s="7" t="s">
        <v>29</v>
      </c>
      <c r="L1088" s="7" t="s">
        <v>53</v>
      </c>
      <c r="M1088" s="7" t="s">
        <v>79</v>
      </c>
      <c r="N1088" s="7">
        <v>8550</v>
      </c>
      <c r="O1088" s="7">
        <v>6</v>
      </c>
      <c r="P1088" s="16">
        <v>0</v>
      </c>
      <c r="Q1088" s="7">
        <v>2570</v>
      </c>
      <c r="R1088" s="7" t="s">
        <v>80</v>
      </c>
      <c r="S1088" s="7" t="s">
        <v>33</v>
      </c>
      <c r="T1088" s="7" t="s">
        <v>34</v>
      </c>
      <c r="U1088" s="7">
        <v>3</v>
      </c>
      <c r="V1088" s="7" t="str">
        <f>TEXT('E-Commerce Sales Data'!$B1088,"mmmm")</f>
        <v>September</v>
      </c>
      <c r="W1088" s="8">
        <f t="shared" si="64"/>
        <v>701380</v>
      </c>
      <c r="X1088">
        <f t="shared" si="65"/>
        <v>114</v>
      </c>
      <c r="Y1088">
        <f t="shared" si="66"/>
        <v>35544.035087719298</v>
      </c>
      <c r="Z1088">
        <f t="shared" si="67"/>
        <v>52</v>
      </c>
    </row>
    <row r="1089" spans="1:26" x14ac:dyDescent="0.25">
      <c r="A1089" s="9" t="s">
        <v>1638</v>
      </c>
      <c r="B1089" s="10">
        <v>53241</v>
      </c>
      <c r="C1089" s="11" t="s">
        <v>1639</v>
      </c>
      <c r="D1089" s="11" t="s">
        <v>23</v>
      </c>
      <c r="E1089" s="11">
        <v>32</v>
      </c>
      <c r="F1089" s="11" t="s">
        <v>38</v>
      </c>
      <c r="G1089" s="11" t="s">
        <v>928</v>
      </c>
      <c r="H1089" s="11" t="s">
        <v>26</v>
      </c>
      <c r="I1089" s="11" t="s">
        <v>27</v>
      </c>
      <c r="J1089" s="11" t="s">
        <v>42</v>
      </c>
      <c r="K1089" s="11" t="s">
        <v>60</v>
      </c>
      <c r="L1089" s="11" t="s">
        <v>61</v>
      </c>
      <c r="M1089" s="11" t="s">
        <v>62</v>
      </c>
      <c r="N1089" s="11">
        <v>12800</v>
      </c>
      <c r="O1089" s="11">
        <v>10</v>
      </c>
      <c r="P1089" s="17">
        <v>0.02</v>
      </c>
      <c r="Q1089" s="11">
        <v>3180</v>
      </c>
      <c r="R1089" s="11" t="s">
        <v>32</v>
      </c>
      <c r="S1089" s="11" t="s">
        <v>33</v>
      </c>
      <c r="T1089" s="11" t="s">
        <v>34</v>
      </c>
      <c r="U1089" s="11">
        <v>5</v>
      </c>
      <c r="V1089" s="11" t="str">
        <f>TEXT('E-Commerce Sales Data'!$B1089,"mmmm")</f>
        <v>October</v>
      </c>
      <c r="W1089" s="8">
        <f t="shared" si="64"/>
        <v>698810</v>
      </c>
      <c r="X1089">
        <f t="shared" si="65"/>
        <v>113</v>
      </c>
      <c r="Y1089">
        <f t="shared" si="66"/>
        <v>35782.920353982299</v>
      </c>
      <c r="Z1089">
        <f t="shared" si="67"/>
        <v>52</v>
      </c>
    </row>
    <row r="1090" spans="1:26" x14ac:dyDescent="0.25">
      <c r="A1090" s="5" t="s">
        <v>1640</v>
      </c>
      <c r="B1090" s="6">
        <v>53248</v>
      </c>
      <c r="C1090" s="7" t="s">
        <v>1641</v>
      </c>
      <c r="D1090" s="7" t="s">
        <v>1642</v>
      </c>
      <c r="E1090" s="7">
        <v>41</v>
      </c>
      <c r="F1090" s="7" t="s">
        <v>24</v>
      </c>
      <c r="G1090" s="7" t="s">
        <v>932</v>
      </c>
      <c r="H1090" s="7" t="s">
        <v>26</v>
      </c>
      <c r="I1090" s="7" t="s">
        <v>27</v>
      </c>
      <c r="J1090" s="7" t="s">
        <v>42</v>
      </c>
      <c r="K1090" s="7" t="s">
        <v>43</v>
      </c>
      <c r="L1090" s="7" t="s">
        <v>92</v>
      </c>
      <c r="M1090" s="7" t="s">
        <v>93</v>
      </c>
      <c r="N1090" s="7">
        <v>30300</v>
      </c>
      <c r="O1090" s="7">
        <v>1</v>
      </c>
      <c r="P1090" s="16">
        <v>0.1</v>
      </c>
      <c r="Q1090" s="7">
        <v>5480</v>
      </c>
      <c r="R1090" s="7" t="s">
        <v>46</v>
      </c>
      <c r="S1090" s="7" t="s">
        <v>47</v>
      </c>
      <c r="T1090" s="7" t="s">
        <v>34</v>
      </c>
      <c r="U1090" s="7">
        <v>4</v>
      </c>
      <c r="V1090" s="7" t="str">
        <f>TEXT('E-Commerce Sales Data'!$B1090,"mmmm")</f>
        <v>October</v>
      </c>
      <c r="W1090" s="8">
        <f t="shared" si="64"/>
        <v>695630</v>
      </c>
      <c r="X1090">
        <f t="shared" si="65"/>
        <v>112</v>
      </c>
      <c r="Y1090">
        <f t="shared" si="66"/>
        <v>35988.125</v>
      </c>
      <c r="Z1090">
        <f t="shared" si="67"/>
        <v>52</v>
      </c>
    </row>
    <row r="1091" spans="1:26" x14ac:dyDescent="0.25">
      <c r="A1091" s="9" t="s">
        <v>1643</v>
      </c>
      <c r="B1091" s="10">
        <v>53255</v>
      </c>
      <c r="C1091" s="11" t="s">
        <v>1170</v>
      </c>
      <c r="D1091" s="11" t="s">
        <v>1644</v>
      </c>
      <c r="E1091" s="11">
        <v>27</v>
      </c>
      <c r="F1091" s="11" t="s">
        <v>38</v>
      </c>
      <c r="G1091" s="11" t="s">
        <v>78</v>
      </c>
      <c r="H1091" s="11" t="s">
        <v>26</v>
      </c>
      <c r="I1091" s="11" t="s">
        <v>27</v>
      </c>
      <c r="J1091" s="11" t="s">
        <v>28</v>
      </c>
      <c r="K1091" s="11" t="s">
        <v>29</v>
      </c>
      <c r="L1091" s="11" t="s">
        <v>96</v>
      </c>
      <c r="M1091" s="11" t="s">
        <v>97</v>
      </c>
      <c r="N1091" s="11">
        <v>32600</v>
      </c>
      <c r="O1091" s="11">
        <v>2</v>
      </c>
      <c r="P1091" s="17">
        <v>0.05</v>
      </c>
      <c r="Q1091" s="11">
        <v>6200</v>
      </c>
      <c r="R1091" s="11" t="s">
        <v>32</v>
      </c>
      <c r="S1091" s="11" t="s">
        <v>33</v>
      </c>
      <c r="T1091" s="11" t="s">
        <v>34</v>
      </c>
      <c r="U1091" s="11">
        <v>4</v>
      </c>
      <c r="V1091" s="11" t="str">
        <f>TEXT('E-Commerce Sales Data'!$B1091,"mmmm")</f>
        <v>October</v>
      </c>
      <c r="W1091" s="8">
        <f t="shared" ref="W1091:W1154" si="68">SUM(Q1091:Q2290)</f>
        <v>690150</v>
      </c>
      <c r="X1091">
        <f t="shared" ref="X1091:X1154" si="69">COUNT(E1091:E2290)</f>
        <v>111</v>
      </c>
      <c r="Y1091">
        <f t="shared" ref="Y1091:Y1154" si="70">AVERAGE(N1091:N2290)</f>
        <v>36039.369369369371</v>
      </c>
      <c r="Z1091">
        <f t="shared" ref="Z1091:Z1154" si="71">MAX(E1091:E2290)</f>
        <v>52</v>
      </c>
    </row>
    <row r="1092" spans="1:26" x14ac:dyDescent="0.25">
      <c r="A1092" s="5" t="s">
        <v>1645</v>
      </c>
      <c r="B1092" s="6">
        <v>53262</v>
      </c>
      <c r="C1092" s="7" t="s">
        <v>1646</v>
      </c>
      <c r="D1092" s="7" t="s">
        <v>1647</v>
      </c>
      <c r="E1092" s="7">
        <v>35</v>
      </c>
      <c r="F1092" s="7" t="s">
        <v>24</v>
      </c>
      <c r="G1092" s="7" t="s">
        <v>59</v>
      </c>
      <c r="H1092" s="7" t="s">
        <v>26</v>
      </c>
      <c r="I1092" s="7" t="s">
        <v>27</v>
      </c>
      <c r="J1092" s="7" t="s">
        <v>28</v>
      </c>
      <c r="K1092" s="7" t="s">
        <v>60</v>
      </c>
      <c r="L1092" s="7" t="s">
        <v>53</v>
      </c>
      <c r="M1092" s="7" t="s">
        <v>103</v>
      </c>
      <c r="N1092" s="7">
        <v>1950</v>
      </c>
      <c r="O1092" s="7">
        <v>25</v>
      </c>
      <c r="P1092" s="16">
        <v>0</v>
      </c>
      <c r="Q1092" s="7">
        <v>600</v>
      </c>
      <c r="R1092" s="7" t="s">
        <v>55</v>
      </c>
      <c r="S1092" s="7" t="s">
        <v>33</v>
      </c>
      <c r="T1092" s="7" t="s">
        <v>34</v>
      </c>
      <c r="U1092" s="7">
        <v>5</v>
      </c>
      <c r="V1092" s="7" t="str">
        <f>TEXT('E-Commerce Sales Data'!$B1092,"mmmm")</f>
        <v>October</v>
      </c>
      <c r="W1092" s="8">
        <f t="shared" si="68"/>
        <v>683950</v>
      </c>
      <c r="X1092">
        <f t="shared" si="69"/>
        <v>110</v>
      </c>
      <c r="Y1092">
        <f t="shared" si="70"/>
        <v>36070.63636363636</v>
      </c>
      <c r="Z1092">
        <f t="shared" si="71"/>
        <v>52</v>
      </c>
    </row>
    <row r="1093" spans="1:26" x14ac:dyDescent="0.25">
      <c r="A1093" s="9" t="s">
        <v>1648</v>
      </c>
      <c r="B1093" s="10">
        <v>53269</v>
      </c>
      <c r="C1093" s="11" t="s">
        <v>1649</v>
      </c>
      <c r="D1093" s="11" t="s">
        <v>1493</v>
      </c>
      <c r="E1093" s="11">
        <v>39</v>
      </c>
      <c r="F1093" s="11" t="s">
        <v>38</v>
      </c>
      <c r="G1093" s="11" t="s">
        <v>25</v>
      </c>
      <c r="H1093" s="11" t="s">
        <v>26</v>
      </c>
      <c r="I1093" s="11" t="s">
        <v>27</v>
      </c>
      <c r="J1093" s="11" t="s">
        <v>42</v>
      </c>
      <c r="K1093" s="11" t="s">
        <v>43</v>
      </c>
      <c r="L1093" s="11" t="s">
        <v>68</v>
      </c>
      <c r="M1093" s="11" t="s">
        <v>106</v>
      </c>
      <c r="N1093" s="11">
        <v>47900</v>
      </c>
      <c r="O1093" s="11">
        <v>1</v>
      </c>
      <c r="P1093" s="17">
        <v>0.08</v>
      </c>
      <c r="Q1093" s="11">
        <v>10050</v>
      </c>
      <c r="R1093" s="11" t="s">
        <v>46</v>
      </c>
      <c r="S1093" s="11" t="s">
        <v>47</v>
      </c>
      <c r="T1093" s="11" t="s">
        <v>34</v>
      </c>
      <c r="U1093" s="11">
        <v>4</v>
      </c>
      <c r="V1093" s="11" t="str">
        <f>TEXT('E-Commerce Sales Data'!$B1093,"mmmm")</f>
        <v>November</v>
      </c>
      <c r="W1093" s="8">
        <f t="shared" si="68"/>
        <v>683350</v>
      </c>
      <c r="X1093">
        <f t="shared" si="69"/>
        <v>109</v>
      </c>
      <c r="Y1093">
        <f t="shared" si="70"/>
        <v>36383.66972477064</v>
      </c>
      <c r="Z1093">
        <f t="shared" si="71"/>
        <v>52</v>
      </c>
    </row>
    <row r="1094" spans="1:26" x14ac:dyDescent="0.25">
      <c r="A1094" s="5" t="s">
        <v>1650</v>
      </c>
      <c r="B1094" s="6">
        <v>53276</v>
      </c>
      <c r="C1094" s="7" t="s">
        <v>1651</v>
      </c>
      <c r="D1094" s="7" t="s">
        <v>1161</v>
      </c>
      <c r="E1094" s="7">
        <v>31</v>
      </c>
      <c r="F1094" s="7" t="s">
        <v>24</v>
      </c>
      <c r="G1094" s="7" t="s">
        <v>924</v>
      </c>
      <c r="H1094" s="7" t="s">
        <v>26</v>
      </c>
      <c r="I1094" s="7" t="s">
        <v>27</v>
      </c>
      <c r="J1094" s="7" t="s">
        <v>28</v>
      </c>
      <c r="K1094" s="7" t="s">
        <v>29</v>
      </c>
      <c r="L1094" s="7" t="s">
        <v>30</v>
      </c>
      <c r="M1094" s="7" t="s">
        <v>31</v>
      </c>
      <c r="N1094" s="7">
        <v>130800</v>
      </c>
      <c r="O1094" s="7">
        <v>1</v>
      </c>
      <c r="P1094" s="16">
        <v>0.1</v>
      </c>
      <c r="Q1094" s="7">
        <v>15300</v>
      </c>
      <c r="R1094" s="7" t="s">
        <v>32</v>
      </c>
      <c r="S1094" s="7" t="s">
        <v>47</v>
      </c>
      <c r="T1094" s="7" t="s">
        <v>34</v>
      </c>
      <c r="U1094" s="7">
        <v>5</v>
      </c>
      <c r="V1094" s="7" t="str">
        <f>TEXT('E-Commerce Sales Data'!$B1094,"mmmm")</f>
        <v>November</v>
      </c>
      <c r="W1094" s="8">
        <f t="shared" si="68"/>
        <v>673300</v>
      </c>
      <c r="X1094">
        <f t="shared" si="69"/>
        <v>108</v>
      </c>
      <c r="Y1094">
        <f t="shared" si="70"/>
        <v>36277.037037037036</v>
      </c>
      <c r="Z1094">
        <f t="shared" si="71"/>
        <v>52</v>
      </c>
    </row>
    <row r="1095" spans="1:26" x14ac:dyDescent="0.25">
      <c r="A1095" s="9" t="s">
        <v>1652</v>
      </c>
      <c r="B1095" s="10">
        <v>53283</v>
      </c>
      <c r="C1095" s="11" t="s">
        <v>1653</v>
      </c>
      <c r="D1095" s="11" t="s">
        <v>1654</v>
      </c>
      <c r="E1095" s="11">
        <v>25</v>
      </c>
      <c r="F1095" s="11" t="s">
        <v>38</v>
      </c>
      <c r="G1095" s="11" t="s">
        <v>1168</v>
      </c>
      <c r="H1095" s="11" t="s">
        <v>26</v>
      </c>
      <c r="I1095" s="11" t="s">
        <v>27</v>
      </c>
      <c r="J1095" s="11" t="s">
        <v>28</v>
      </c>
      <c r="K1095" s="11" t="s">
        <v>60</v>
      </c>
      <c r="L1095" s="11" t="s">
        <v>92</v>
      </c>
      <c r="M1095" s="11" t="s">
        <v>111</v>
      </c>
      <c r="N1095" s="11">
        <v>2650</v>
      </c>
      <c r="O1095" s="11">
        <v>15</v>
      </c>
      <c r="P1095" s="17">
        <v>0.05</v>
      </c>
      <c r="Q1095" s="11">
        <v>870</v>
      </c>
      <c r="R1095" s="11" t="s">
        <v>80</v>
      </c>
      <c r="S1095" s="11" t="s">
        <v>33</v>
      </c>
      <c r="T1095" s="11" t="s">
        <v>34</v>
      </c>
      <c r="U1095" s="11">
        <v>4</v>
      </c>
      <c r="V1095" s="11" t="str">
        <f>TEXT('E-Commerce Sales Data'!$B1095,"mmmm")</f>
        <v>November</v>
      </c>
      <c r="W1095" s="8">
        <f t="shared" si="68"/>
        <v>658000</v>
      </c>
      <c r="X1095">
        <f t="shared" si="69"/>
        <v>107</v>
      </c>
      <c r="Y1095">
        <f t="shared" si="70"/>
        <v>35393.644859813081</v>
      </c>
      <c r="Z1095">
        <f t="shared" si="71"/>
        <v>52</v>
      </c>
    </row>
    <row r="1096" spans="1:26" x14ac:dyDescent="0.25">
      <c r="A1096" s="5" t="s">
        <v>1655</v>
      </c>
      <c r="B1096" s="6">
        <v>53290</v>
      </c>
      <c r="C1096" s="7" t="s">
        <v>1150</v>
      </c>
      <c r="D1096" s="7" t="s">
        <v>1167</v>
      </c>
      <c r="E1096" s="7">
        <v>44</v>
      </c>
      <c r="F1096" s="7" t="s">
        <v>24</v>
      </c>
      <c r="G1096" s="7" t="s">
        <v>59</v>
      </c>
      <c r="H1096" s="7" t="s">
        <v>26</v>
      </c>
      <c r="I1096" s="7" t="s">
        <v>27</v>
      </c>
      <c r="J1096" s="7" t="s">
        <v>42</v>
      </c>
      <c r="K1096" s="7" t="s">
        <v>43</v>
      </c>
      <c r="L1096" s="7" t="s">
        <v>44</v>
      </c>
      <c r="M1096" s="7" t="s">
        <v>45</v>
      </c>
      <c r="N1096" s="7">
        <v>24600</v>
      </c>
      <c r="O1096" s="7">
        <v>4</v>
      </c>
      <c r="P1096" s="16">
        <v>7.0000000000000007E-2</v>
      </c>
      <c r="Q1096" s="7">
        <v>5750</v>
      </c>
      <c r="R1096" s="7" t="s">
        <v>46</v>
      </c>
      <c r="S1096" s="7" t="s">
        <v>33</v>
      </c>
      <c r="T1096" s="7" t="s">
        <v>34</v>
      </c>
      <c r="U1096" s="7">
        <v>4</v>
      </c>
      <c r="V1096" s="7" t="str">
        <f>TEXT('E-Commerce Sales Data'!$B1096,"mmmm")</f>
        <v>November</v>
      </c>
      <c r="W1096" s="8">
        <f t="shared" si="68"/>
        <v>657130</v>
      </c>
      <c r="X1096">
        <f t="shared" si="69"/>
        <v>106</v>
      </c>
      <c r="Y1096">
        <f t="shared" si="70"/>
        <v>35702.547169811318</v>
      </c>
      <c r="Z1096">
        <f t="shared" si="71"/>
        <v>52</v>
      </c>
    </row>
    <row r="1097" spans="1:26" x14ac:dyDescent="0.25">
      <c r="A1097" s="9" t="s">
        <v>1656</v>
      </c>
      <c r="B1097" s="10">
        <v>53297</v>
      </c>
      <c r="C1097" s="11" t="s">
        <v>1657</v>
      </c>
      <c r="D1097" s="11" t="s">
        <v>1244</v>
      </c>
      <c r="E1097" s="11">
        <v>29</v>
      </c>
      <c r="F1097" s="11" t="s">
        <v>38</v>
      </c>
      <c r="G1097" s="11" t="s">
        <v>914</v>
      </c>
      <c r="H1097" s="11" t="s">
        <v>26</v>
      </c>
      <c r="I1097" s="11" t="s">
        <v>27</v>
      </c>
      <c r="J1097" s="11" t="s">
        <v>28</v>
      </c>
      <c r="K1097" s="11" t="s">
        <v>29</v>
      </c>
      <c r="L1097" s="11" t="s">
        <v>53</v>
      </c>
      <c r="M1097" s="11" t="s">
        <v>54</v>
      </c>
      <c r="N1097" s="11">
        <v>49000</v>
      </c>
      <c r="O1097" s="11">
        <v>2</v>
      </c>
      <c r="P1097" s="17">
        <v>0.05</v>
      </c>
      <c r="Q1097" s="11">
        <v>9650</v>
      </c>
      <c r="R1097" s="11" t="s">
        <v>32</v>
      </c>
      <c r="S1097" s="11" t="s">
        <v>47</v>
      </c>
      <c r="T1097" s="11" t="s">
        <v>34</v>
      </c>
      <c r="U1097" s="11">
        <v>5</v>
      </c>
      <c r="V1097" s="11" t="str">
        <f>TEXT('E-Commerce Sales Data'!$B1097,"mmmm")</f>
        <v>December</v>
      </c>
      <c r="W1097" s="8">
        <f t="shared" si="68"/>
        <v>651380</v>
      </c>
      <c r="X1097">
        <f t="shared" si="69"/>
        <v>105</v>
      </c>
      <c r="Y1097">
        <f t="shared" si="70"/>
        <v>35808.285714285717</v>
      </c>
      <c r="Z1097">
        <f t="shared" si="71"/>
        <v>52</v>
      </c>
    </row>
    <row r="1098" spans="1:26" x14ac:dyDescent="0.25">
      <c r="A1098" s="5" t="s">
        <v>1658</v>
      </c>
      <c r="B1098" s="6">
        <v>53304</v>
      </c>
      <c r="C1098" s="7" t="s">
        <v>946</v>
      </c>
      <c r="D1098" s="7" t="s">
        <v>1506</v>
      </c>
      <c r="E1098" s="7">
        <v>37</v>
      </c>
      <c r="F1098" s="7" t="s">
        <v>24</v>
      </c>
      <c r="G1098" s="7" t="s">
        <v>25</v>
      </c>
      <c r="H1098" s="7" t="s">
        <v>26</v>
      </c>
      <c r="I1098" s="7" t="s">
        <v>27</v>
      </c>
      <c r="J1098" s="7" t="s">
        <v>42</v>
      </c>
      <c r="K1098" s="7" t="s">
        <v>60</v>
      </c>
      <c r="L1098" s="7" t="s">
        <v>61</v>
      </c>
      <c r="M1098" s="7" t="s">
        <v>62</v>
      </c>
      <c r="N1098" s="7">
        <v>13000</v>
      </c>
      <c r="O1098" s="7">
        <v>10</v>
      </c>
      <c r="P1098" s="16">
        <v>0.03</v>
      </c>
      <c r="Q1098" s="7">
        <v>3220</v>
      </c>
      <c r="R1098" s="7" t="s">
        <v>55</v>
      </c>
      <c r="S1098" s="7" t="s">
        <v>33</v>
      </c>
      <c r="T1098" s="7" t="s">
        <v>34</v>
      </c>
      <c r="U1098" s="7">
        <v>4</v>
      </c>
      <c r="V1098" s="7" t="str">
        <f>TEXT('E-Commerce Sales Data'!$B1098,"mmmm")</f>
        <v>December</v>
      </c>
      <c r="W1098" s="8">
        <f t="shared" si="68"/>
        <v>641730</v>
      </c>
      <c r="X1098">
        <f t="shared" si="69"/>
        <v>104</v>
      </c>
      <c r="Y1098">
        <f t="shared" si="70"/>
        <v>35681.442307692305</v>
      </c>
      <c r="Z1098">
        <f t="shared" si="71"/>
        <v>52</v>
      </c>
    </row>
    <row r="1099" spans="1:26" x14ac:dyDescent="0.25">
      <c r="A1099" s="9" t="s">
        <v>1659</v>
      </c>
      <c r="B1099" s="10">
        <v>53311</v>
      </c>
      <c r="C1099" s="11" t="s">
        <v>1574</v>
      </c>
      <c r="D1099" s="11" t="s">
        <v>907</v>
      </c>
      <c r="E1099" s="11">
        <v>33</v>
      </c>
      <c r="F1099" s="11" t="s">
        <v>38</v>
      </c>
      <c r="G1099" s="11" t="s">
        <v>59</v>
      </c>
      <c r="H1099" s="11" t="s">
        <v>26</v>
      </c>
      <c r="I1099" s="11" t="s">
        <v>27</v>
      </c>
      <c r="J1099" s="11" t="s">
        <v>28</v>
      </c>
      <c r="K1099" s="11" t="s">
        <v>43</v>
      </c>
      <c r="L1099" s="11" t="s">
        <v>68</v>
      </c>
      <c r="M1099" s="11" t="s">
        <v>69</v>
      </c>
      <c r="N1099" s="11">
        <v>46300</v>
      </c>
      <c r="O1099" s="11">
        <v>2</v>
      </c>
      <c r="P1099" s="17">
        <v>0.1</v>
      </c>
      <c r="Q1099" s="11">
        <v>7600</v>
      </c>
      <c r="R1099" s="11" t="s">
        <v>32</v>
      </c>
      <c r="S1099" s="11" t="s">
        <v>47</v>
      </c>
      <c r="T1099" s="11" t="s">
        <v>34</v>
      </c>
      <c r="U1099" s="11">
        <v>5</v>
      </c>
      <c r="V1099" s="11" t="str">
        <f>TEXT('E-Commerce Sales Data'!$B1099,"mmmm")</f>
        <v>December</v>
      </c>
      <c r="W1099" s="8">
        <f t="shared" si="68"/>
        <v>638510</v>
      </c>
      <c r="X1099">
        <f t="shared" si="69"/>
        <v>103</v>
      </c>
      <c r="Y1099">
        <f t="shared" si="70"/>
        <v>35901.65048543689</v>
      </c>
      <c r="Z1099">
        <f t="shared" si="71"/>
        <v>52</v>
      </c>
    </row>
    <row r="1100" spans="1:26" x14ac:dyDescent="0.25">
      <c r="A1100" s="5" t="s">
        <v>1660</v>
      </c>
      <c r="B1100" s="6">
        <v>53318</v>
      </c>
      <c r="C1100" s="7" t="s">
        <v>919</v>
      </c>
      <c r="D1100" s="7" t="s">
        <v>1644</v>
      </c>
      <c r="E1100" s="7">
        <v>42</v>
      </c>
      <c r="F1100" s="7" t="s">
        <v>24</v>
      </c>
      <c r="G1100" s="7" t="s">
        <v>78</v>
      </c>
      <c r="H1100" s="7" t="s">
        <v>26</v>
      </c>
      <c r="I1100" s="7" t="s">
        <v>27</v>
      </c>
      <c r="J1100" s="7" t="s">
        <v>42</v>
      </c>
      <c r="K1100" s="7" t="s">
        <v>29</v>
      </c>
      <c r="L1100" s="7" t="s">
        <v>53</v>
      </c>
      <c r="M1100" s="7" t="s">
        <v>75</v>
      </c>
      <c r="N1100" s="7">
        <v>7400</v>
      </c>
      <c r="O1100" s="7">
        <v>4</v>
      </c>
      <c r="P1100" s="16">
        <v>0.05</v>
      </c>
      <c r="Q1100" s="7">
        <v>1960</v>
      </c>
      <c r="R1100" s="7" t="s">
        <v>46</v>
      </c>
      <c r="S1100" s="7" t="s">
        <v>33</v>
      </c>
      <c r="T1100" s="7" t="s">
        <v>34</v>
      </c>
      <c r="U1100" s="7">
        <v>3</v>
      </c>
      <c r="V1100" s="7" t="str">
        <f>TEXT('E-Commerce Sales Data'!$B1100,"mmmm")</f>
        <v>December</v>
      </c>
      <c r="W1100" s="8">
        <f t="shared" si="68"/>
        <v>630910</v>
      </c>
      <c r="X1100">
        <f t="shared" si="69"/>
        <v>102</v>
      </c>
      <c r="Y1100">
        <f t="shared" si="70"/>
        <v>35799.705882352944</v>
      </c>
      <c r="Z1100">
        <f t="shared" si="71"/>
        <v>52</v>
      </c>
    </row>
    <row r="1101" spans="1:26" x14ac:dyDescent="0.25">
      <c r="A1101" s="9" t="s">
        <v>1661</v>
      </c>
      <c r="B1101" s="10">
        <v>53325</v>
      </c>
      <c r="C1101" s="11" t="s">
        <v>71</v>
      </c>
      <c r="D1101" s="11" t="s">
        <v>1485</v>
      </c>
      <c r="E1101" s="11">
        <v>28</v>
      </c>
      <c r="F1101" s="11" t="s">
        <v>38</v>
      </c>
      <c r="G1101" s="11" t="s">
        <v>924</v>
      </c>
      <c r="H1101" s="11" t="s">
        <v>26</v>
      </c>
      <c r="I1101" s="11" t="s">
        <v>27</v>
      </c>
      <c r="J1101" s="11" t="s">
        <v>28</v>
      </c>
      <c r="K1101" s="11" t="s">
        <v>29</v>
      </c>
      <c r="L1101" s="11" t="s">
        <v>53</v>
      </c>
      <c r="M1101" s="11" t="s">
        <v>79</v>
      </c>
      <c r="N1101" s="11">
        <v>8700</v>
      </c>
      <c r="O1101" s="11">
        <v>7</v>
      </c>
      <c r="P1101" s="17">
        <v>0</v>
      </c>
      <c r="Q1101" s="11">
        <v>2610</v>
      </c>
      <c r="R1101" s="11" t="s">
        <v>32</v>
      </c>
      <c r="S1101" s="11" t="s">
        <v>33</v>
      </c>
      <c r="T1101" s="11" t="s">
        <v>34</v>
      </c>
      <c r="U1101" s="11">
        <v>4</v>
      </c>
      <c r="V1101" s="11" t="str">
        <f>TEXT('E-Commerce Sales Data'!$B1101,"mmmm")</f>
        <v>December</v>
      </c>
      <c r="W1101" s="8">
        <f t="shared" si="68"/>
        <v>628950</v>
      </c>
      <c r="X1101">
        <f t="shared" si="69"/>
        <v>101</v>
      </c>
      <c r="Y1101">
        <f t="shared" si="70"/>
        <v>36080.891089108911</v>
      </c>
      <c r="Z1101">
        <f t="shared" si="71"/>
        <v>52</v>
      </c>
    </row>
    <row r="1102" spans="1:26" x14ac:dyDescent="0.25">
      <c r="A1102" s="5" t="s">
        <v>1662</v>
      </c>
      <c r="B1102" s="6">
        <v>53332</v>
      </c>
      <c r="C1102" s="7" t="s">
        <v>906</v>
      </c>
      <c r="D1102" s="7" t="s">
        <v>1523</v>
      </c>
      <c r="E1102" s="7">
        <v>34</v>
      </c>
      <c r="F1102" s="7" t="s">
        <v>24</v>
      </c>
      <c r="G1102" s="7" t="s">
        <v>25</v>
      </c>
      <c r="H1102" s="7" t="s">
        <v>26</v>
      </c>
      <c r="I1102" s="7" t="s">
        <v>27</v>
      </c>
      <c r="J1102" s="7" t="s">
        <v>28</v>
      </c>
      <c r="K1102" s="7" t="s">
        <v>29</v>
      </c>
      <c r="L1102" s="7" t="s">
        <v>30</v>
      </c>
      <c r="M1102" s="7" t="s">
        <v>31</v>
      </c>
      <c r="N1102" s="7">
        <v>132500</v>
      </c>
      <c r="O1102" s="7">
        <v>1</v>
      </c>
      <c r="P1102" s="16">
        <v>0.05</v>
      </c>
      <c r="Q1102" s="7">
        <v>16500</v>
      </c>
      <c r="R1102" s="7" t="s">
        <v>32</v>
      </c>
      <c r="S1102" s="7" t="s">
        <v>47</v>
      </c>
      <c r="T1102" s="7" t="s">
        <v>34</v>
      </c>
      <c r="U1102" s="7">
        <v>5</v>
      </c>
      <c r="V1102" s="7" t="str">
        <f>TEXT('E-Commerce Sales Data'!$B1102,"mmmm")</f>
        <v>January</v>
      </c>
      <c r="W1102" s="8">
        <f t="shared" si="68"/>
        <v>626340</v>
      </c>
      <c r="X1102">
        <f t="shared" si="69"/>
        <v>100</v>
      </c>
      <c r="Y1102">
        <f t="shared" si="70"/>
        <v>36354.699999999997</v>
      </c>
      <c r="Z1102">
        <f t="shared" si="71"/>
        <v>52</v>
      </c>
    </row>
    <row r="1103" spans="1:26" x14ac:dyDescent="0.25">
      <c r="A1103" s="9" t="s">
        <v>1663</v>
      </c>
      <c r="B1103" s="10">
        <v>53339</v>
      </c>
      <c r="C1103" s="11" t="s">
        <v>1664</v>
      </c>
      <c r="D1103" s="11" t="s">
        <v>1556</v>
      </c>
      <c r="E1103" s="11">
        <v>27</v>
      </c>
      <c r="F1103" s="11" t="s">
        <v>38</v>
      </c>
      <c r="G1103" s="11" t="s">
        <v>59</v>
      </c>
      <c r="H1103" s="11" t="s">
        <v>26</v>
      </c>
      <c r="I1103" s="11" t="s">
        <v>27</v>
      </c>
      <c r="J1103" s="11" t="s">
        <v>42</v>
      </c>
      <c r="K1103" s="11" t="s">
        <v>43</v>
      </c>
      <c r="L1103" s="11" t="s">
        <v>44</v>
      </c>
      <c r="M1103" s="11" t="s">
        <v>45</v>
      </c>
      <c r="N1103" s="11">
        <v>21700</v>
      </c>
      <c r="O1103" s="11">
        <v>3</v>
      </c>
      <c r="P1103" s="17">
        <v>0.1</v>
      </c>
      <c r="Q1103" s="11">
        <v>5050</v>
      </c>
      <c r="R1103" s="11" t="s">
        <v>46</v>
      </c>
      <c r="S1103" s="11" t="s">
        <v>33</v>
      </c>
      <c r="T1103" s="11" t="s">
        <v>34</v>
      </c>
      <c r="U1103" s="11">
        <v>4</v>
      </c>
      <c r="V1103" s="11" t="str">
        <f>TEXT('E-Commerce Sales Data'!$B1103,"mmmm")</f>
        <v>January</v>
      </c>
      <c r="W1103" s="8">
        <f t="shared" si="68"/>
        <v>609840</v>
      </c>
      <c r="X1103">
        <f t="shared" si="69"/>
        <v>99</v>
      </c>
      <c r="Y1103">
        <f t="shared" si="70"/>
        <v>35383.535353535357</v>
      </c>
      <c r="Z1103">
        <f t="shared" si="71"/>
        <v>52</v>
      </c>
    </row>
    <row r="1104" spans="1:26" x14ac:dyDescent="0.25">
      <c r="A1104" s="5" t="s">
        <v>1665</v>
      </c>
      <c r="B1104" s="6">
        <v>53346</v>
      </c>
      <c r="C1104" s="7" t="s">
        <v>1455</v>
      </c>
      <c r="D1104" s="7" t="s">
        <v>1520</v>
      </c>
      <c r="E1104" s="7">
        <v>40</v>
      </c>
      <c r="F1104" s="7" t="s">
        <v>24</v>
      </c>
      <c r="G1104" s="7" t="s">
        <v>914</v>
      </c>
      <c r="H1104" s="7" t="s">
        <v>26</v>
      </c>
      <c r="I1104" s="7" t="s">
        <v>27</v>
      </c>
      <c r="J1104" s="7" t="s">
        <v>28</v>
      </c>
      <c r="K1104" s="7" t="s">
        <v>29</v>
      </c>
      <c r="L1104" s="7" t="s">
        <v>53</v>
      </c>
      <c r="M1104" s="7" t="s">
        <v>54</v>
      </c>
      <c r="N1104" s="7">
        <v>49900</v>
      </c>
      <c r="O1104" s="7">
        <v>2</v>
      </c>
      <c r="P1104" s="16">
        <v>0.05</v>
      </c>
      <c r="Q1104" s="7">
        <v>9850</v>
      </c>
      <c r="R1104" s="7" t="s">
        <v>55</v>
      </c>
      <c r="S1104" s="7" t="s">
        <v>33</v>
      </c>
      <c r="T1104" s="7" t="s">
        <v>34</v>
      </c>
      <c r="U1104" s="7">
        <v>4</v>
      </c>
      <c r="V1104" s="7" t="str">
        <f>TEXT('E-Commerce Sales Data'!$B1104,"mmmm")</f>
        <v>January</v>
      </c>
      <c r="W1104" s="8">
        <f t="shared" si="68"/>
        <v>604790</v>
      </c>
      <c r="X1104">
        <f t="shared" si="69"/>
        <v>98</v>
      </c>
      <c r="Y1104">
        <f t="shared" si="70"/>
        <v>35523.163265306124</v>
      </c>
      <c r="Z1104">
        <f t="shared" si="71"/>
        <v>52</v>
      </c>
    </row>
    <row r="1105" spans="1:26" x14ac:dyDescent="0.25">
      <c r="A1105" s="9" t="s">
        <v>1666</v>
      </c>
      <c r="B1105" s="10">
        <v>53353</v>
      </c>
      <c r="C1105" s="11" t="s">
        <v>1240</v>
      </c>
      <c r="D1105" s="11" t="s">
        <v>1535</v>
      </c>
      <c r="E1105" s="11">
        <v>30</v>
      </c>
      <c r="F1105" s="11" t="s">
        <v>38</v>
      </c>
      <c r="G1105" s="11" t="s">
        <v>78</v>
      </c>
      <c r="H1105" s="11" t="s">
        <v>26</v>
      </c>
      <c r="I1105" s="11" t="s">
        <v>27</v>
      </c>
      <c r="J1105" s="11" t="s">
        <v>28</v>
      </c>
      <c r="K1105" s="11" t="s">
        <v>60</v>
      </c>
      <c r="L1105" s="11" t="s">
        <v>61</v>
      </c>
      <c r="M1105" s="11" t="s">
        <v>86</v>
      </c>
      <c r="N1105" s="11">
        <v>1410</v>
      </c>
      <c r="O1105" s="11">
        <v>20</v>
      </c>
      <c r="P1105" s="17">
        <v>0.02</v>
      </c>
      <c r="Q1105" s="11">
        <v>420</v>
      </c>
      <c r="R1105" s="11" t="s">
        <v>32</v>
      </c>
      <c r="S1105" s="11" t="s">
        <v>33</v>
      </c>
      <c r="T1105" s="11" t="s">
        <v>34</v>
      </c>
      <c r="U1105" s="11">
        <v>5</v>
      </c>
      <c r="V1105" s="11" t="str">
        <f>TEXT('E-Commerce Sales Data'!$B1105,"mmmm")</f>
        <v>January</v>
      </c>
      <c r="W1105" s="8">
        <f t="shared" si="68"/>
        <v>594940</v>
      </c>
      <c r="X1105">
        <f t="shared" si="69"/>
        <v>97</v>
      </c>
      <c r="Y1105">
        <f t="shared" si="70"/>
        <v>35374.948453608245</v>
      </c>
      <c r="Z1105">
        <f t="shared" si="71"/>
        <v>52</v>
      </c>
    </row>
    <row r="1106" spans="1:26" x14ac:dyDescent="0.25">
      <c r="A1106" s="5" t="s">
        <v>1667</v>
      </c>
      <c r="B1106" s="6">
        <v>53360</v>
      </c>
      <c r="C1106" s="7" t="s">
        <v>1212</v>
      </c>
      <c r="D1106" s="7" t="s">
        <v>1586</v>
      </c>
      <c r="E1106" s="7">
        <v>47</v>
      </c>
      <c r="F1106" s="7" t="s">
        <v>24</v>
      </c>
      <c r="G1106" s="7" t="s">
        <v>25</v>
      </c>
      <c r="H1106" s="7" t="s">
        <v>26</v>
      </c>
      <c r="I1106" s="7" t="s">
        <v>27</v>
      </c>
      <c r="J1106" s="7" t="s">
        <v>42</v>
      </c>
      <c r="K1106" s="7" t="s">
        <v>43</v>
      </c>
      <c r="L1106" s="7" t="s">
        <v>68</v>
      </c>
      <c r="M1106" s="7" t="s">
        <v>69</v>
      </c>
      <c r="N1106" s="7">
        <v>49100</v>
      </c>
      <c r="O1106" s="7">
        <v>2</v>
      </c>
      <c r="P1106" s="16">
        <v>0.08</v>
      </c>
      <c r="Q1106" s="7">
        <v>8500</v>
      </c>
      <c r="R1106" s="7" t="s">
        <v>46</v>
      </c>
      <c r="S1106" s="7" t="s">
        <v>47</v>
      </c>
      <c r="T1106" s="7" t="s">
        <v>34</v>
      </c>
      <c r="U1106" s="7">
        <v>4</v>
      </c>
      <c r="V1106" s="7" t="str">
        <f>TEXT('E-Commerce Sales Data'!$B1106,"mmmm")</f>
        <v>February</v>
      </c>
      <c r="W1106" s="8">
        <f t="shared" si="68"/>
        <v>594520</v>
      </c>
      <c r="X1106">
        <f t="shared" si="69"/>
        <v>96</v>
      </c>
      <c r="Y1106">
        <f t="shared" si="70"/>
        <v>35728.75</v>
      </c>
      <c r="Z1106">
        <f t="shared" si="71"/>
        <v>52</v>
      </c>
    </row>
    <row r="1107" spans="1:26" x14ac:dyDescent="0.25">
      <c r="A1107" s="9" t="s">
        <v>1668</v>
      </c>
      <c r="B1107" s="10">
        <v>53367</v>
      </c>
      <c r="C1107" s="11" t="s">
        <v>1157</v>
      </c>
      <c r="D1107" s="11" t="s">
        <v>1590</v>
      </c>
      <c r="E1107" s="11">
        <v>32</v>
      </c>
      <c r="F1107" s="11" t="s">
        <v>38</v>
      </c>
      <c r="G1107" s="11" t="s">
        <v>59</v>
      </c>
      <c r="H1107" s="11" t="s">
        <v>26</v>
      </c>
      <c r="I1107" s="11" t="s">
        <v>27</v>
      </c>
      <c r="J1107" s="11" t="s">
        <v>28</v>
      </c>
      <c r="K1107" s="11" t="s">
        <v>29</v>
      </c>
      <c r="L1107" s="11" t="s">
        <v>53</v>
      </c>
      <c r="M1107" s="11" t="s">
        <v>75</v>
      </c>
      <c r="N1107" s="11">
        <v>7100</v>
      </c>
      <c r="O1107" s="11">
        <v>3</v>
      </c>
      <c r="P1107" s="17">
        <v>0.05</v>
      </c>
      <c r="Q1107" s="11">
        <v>1890</v>
      </c>
      <c r="R1107" s="11" t="s">
        <v>32</v>
      </c>
      <c r="S1107" s="11" t="s">
        <v>33</v>
      </c>
      <c r="T1107" s="11" t="s">
        <v>34</v>
      </c>
      <c r="U1107" s="11">
        <v>4</v>
      </c>
      <c r="V1107" s="11" t="str">
        <f>TEXT('E-Commerce Sales Data'!$B1107,"mmmm")</f>
        <v>February</v>
      </c>
      <c r="W1107" s="8">
        <f t="shared" si="68"/>
        <v>586020</v>
      </c>
      <c r="X1107">
        <f t="shared" si="69"/>
        <v>95</v>
      </c>
      <c r="Y1107">
        <f t="shared" si="70"/>
        <v>35588</v>
      </c>
      <c r="Z1107">
        <f t="shared" si="71"/>
        <v>52</v>
      </c>
    </row>
    <row r="1108" spans="1:26" x14ac:dyDescent="0.25">
      <c r="A1108" s="5" t="s">
        <v>1669</v>
      </c>
      <c r="B1108" s="6">
        <v>53374</v>
      </c>
      <c r="C1108" s="7" t="s">
        <v>1670</v>
      </c>
      <c r="D1108" s="7" t="s">
        <v>1593</v>
      </c>
      <c r="E1108" s="7">
        <v>36</v>
      </c>
      <c r="F1108" s="7" t="s">
        <v>24</v>
      </c>
      <c r="G1108" s="7" t="s">
        <v>924</v>
      </c>
      <c r="H1108" s="7" t="s">
        <v>26</v>
      </c>
      <c r="I1108" s="7" t="s">
        <v>27</v>
      </c>
      <c r="J1108" s="7" t="s">
        <v>28</v>
      </c>
      <c r="K1108" s="7" t="s">
        <v>29</v>
      </c>
      <c r="L1108" s="7" t="s">
        <v>53</v>
      </c>
      <c r="M1108" s="7" t="s">
        <v>79</v>
      </c>
      <c r="N1108" s="7">
        <v>8900</v>
      </c>
      <c r="O1108" s="7">
        <v>6</v>
      </c>
      <c r="P1108" s="16">
        <v>0</v>
      </c>
      <c r="Q1108" s="7">
        <v>2670</v>
      </c>
      <c r="R1108" s="7" t="s">
        <v>80</v>
      </c>
      <c r="S1108" s="7" t="s">
        <v>33</v>
      </c>
      <c r="T1108" s="7" t="s">
        <v>34</v>
      </c>
      <c r="U1108" s="7">
        <v>3</v>
      </c>
      <c r="V1108" s="7" t="str">
        <f>TEXT('E-Commerce Sales Data'!$B1108,"mmmm")</f>
        <v>February</v>
      </c>
      <c r="W1108" s="8">
        <f t="shared" si="68"/>
        <v>584130</v>
      </c>
      <c r="X1108">
        <f t="shared" si="69"/>
        <v>94</v>
      </c>
      <c r="Y1108">
        <f t="shared" si="70"/>
        <v>35891.063829787236</v>
      </c>
      <c r="Z1108">
        <f t="shared" si="71"/>
        <v>52</v>
      </c>
    </row>
    <row r="1109" spans="1:26" x14ac:dyDescent="0.25">
      <c r="A1109" s="9" t="s">
        <v>1671</v>
      </c>
      <c r="B1109" s="10">
        <v>53381</v>
      </c>
      <c r="C1109" s="11" t="s">
        <v>1672</v>
      </c>
      <c r="D1109" s="11" t="s">
        <v>1673</v>
      </c>
      <c r="E1109" s="11">
        <v>26</v>
      </c>
      <c r="F1109" s="11" t="s">
        <v>38</v>
      </c>
      <c r="G1109" s="11" t="s">
        <v>1168</v>
      </c>
      <c r="H1109" s="11" t="s">
        <v>26</v>
      </c>
      <c r="I1109" s="11" t="s">
        <v>27</v>
      </c>
      <c r="J1109" s="11" t="s">
        <v>42</v>
      </c>
      <c r="K1109" s="11" t="s">
        <v>60</v>
      </c>
      <c r="L1109" s="11" t="s">
        <v>61</v>
      </c>
      <c r="M1109" s="11" t="s">
        <v>62</v>
      </c>
      <c r="N1109" s="11">
        <v>13200</v>
      </c>
      <c r="O1109" s="11">
        <v>10</v>
      </c>
      <c r="P1109" s="17">
        <v>0.02</v>
      </c>
      <c r="Q1109" s="11">
        <v>3280</v>
      </c>
      <c r="R1109" s="11" t="s">
        <v>32</v>
      </c>
      <c r="S1109" s="11" t="s">
        <v>33</v>
      </c>
      <c r="T1109" s="11" t="s">
        <v>34</v>
      </c>
      <c r="U1109" s="11">
        <v>5</v>
      </c>
      <c r="V1109" s="11" t="str">
        <f>TEXT('E-Commerce Sales Data'!$B1109,"mmmm")</f>
        <v>February</v>
      </c>
      <c r="W1109" s="8">
        <f t="shared" si="68"/>
        <v>581460</v>
      </c>
      <c r="X1109">
        <f t="shared" si="69"/>
        <v>93</v>
      </c>
      <c r="Y1109">
        <f t="shared" si="70"/>
        <v>36181.290322580644</v>
      </c>
      <c r="Z1109">
        <f t="shared" si="71"/>
        <v>52</v>
      </c>
    </row>
    <row r="1110" spans="1:26" x14ac:dyDescent="0.25">
      <c r="A1110" s="5" t="s">
        <v>1674</v>
      </c>
      <c r="B1110" s="6">
        <v>53388</v>
      </c>
      <c r="C1110" s="7" t="s">
        <v>912</v>
      </c>
      <c r="D1110" s="7" t="s">
        <v>1219</v>
      </c>
      <c r="E1110" s="7">
        <v>43</v>
      </c>
      <c r="F1110" s="7" t="s">
        <v>24</v>
      </c>
      <c r="G1110" s="7" t="s">
        <v>914</v>
      </c>
      <c r="H1110" s="7" t="s">
        <v>26</v>
      </c>
      <c r="I1110" s="7" t="s">
        <v>27</v>
      </c>
      <c r="J1110" s="7" t="s">
        <v>42</v>
      </c>
      <c r="K1110" s="7" t="s">
        <v>43</v>
      </c>
      <c r="L1110" s="7" t="s">
        <v>92</v>
      </c>
      <c r="M1110" s="7" t="s">
        <v>93</v>
      </c>
      <c r="N1110" s="7">
        <v>31000</v>
      </c>
      <c r="O1110" s="7">
        <v>1</v>
      </c>
      <c r="P1110" s="16">
        <v>0.1</v>
      </c>
      <c r="Q1110" s="7">
        <v>5600</v>
      </c>
      <c r="R1110" s="7" t="s">
        <v>46</v>
      </c>
      <c r="S1110" s="7" t="s">
        <v>47</v>
      </c>
      <c r="T1110" s="7" t="s">
        <v>34</v>
      </c>
      <c r="U1110" s="7">
        <v>4</v>
      </c>
      <c r="V1110" s="7" t="str">
        <f>TEXT('E-Commerce Sales Data'!$B1110,"mmmm")</f>
        <v>March</v>
      </c>
      <c r="W1110" s="8">
        <f t="shared" si="68"/>
        <v>578180</v>
      </c>
      <c r="X1110">
        <f t="shared" si="69"/>
        <v>92</v>
      </c>
      <c r="Y1110">
        <f t="shared" si="70"/>
        <v>36431.086956521736</v>
      </c>
      <c r="Z1110">
        <f t="shared" si="71"/>
        <v>52</v>
      </c>
    </row>
    <row r="1111" spans="1:26" x14ac:dyDescent="0.25">
      <c r="A1111" s="9" t="s">
        <v>1675</v>
      </c>
      <c r="B1111" s="10">
        <v>53395</v>
      </c>
      <c r="C1111" s="11" t="s">
        <v>1200</v>
      </c>
      <c r="D1111" s="11" t="s">
        <v>1114</v>
      </c>
      <c r="E1111" s="11">
        <v>29</v>
      </c>
      <c r="F1111" s="11" t="s">
        <v>38</v>
      </c>
      <c r="G1111" s="11" t="s">
        <v>953</v>
      </c>
      <c r="H1111" s="11" t="s">
        <v>953</v>
      </c>
      <c r="I1111" s="11" t="s">
        <v>27</v>
      </c>
      <c r="J1111" s="11" t="s">
        <v>28</v>
      </c>
      <c r="K1111" s="11" t="s">
        <v>29</v>
      </c>
      <c r="L1111" s="11" t="s">
        <v>96</v>
      </c>
      <c r="M1111" s="11" t="s">
        <v>97</v>
      </c>
      <c r="N1111" s="11">
        <v>33400</v>
      </c>
      <c r="O1111" s="11">
        <v>2</v>
      </c>
      <c r="P1111" s="17">
        <v>0.05</v>
      </c>
      <c r="Q1111" s="11">
        <v>6350</v>
      </c>
      <c r="R1111" s="11" t="s">
        <v>32</v>
      </c>
      <c r="S1111" s="11" t="s">
        <v>33</v>
      </c>
      <c r="T1111" s="11" t="s">
        <v>34</v>
      </c>
      <c r="U1111" s="11">
        <v>4</v>
      </c>
      <c r="V1111" s="11" t="str">
        <f>TEXT('E-Commerce Sales Data'!$B1111,"mmmm")</f>
        <v>March</v>
      </c>
      <c r="W1111" s="8">
        <f t="shared" si="68"/>
        <v>572580</v>
      </c>
      <c r="X1111">
        <f t="shared" si="69"/>
        <v>91</v>
      </c>
      <c r="Y1111">
        <f t="shared" si="70"/>
        <v>36490.769230769234</v>
      </c>
      <c r="Z1111">
        <f t="shared" si="71"/>
        <v>52</v>
      </c>
    </row>
    <row r="1112" spans="1:26" x14ac:dyDescent="0.25">
      <c r="A1112" s="5" t="s">
        <v>1676</v>
      </c>
      <c r="B1112" s="6">
        <v>53402</v>
      </c>
      <c r="C1112" s="7" t="s">
        <v>1677</v>
      </c>
      <c r="D1112" s="7" t="s">
        <v>1545</v>
      </c>
      <c r="E1112" s="7">
        <v>39</v>
      </c>
      <c r="F1112" s="7" t="s">
        <v>24</v>
      </c>
      <c r="G1112" s="7" t="s">
        <v>25</v>
      </c>
      <c r="H1112" s="7" t="s">
        <v>26</v>
      </c>
      <c r="I1112" s="7" t="s">
        <v>27</v>
      </c>
      <c r="J1112" s="7" t="s">
        <v>28</v>
      </c>
      <c r="K1112" s="7" t="s">
        <v>60</v>
      </c>
      <c r="L1112" s="7" t="s">
        <v>53</v>
      </c>
      <c r="M1112" s="7" t="s">
        <v>103</v>
      </c>
      <c r="N1112" s="7">
        <v>2010</v>
      </c>
      <c r="O1112" s="7">
        <v>25</v>
      </c>
      <c r="P1112" s="16">
        <v>0</v>
      </c>
      <c r="Q1112" s="7">
        <v>620</v>
      </c>
      <c r="R1112" s="7" t="s">
        <v>55</v>
      </c>
      <c r="S1112" s="7" t="s">
        <v>33</v>
      </c>
      <c r="T1112" s="7" t="s">
        <v>34</v>
      </c>
      <c r="U1112" s="7">
        <v>5</v>
      </c>
      <c r="V1112" s="7" t="str">
        <f>TEXT('E-Commerce Sales Data'!$B1112,"mmmm")</f>
        <v>March</v>
      </c>
      <c r="W1112" s="8">
        <f t="shared" si="68"/>
        <v>566230</v>
      </c>
      <c r="X1112">
        <f t="shared" si="69"/>
        <v>90</v>
      </c>
      <c r="Y1112">
        <f t="shared" si="70"/>
        <v>36525.111111111109</v>
      </c>
      <c r="Z1112">
        <f t="shared" si="71"/>
        <v>52</v>
      </c>
    </row>
    <row r="1113" spans="1:26" x14ac:dyDescent="0.25">
      <c r="A1113" s="9" t="s">
        <v>1678</v>
      </c>
      <c r="B1113" s="10">
        <v>53409</v>
      </c>
      <c r="C1113" s="11" t="s">
        <v>1628</v>
      </c>
      <c r="D1113" s="11" t="s">
        <v>1430</v>
      </c>
      <c r="E1113" s="11">
        <v>35</v>
      </c>
      <c r="F1113" s="11" t="s">
        <v>38</v>
      </c>
      <c r="G1113" s="11" t="s">
        <v>59</v>
      </c>
      <c r="H1113" s="11" t="s">
        <v>26</v>
      </c>
      <c r="I1113" s="11" t="s">
        <v>27</v>
      </c>
      <c r="J1113" s="11" t="s">
        <v>42</v>
      </c>
      <c r="K1113" s="11" t="s">
        <v>43</v>
      </c>
      <c r="L1113" s="11" t="s">
        <v>68</v>
      </c>
      <c r="M1113" s="11" t="s">
        <v>106</v>
      </c>
      <c r="N1113" s="11">
        <v>48800</v>
      </c>
      <c r="O1113" s="11">
        <v>1</v>
      </c>
      <c r="P1113" s="17">
        <v>0.08</v>
      </c>
      <c r="Q1113" s="11">
        <v>10200</v>
      </c>
      <c r="R1113" s="11" t="s">
        <v>46</v>
      </c>
      <c r="S1113" s="11" t="s">
        <v>47</v>
      </c>
      <c r="T1113" s="11" t="s">
        <v>34</v>
      </c>
      <c r="U1113" s="11">
        <v>4</v>
      </c>
      <c r="V1113" s="11" t="str">
        <f>TEXT('E-Commerce Sales Data'!$B1113,"mmmm")</f>
        <v>March</v>
      </c>
      <c r="W1113" s="8">
        <f t="shared" si="68"/>
        <v>565610</v>
      </c>
      <c r="X1113">
        <f t="shared" si="69"/>
        <v>89</v>
      </c>
      <c r="Y1113">
        <f t="shared" si="70"/>
        <v>36912.921348314609</v>
      </c>
      <c r="Z1113">
        <f t="shared" si="71"/>
        <v>52</v>
      </c>
    </row>
    <row r="1114" spans="1:26" x14ac:dyDescent="0.25">
      <c r="A1114" s="5" t="s">
        <v>1679</v>
      </c>
      <c r="B1114" s="6">
        <v>53416</v>
      </c>
      <c r="C1114" s="7" t="s">
        <v>1435</v>
      </c>
      <c r="D1114" s="7" t="s">
        <v>1506</v>
      </c>
      <c r="E1114" s="7">
        <v>28</v>
      </c>
      <c r="F1114" s="7" t="s">
        <v>24</v>
      </c>
      <c r="G1114" s="7" t="s">
        <v>78</v>
      </c>
      <c r="H1114" s="7" t="s">
        <v>26</v>
      </c>
      <c r="I1114" s="7" t="s">
        <v>27</v>
      </c>
      <c r="J1114" s="7" t="s">
        <v>28</v>
      </c>
      <c r="K1114" s="7" t="s">
        <v>29</v>
      </c>
      <c r="L1114" s="7" t="s">
        <v>30</v>
      </c>
      <c r="M1114" s="7" t="s">
        <v>31</v>
      </c>
      <c r="N1114" s="7">
        <v>134000</v>
      </c>
      <c r="O1114" s="7">
        <v>1</v>
      </c>
      <c r="P1114" s="16">
        <v>0.1</v>
      </c>
      <c r="Q1114" s="7">
        <v>15600</v>
      </c>
      <c r="R1114" s="7" t="s">
        <v>32</v>
      </c>
      <c r="S1114" s="7" t="s">
        <v>47</v>
      </c>
      <c r="T1114" s="7" t="s">
        <v>34</v>
      </c>
      <c r="U1114" s="7">
        <v>5</v>
      </c>
      <c r="V1114" s="7" t="str">
        <f>TEXT('E-Commerce Sales Data'!$B1114,"mmmm")</f>
        <v>March</v>
      </c>
      <c r="W1114" s="8">
        <f t="shared" si="68"/>
        <v>555410</v>
      </c>
      <c r="X1114">
        <f t="shared" si="69"/>
        <v>88</v>
      </c>
      <c r="Y1114">
        <f t="shared" si="70"/>
        <v>36777.840909090912</v>
      </c>
      <c r="Z1114">
        <f t="shared" si="71"/>
        <v>52</v>
      </c>
    </row>
    <row r="1115" spans="1:26" x14ac:dyDescent="0.25">
      <c r="A1115" s="9" t="s">
        <v>1680</v>
      </c>
      <c r="B1115" s="10">
        <v>53423</v>
      </c>
      <c r="C1115" s="11" t="s">
        <v>1071</v>
      </c>
      <c r="D1115" s="11" t="s">
        <v>1167</v>
      </c>
      <c r="E1115" s="11">
        <v>31</v>
      </c>
      <c r="F1115" s="11" t="s">
        <v>38</v>
      </c>
      <c r="G1115" s="11" t="s">
        <v>924</v>
      </c>
      <c r="H1115" s="11" t="s">
        <v>26</v>
      </c>
      <c r="I1115" s="11" t="s">
        <v>27</v>
      </c>
      <c r="J1115" s="11" t="s">
        <v>28</v>
      </c>
      <c r="K1115" s="11" t="s">
        <v>60</v>
      </c>
      <c r="L1115" s="11" t="s">
        <v>92</v>
      </c>
      <c r="M1115" s="11" t="s">
        <v>111</v>
      </c>
      <c r="N1115" s="11">
        <v>2700</v>
      </c>
      <c r="O1115" s="11">
        <v>15</v>
      </c>
      <c r="P1115" s="17">
        <v>0.05</v>
      </c>
      <c r="Q1115" s="11">
        <v>890</v>
      </c>
      <c r="R1115" s="11" t="s">
        <v>80</v>
      </c>
      <c r="S1115" s="11" t="s">
        <v>33</v>
      </c>
      <c r="T1115" s="11" t="s">
        <v>34</v>
      </c>
      <c r="U1115" s="11">
        <v>4</v>
      </c>
      <c r="V1115" s="11" t="str">
        <f>TEXT('E-Commerce Sales Data'!$B1115,"mmmm")</f>
        <v>April</v>
      </c>
      <c r="W1115" s="8">
        <f t="shared" si="68"/>
        <v>539810</v>
      </c>
      <c r="X1115">
        <f t="shared" si="69"/>
        <v>87</v>
      </c>
      <c r="Y1115">
        <f t="shared" si="70"/>
        <v>35660.34482758621</v>
      </c>
      <c r="Z1115">
        <f t="shared" si="71"/>
        <v>52</v>
      </c>
    </row>
    <row r="1116" spans="1:26" x14ac:dyDescent="0.25">
      <c r="A1116" s="5" t="s">
        <v>1681</v>
      </c>
      <c r="B1116" s="6">
        <v>53430</v>
      </c>
      <c r="C1116" s="7" t="s">
        <v>22</v>
      </c>
      <c r="D1116" s="7" t="s">
        <v>1582</v>
      </c>
      <c r="E1116" s="7">
        <v>45</v>
      </c>
      <c r="F1116" s="7" t="s">
        <v>24</v>
      </c>
      <c r="G1116" s="7" t="s">
        <v>932</v>
      </c>
      <c r="H1116" s="7" t="s">
        <v>26</v>
      </c>
      <c r="I1116" s="7" t="s">
        <v>27</v>
      </c>
      <c r="J1116" s="7" t="s">
        <v>42</v>
      </c>
      <c r="K1116" s="7" t="s">
        <v>43</v>
      </c>
      <c r="L1116" s="7" t="s">
        <v>44</v>
      </c>
      <c r="M1116" s="7" t="s">
        <v>45</v>
      </c>
      <c r="N1116" s="7">
        <v>25400</v>
      </c>
      <c r="O1116" s="7">
        <v>4</v>
      </c>
      <c r="P1116" s="16">
        <v>7.0000000000000007E-2</v>
      </c>
      <c r="Q1116" s="7">
        <v>5950</v>
      </c>
      <c r="R1116" s="7" t="s">
        <v>46</v>
      </c>
      <c r="S1116" s="7" t="s">
        <v>33</v>
      </c>
      <c r="T1116" s="7" t="s">
        <v>34</v>
      </c>
      <c r="U1116" s="7">
        <v>4</v>
      </c>
      <c r="V1116" s="7" t="str">
        <f>TEXT('E-Commerce Sales Data'!$B1116,"mmmm")</f>
        <v>April</v>
      </c>
      <c r="W1116" s="8">
        <f t="shared" si="68"/>
        <v>538920</v>
      </c>
      <c r="X1116">
        <f t="shared" si="69"/>
        <v>86</v>
      </c>
      <c r="Y1116">
        <f t="shared" si="70"/>
        <v>36043.604651162794</v>
      </c>
      <c r="Z1116">
        <f t="shared" si="71"/>
        <v>52</v>
      </c>
    </row>
    <row r="1117" spans="1:26" x14ac:dyDescent="0.25">
      <c r="A1117" s="9" t="s">
        <v>1682</v>
      </c>
      <c r="B1117" s="10">
        <v>53437</v>
      </c>
      <c r="C1117" s="11" t="s">
        <v>1218</v>
      </c>
      <c r="D1117" s="11" t="s">
        <v>1062</v>
      </c>
      <c r="E1117" s="11">
        <v>24</v>
      </c>
      <c r="F1117" s="11" t="s">
        <v>38</v>
      </c>
      <c r="G1117" s="11" t="s">
        <v>59</v>
      </c>
      <c r="H1117" s="11" t="s">
        <v>26</v>
      </c>
      <c r="I1117" s="11" t="s">
        <v>27</v>
      </c>
      <c r="J1117" s="11" t="s">
        <v>28</v>
      </c>
      <c r="K1117" s="11" t="s">
        <v>29</v>
      </c>
      <c r="L1117" s="11" t="s">
        <v>53</v>
      </c>
      <c r="M1117" s="11" t="s">
        <v>54</v>
      </c>
      <c r="N1117" s="11">
        <v>50800</v>
      </c>
      <c r="O1117" s="11">
        <v>2</v>
      </c>
      <c r="P1117" s="17">
        <v>0.05</v>
      </c>
      <c r="Q1117" s="11">
        <v>10000</v>
      </c>
      <c r="R1117" s="11" t="s">
        <v>32</v>
      </c>
      <c r="S1117" s="11" t="s">
        <v>47</v>
      </c>
      <c r="T1117" s="11" t="s">
        <v>34</v>
      </c>
      <c r="U1117" s="11">
        <v>5</v>
      </c>
      <c r="V1117" s="11" t="str">
        <f>TEXT('E-Commerce Sales Data'!$B1117,"mmmm")</f>
        <v>April</v>
      </c>
      <c r="W1117" s="8">
        <f t="shared" si="68"/>
        <v>532970</v>
      </c>
      <c r="X1117">
        <f t="shared" si="69"/>
        <v>85</v>
      </c>
      <c r="Y1117">
        <f t="shared" si="70"/>
        <v>36168.823529411762</v>
      </c>
      <c r="Z1117">
        <f t="shared" si="71"/>
        <v>52</v>
      </c>
    </row>
    <row r="1118" spans="1:26" x14ac:dyDescent="0.25">
      <c r="A1118" s="5" t="s">
        <v>1683</v>
      </c>
      <c r="B1118" s="6">
        <v>53444</v>
      </c>
      <c r="C1118" s="7" t="s">
        <v>1227</v>
      </c>
      <c r="D1118" s="7" t="s">
        <v>1485</v>
      </c>
      <c r="E1118" s="7">
        <v>41</v>
      </c>
      <c r="F1118" s="7" t="s">
        <v>24</v>
      </c>
      <c r="G1118" s="7" t="s">
        <v>25</v>
      </c>
      <c r="H1118" s="7" t="s">
        <v>26</v>
      </c>
      <c r="I1118" s="7" t="s">
        <v>27</v>
      </c>
      <c r="J1118" s="7" t="s">
        <v>42</v>
      </c>
      <c r="K1118" s="7" t="s">
        <v>60</v>
      </c>
      <c r="L1118" s="7" t="s">
        <v>61</v>
      </c>
      <c r="M1118" s="7" t="s">
        <v>62</v>
      </c>
      <c r="N1118" s="7">
        <v>13400</v>
      </c>
      <c r="O1118" s="7">
        <v>10</v>
      </c>
      <c r="P1118" s="16">
        <v>0.03</v>
      </c>
      <c r="Q1118" s="7">
        <v>3340</v>
      </c>
      <c r="R1118" s="7" t="s">
        <v>55</v>
      </c>
      <c r="S1118" s="7" t="s">
        <v>33</v>
      </c>
      <c r="T1118" s="7" t="s">
        <v>34</v>
      </c>
      <c r="U1118" s="7">
        <v>4</v>
      </c>
      <c r="V1118" s="7" t="str">
        <f>TEXT('E-Commerce Sales Data'!$B1118,"mmmm")</f>
        <v>April</v>
      </c>
      <c r="W1118" s="8">
        <f t="shared" si="68"/>
        <v>522970</v>
      </c>
      <c r="X1118">
        <f t="shared" si="69"/>
        <v>84</v>
      </c>
      <c r="Y1118">
        <f t="shared" si="70"/>
        <v>35994.642857142855</v>
      </c>
      <c r="Z1118">
        <f t="shared" si="71"/>
        <v>52</v>
      </c>
    </row>
    <row r="1119" spans="1:26" x14ac:dyDescent="0.25">
      <c r="A1119" s="9" t="s">
        <v>1684</v>
      </c>
      <c r="B1119" s="10">
        <v>53451</v>
      </c>
      <c r="C1119" s="11" t="s">
        <v>1170</v>
      </c>
      <c r="D1119" s="11" t="s">
        <v>1225</v>
      </c>
      <c r="E1119" s="11">
        <v>33</v>
      </c>
      <c r="F1119" s="11" t="s">
        <v>38</v>
      </c>
      <c r="G1119" s="11" t="s">
        <v>928</v>
      </c>
      <c r="H1119" s="11" t="s">
        <v>26</v>
      </c>
      <c r="I1119" s="11" t="s">
        <v>27</v>
      </c>
      <c r="J1119" s="11" t="s">
        <v>28</v>
      </c>
      <c r="K1119" s="11" t="s">
        <v>43</v>
      </c>
      <c r="L1119" s="11" t="s">
        <v>68</v>
      </c>
      <c r="M1119" s="11" t="s">
        <v>69</v>
      </c>
      <c r="N1119" s="11">
        <v>47500</v>
      </c>
      <c r="O1119" s="11">
        <v>2</v>
      </c>
      <c r="P1119" s="17">
        <v>0.1</v>
      </c>
      <c r="Q1119" s="11">
        <v>7800</v>
      </c>
      <c r="R1119" s="11" t="s">
        <v>32</v>
      </c>
      <c r="S1119" s="11" t="s">
        <v>47</v>
      </c>
      <c r="T1119" s="11" t="s">
        <v>34</v>
      </c>
      <c r="U1119" s="11">
        <v>5</v>
      </c>
      <c r="V1119" s="11" t="str">
        <f>TEXT('E-Commerce Sales Data'!$B1119,"mmmm")</f>
        <v>May</v>
      </c>
      <c r="W1119" s="8">
        <f t="shared" si="68"/>
        <v>519630</v>
      </c>
      <c r="X1119">
        <f t="shared" si="69"/>
        <v>83</v>
      </c>
      <c r="Y1119">
        <f t="shared" si="70"/>
        <v>36266.867469879515</v>
      </c>
      <c r="Z1119">
        <f t="shared" si="71"/>
        <v>52</v>
      </c>
    </row>
    <row r="1120" spans="1:26" x14ac:dyDescent="0.25">
      <c r="A1120" s="5" t="s">
        <v>1685</v>
      </c>
      <c r="B1120" s="6">
        <v>53458</v>
      </c>
      <c r="C1120" s="7" t="s">
        <v>1123</v>
      </c>
      <c r="D1120" s="7" t="s">
        <v>1490</v>
      </c>
      <c r="E1120" s="7">
        <v>37</v>
      </c>
      <c r="F1120" s="7" t="s">
        <v>24</v>
      </c>
      <c r="G1120" s="7" t="s">
        <v>1050</v>
      </c>
      <c r="H1120" s="7" t="s">
        <v>26</v>
      </c>
      <c r="I1120" s="7" t="s">
        <v>27</v>
      </c>
      <c r="J1120" s="7" t="s">
        <v>42</v>
      </c>
      <c r="K1120" s="7" t="s">
        <v>29</v>
      </c>
      <c r="L1120" s="7" t="s">
        <v>53</v>
      </c>
      <c r="M1120" s="7" t="s">
        <v>75</v>
      </c>
      <c r="N1120" s="7">
        <v>7600</v>
      </c>
      <c r="O1120" s="7">
        <v>4</v>
      </c>
      <c r="P1120" s="16">
        <v>0.05</v>
      </c>
      <c r="Q1120" s="7">
        <v>2010</v>
      </c>
      <c r="R1120" s="7" t="s">
        <v>46</v>
      </c>
      <c r="S1120" s="7" t="s">
        <v>33</v>
      </c>
      <c r="T1120" s="7" t="s">
        <v>34</v>
      </c>
      <c r="U1120" s="7">
        <v>3</v>
      </c>
      <c r="V1120" s="7" t="str">
        <f>TEXT('E-Commerce Sales Data'!$B1120,"mmmm")</f>
        <v>May</v>
      </c>
      <c r="W1120" s="8">
        <f t="shared" si="68"/>
        <v>511830</v>
      </c>
      <c r="X1120">
        <f t="shared" si="69"/>
        <v>82</v>
      </c>
      <c r="Y1120">
        <f t="shared" si="70"/>
        <v>36129.878048780491</v>
      </c>
      <c r="Z1120">
        <f t="shared" si="71"/>
        <v>52</v>
      </c>
    </row>
    <row r="1121" spans="1:26" x14ac:dyDescent="0.25">
      <c r="A1121" s="9" t="s">
        <v>1686</v>
      </c>
      <c r="B1121" s="10">
        <v>53465</v>
      </c>
      <c r="C1121" s="11" t="s">
        <v>1235</v>
      </c>
      <c r="D1121" s="11" t="s">
        <v>1520</v>
      </c>
      <c r="E1121" s="11">
        <v>28</v>
      </c>
      <c r="F1121" s="11" t="s">
        <v>38</v>
      </c>
      <c r="G1121" s="11" t="s">
        <v>914</v>
      </c>
      <c r="H1121" s="11" t="s">
        <v>26</v>
      </c>
      <c r="I1121" s="11" t="s">
        <v>27</v>
      </c>
      <c r="J1121" s="11" t="s">
        <v>28</v>
      </c>
      <c r="K1121" s="11" t="s">
        <v>29</v>
      </c>
      <c r="L1121" s="11" t="s">
        <v>53</v>
      </c>
      <c r="M1121" s="11" t="s">
        <v>79</v>
      </c>
      <c r="N1121" s="11">
        <v>9100</v>
      </c>
      <c r="O1121" s="11">
        <v>7</v>
      </c>
      <c r="P1121" s="17">
        <v>0</v>
      </c>
      <c r="Q1121" s="11">
        <v>2730</v>
      </c>
      <c r="R1121" s="11" t="s">
        <v>32</v>
      </c>
      <c r="S1121" s="11" t="s">
        <v>33</v>
      </c>
      <c r="T1121" s="11" t="s">
        <v>34</v>
      </c>
      <c r="U1121" s="11">
        <v>4</v>
      </c>
      <c r="V1121" s="11" t="str">
        <f>TEXT('E-Commerce Sales Data'!$B1121,"mmmm")</f>
        <v>May</v>
      </c>
      <c r="W1121" s="8">
        <f t="shared" si="68"/>
        <v>509820</v>
      </c>
      <c r="X1121">
        <f t="shared" si="69"/>
        <v>81</v>
      </c>
      <c r="Y1121">
        <f t="shared" si="70"/>
        <v>36482.0987654321</v>
      </c>
      <c r="Z1121">
        <f t="shared" si="71"/>
        <v>52</v>
      </c>
    </row>
    <row r="1122" spans="1:26" x14ac:dyDescent="0.25">
      <c r="A1122" s="5" t="s">
        <v>1687</v>
      </c>
      <c r="B1122" s="6">
        <v>53472</v>
      </c>
      <c r="C1122" s="7" t="s">
        <v>1466</v>
      </c>
      <c r="D1122" s="7" t="s">
        <v>1148</v>
      </c>
      <c r="E1122" s="7">
        <v>32</v>
      </c>
      <c r="F1122" s="7" t="s">
        <v>24</v>
      </c>
      <c r="G1122" s="7" t="s">
        <v>25</v>
      </c>
      <c r="H1122" s="7" t="s">
        <v>26</v>
      </c>
      <c r="I1122" s="7" t="s">
        <v>27</v>
      </c>
      <c r="J1122" s="7" t="s">
        <v>28</v>
      </c>
      <c r="K1122" s="7" t="s">
        <v>29</v>
      </c>
      <c r="L1122" s="7" t="s">
        <v>30</v>
      </c>
      <c r="M1122" s="7" t="s">
        <v>31</v>
      </c>
      <c r="N1122" s="7">
        <v>136500</v>
      </c>
      <c r="O1122" s="7">
        <v>1</v>
      </c>
      <c r="P1122" s="16">
        <v>0.05</v>
      </c>
      <c r="Q1122" s="7">
        <v>16800</v>
      </c>
      <c r="R1122" s="7" t="s">
        <v>32</v>
      </c>
      <c r="S1122" s="7" t="s">
        <v>47</v>
      </c>
      <c r="T1122" s="7" t="s">
        <v>34</v>
      </c>
      <c r="U1122" s="7">
        <v>5</v>
      </c>
      <c r="V1122" s="7" t="str">
        <f>TEXT('E-Commerce Sales Data'!$B1122,"mmmm")</f>
        <v>May</v>
      </c>
      <c r="W1122" s="8">
        <f t="shared" si="68"/>
        <v>507090</v>
      </c>
      <c r="X1122">
        <f t="shared" si="69"/>
        <v>80</v>
      </c>
      <c r="Y1122">
        <f t="shared" si="70"/>
        <v>36824.375</v>
      </c>
      <c r="Z1122">
        <f t="shared" si="71"/>
        <v>52</v>
      </c>
    </row>
    <row r="1123" spans="1:26" x14ac:dyDescent="0.25">
      <c r="A1123" s="9" t="s">
        <v>1688</v>
      </c>
      <c r="B1123" s="10">
        <v>53479</v>
      </c>
      <c r="C1123" s="11" t="s">
        <v>1105</v>
      </c>
      <c r="D1123" s="11" t="s">
        <v>1185</v>
      </c>
      <c r="E1123" s="11">
        <v>29</v>
      </c>
      <c r="F1123" s="11" t="s">
        <v>38</v>
      </c>
      <c r="G1123" s="11" t="s">
        <v>59</v>
      </c>
      <c r="H1123" s="11" t="s">
        <v>26</v>
      </c>
      <c r="I1123" s="11" t="s">
        <v>27</v>
      </c>
      <c r="J1123" s="11" t="s">
        <v>42</v>
      </c>
      <c r="K1123" s="11" t="s">
        <v>43</v>
      </c>
      <c r="L1123" s="11" t="s">
        <v>44</v>
      </c>
      <c r="M1123" s="11" t="s">
        <v>45</v>
      </c>
      <c r="N1123" s="11">
        <v>22100</v>
      </c>
      <c r="O1123" s="11">
        <v>3</v>
      </c>
      <c r="P1123" s="17">
        <v>0.1</v>
      </c>
      <c r="Q1123" s="11">
        <v>5180</v>
      </c>
      <c r="R1123" s="11" t="s">
        <v>46</v>
      </c>
      <c r="S1123" s="11" t="s">
        <v>33</v>
      </c>
      <c r="T1123" s="11" t="s">
        <v>34</v>
      </c>
      <c r="U1123" s="11">
        <v>4</v>
      </c>
      <c r="V1123" s="11" t="str">
        <f>TEXT('E-Commerce Sales Data'!$B1123,"mmmm")</f>
        <v>June</v>
      </c>
      <c r="W1123" s="8">
        <f t="shared" si="68"/>
        <v>490290</v>
      </c>
      <c r="X1123">
        <f t="shared" si="69"/>
        <v>79</v>
      </c>
      <c r="Y1123">
        <f t="shared" si="70"/>
        <v>35562.6582278481</v>
      </c>
      <c r="Z1123">
        <f t="shared" si="71"/>
        <v>52</v>
      </c>
    </row>
    <row r="1124" spans="1:26" x14ac:dyDescent="0.25">
      <c r="A1124" s="5" t="s">
        <v>1689</v>
      </c>
      <c r="B1124" s="6">
        <v>53486</v>
      </c>
      <c r="C1124" s="7" t="s">
        <v>1690</v>
      </c>
      <c r="D1124" s="7" t="s">
        <v>1436</v>
      </c>
      <c r="E1124" s="7">
        <v>46</v>
      </c>
      <c r="F1124" s="7" t="s">
        <v>24</v>
      </c>
      <c r="G1124" s="7" t="s">
        <v>914</v>
      </c>
      <c r="H1124" s="7" t="s">
        <v>26</v>
      </c>
      <c r="I1124" s="7" t="s">
        <v>27</v>
      </c>
      <c r="J1124" s="7" t="s">
        <v>28</v>
      </c>
      <c r="K1124" s="7" t="s">
        <v>29</v>
      </c>
      <c r="L1124" s="7" t="s">
        <v>53</v>
      </c>
      <c r="M1124" s="7" t="s">
        <v>54</v>
      </c>
      <c r="N1124" s="7">
        <v>51600</v>
      </c>
      <c r="O1124" s="7">
        <v>2</v>
      </c>
      <c r="P1124" s="16">
        <v>0.05</v>
      </c>
      <c r="Q1124" s="7">
        <v>10150</v>
      </c>
      <c r="R1124" s="7" t="s">
        <v>55</v>
      </c>
      <c r="S1124" s="7" t="s">
        <v>33</v>
      </c>
      <c r="T1124" s="7" t="s">
        <v>34</v>
      </c>
      <c r="U1124" s="7">
        <v>4</v>
      </c>
      <c r="V1124" s="7" t="str">
        <f>TEXT('E-Commerce Sales Data'!$B1124,"mmmm")</f>
        <v>June</v>
      </c>
      <c r="W1124" s="8">
        <f t="shared" si="68"/>
        <v>485110</v>
      </c>
      <c r="X1124">
        <f t="shared" si="69"/>
        <v>78</v>
      </c>
      <c r="Y1124">
        <f t="shared" si="70"/>
        <v>35735.256410256414</v>
      </c>
      <c r="Z1124">
        <f t="shared" si="71"/>
        <v>52</v>
      </c>
    </row>
    <row r="1125" spans="1:26" x14ac:dyDescent="0.25">
      <c r="A1125" s="9" t="s">
        <v>1691</v>
      </c>
      <c r="B1125" s="10">
        <v>53493</v>
      </c>
      <c r="C1125" s="11" t="s">
        <v>1692</v>
      </c>
      <c r="D1125" s="11" t="s">
        <v>1611</v>
      </c>
      <c r="E1125" s="11">
        <v>34</v>
      </c>
      <c r="F1125" s="11" t="s">
        <v>38</v>
      </c>
      <c r="G1125" s="11" t="s">
        <v>25</v>
      </c>
      <c r="H1125" s="11" t="s">
        <v>26</v>
      </c>
      <c r="I1125" s="11" t="s">
        <v>27</v>
      </c>
      <c r="J1125" s="11" t="s">
        <v>28</v>
      </c>
      <c r="K1125" s="11" t="s">
        <v>60</v>
      </c>
      <c r="L1125" s="11" t="s">
        <v>61</v>
      </c>
      <c r="M1125" s="11" t="s">
        <v>86</v>
      </c>
      <c r="N1125" s="11">
        <v>1440</v>
      </c>
      <c r="O1125" s="11">
        <v>20</v>
      </c>
      <c r="P1125" s="17">
        <v>0.02</v>
      </c>
      <c r="Q1125" s="11">
        <v>430</v>
      </c>
      <c r="R1125" s="11" t="s">
        <v>32</v>
      </c>
      <c r="S1125" s="11" t="s">
        <v>33</v>
      </c>
      <c r="T1125" s="11" t="s">
        <v>34</v>
      </c>
      <c r="U1125" s="11">
        <v>5</v>
      </c>
      <c r="V1125" s="11" t="str">
        <f>TEXT('E-Commerce Sales Data'!$B1125,"mmmm")</f>
        <v>June</v>
      </c>
      <c r="W1125" s="8">
        <f t="shared" si="68"/>
        <v>474960</v>
      </c>
      <c r="X1125">
        <f t="shared" si="69"/>
        <v>77</v>
      </c>
      <c r="Y1125">
        <f t="shared" si="70"/>
        <v>35529.220779220777</v>
      </c>
      <c r="Z1125">
        <f t="shared" si="71"/>
        <v>52</v>
      </c>
    </row>
    <row r="1126" spans="1:26" x14ac:dyDescent="0.25">
      <c r="A1126" s="5" t="s">
        <v>1693</v>
      </c>
      <c r="B1126" s="6">
        <v>53500</v>
      </c>
      <c r="C1126" s="7" t="s">
        <v>1113</v>
      </c>
      <c r="D1126" s="7" t="s">
        <v>1228</v>
      </c>
      <c r="E1126" s="7">
        <v>40</v>
      </c>
      <c r="F1126" s="7" t="s">
        <v>24</v>
      </c>
      <c r="G1126" s="7" t="s">
        <v>59</v>
      </c>
      <c r="H1126" s="7" t="s">
        <v>26</v>
      </c>
      <c r="I1126" s="7" t="s">
        <v>27</v>
      </c>
      <c r="J1126" s="7" t="s">
        <v>42</v>
      </c>
      <c r="K1126" s="7" t="s">
        <v>43</v>
      </c>
      <c r="L1126" s="7" t="s">
        <v>68</v>
      </c>
      <c r="M1126" s="7" t="s">
        <v>69</v>
      </c>
      <c r="N1126" s="7">
        <v>50000</v>
      </c>
      <c r="O1126" s="7">
        <v>2</v>
      </c>
      <c r="P1126" s="16">
        <v>0.08</v>
      </c>
      <c r="Q1126" s="7">
        <v>8700</v>
      </c>
      <c r="R1126" s="7" t="s">
        <v>46</v>
      </c>
      <c r="S1126" s="7" t="s">
        <v>47</v>
      </c>
      <c r="T1126" s="7" t="s">
        <v>34</v>
      </c>
      <c r="U1126" s="7">
        <v>4</v>
      </c>
      <c r="V1126" s="7" t="str">
        <f>TEXT('E-Commerce Sales Data'!$B1126,"mmmm")</f>
        <v>June</v>
      </c>
      <c r="W1126" s="8">
        <f t="shared" si="68"/>
        <v>474530</v>
      </c>
      <c r="X1126">
        <f t="shared" si="69"/>
        <v>76</v>
      </c>
      <c r="Y1126">
        <f t="shared" si="70"/>
        <v>35977.76315789474</v>
      </c>
      <c r="Z1126">
        <f t="shared" si="71"/>
        <v>52</v>
      </c>
    </row>
    <row r="1127" spans="1:26" x14ac:dyDescent="0.25">
      <c r="A1127" s="9" t="s">
        <v>1694</v>
      </c>
      <c r="B1127" s="10">
        <v>53507</v>
      </c>
      <c r="C1127" s="11" t="s">
        <v>916</v>
      </c>
      <c r="D1127" s="11" t="s">
        <v>1511</v>
      </c>
      <c r="E1127" s="11">
        <v>27</v>
      </c>
      <c r="F1127" s="11" t="s">
        <v>38</v>
      </c>
      <c r="G1127" s="11" t="s">
        <v>78</v>
      </c>
      <c r="H1127" s="11" t="s">
        <v>26</v>
      </c>
      <c r="I1127" s="11" t="s">
        <v>27</v>
      </c>
      <c r="J1127" s="11" t="s">
        <v>28</v>
      </c>
      <c r="K1127" s="11" t="s">
        <v>29</v>
      </c>
      <c r="L1127" s="11" t="s">
        <v>53</v>
      </c>
      <c r="M1127" s="11" t="s">
        <v>75</v>
      </c>
      <c r="N1127" s="11">
        <v>7300</v>
      </c>
      <c r="O1127" s="11">
        <v>3</v>
      </c>
      <c r="P1127" s="17">
        <v>0.05</v>
      </c>
      <c r="Q1127" s="11">
        <v>1940</v>
      </c>
      <c r="R1127" s="11" t="s">
        <v>32</v>
      </c>
      <c r="S1127" s="11" t="s">
        <v>33</v>
      </c>
      <c r="T1127" s="11" t="s">
        <v>34</v>
      </c>
      <c r="U1127" s="11">
        <v>4</v>
      </c>
      <c r="V1127" s="11" t="str">
        <f>TEXT('E-Commerce Sales Data'!$B1127,"mmmm")</f>
        <v>June</v>
      </c>
      <c r="W1127" s="8">
        <f t="shared" si="68"/>
        <v>465830</v>
      </c>
      <c r="X1127">
        <f t="shared" si="69"/>
        <v>75</v>
      </c>
      <c r="Y1127">
        <f t="shared" si="70"/>
        <v>35790.800000000003</v>
      </c>
      <c r="Z1127">
        <f t="shared" si="71"/>
        <v>52</v>
      </c>
    </row>
    <row r="1128" spans="1:26" x14ac:dyDescent="0.25">
      <c r="A1128" s="5" t="s">
        <v>1695</v>
      </c>
      <c r="B1128" s="6">
        <v>53514</v>
      </c>
      <c r="C1128" s="7" t="s">
        <v>1696</v>
      </c>
      <c r="D1128" s="7" t="s">
        <v>1233</v>
      </c>
      <c r="E1128" s="7">
        <v>43</v>
      </c>
      <c r="F1128" s="7" t="s">
        <v>24</v>
      </c>
      <c r="G1128" s="7" t="s">
        <v>1168</v>
      </c>
      <c r="H1128" s="7" t="s">
        <v>26</v>
      </c>
      <c r="I1128" s="7" t="s">
        <v>27</v>
      </c>
      <c r="J1128" s="7" t="s">
        <v>28</v>
      </c>
      <c r="K1128" s="7" t="s">
        <v>29</v>
      </c>
      <c r="L1128" s="7" t="s">
        <v>53</v>
      </c>
      <c r="M1128" s="7" t="s">
        <v>79</v>
      </c>
      <c r="N1128" s="7">
        <v>9250</v>
      </c>
      <c r="O1128" s="7">
        <v>6</v>
      </c>
      <c r="P1128" s="16">
        <v>0</v>
      </c>
      <c r="Q1128" s="7">
        <v>2770</v>
      </c>
      <c r="R1128" s="7" t="s">
        <v>80</v>
      </c>
      <c r="S1128" s="7" t="s">
        <v>33</v>
      </c>
      <c r="T1128" s="7" t="s">
        <v>34</v>
      </c>
      <c r="U1128" s="7">
        <v>3</v>
      </c>
      <c r="V1128" s="7" t="str">
        <f>TEXT('E-Commerce Sales Data'!$B1128,"mmmm")</f>
        <v>July</v>
      </c>
      <c r="W1128" s="8">
        <f t="shared" si="68"/>
        <v>463890</v>
      </c>
      <c r="X1128">
        <f t="shared" si="69"/>
        <v>74</v>
      </c>
      <c r="Y1128">
        <f t="shared" si="70"/>
        <v>36175.810810810814</v>
      </c>
      <c r="Z1128">
        <f t="shared" si="71"/>
        <v>52</v>
      </c>
    </row>
    <row r="1129" spans="1:26" x14ac:dyDescent="0.25">
      <c r="A1129" s="9" t="s">
        <v>1697</v>
      </c>
      <c r="B1129" s="10">
        <v>53521</v>
      </c>
      <c r="C1129" s="11" t="s">
        <v>1558</v>
      </c>
      <c r="D1129" s="11" t="s">
        <v>923</v>
      </c>
      <c r="E1129" s="11">
        <v>30</v>
      </c>
      <c r="F1129" s="11" t="s">
        <v>38</v>
      </c>
      <c r="G1129" s="11" t="s">
        <v>1050</v>
      </c>
      <c r="H1129" s="11" t="s">
        <v>26</v>
      </c>
      <c r="I1129" s="11" t="s">
        <v>27</v>
      </c>
      <c r="J1129" s="11" t="s">
        <v>42</v>
      </c>
      <c r="K1129" s="11" t="s">
        <v>60</v>
      </c>
      <c r="L1129" s="11" t="s">
        <v>61</v>
      </c>
      <c r="M1129" s="11" t="s">
        <v>62</v>
      </c>
      <c r="N1129" s="11">
        <v>13600</v>
      </c>
      <c r="O1129" s="11">
        <v>10</v>
      </c>
      <c r="P1129" s="17">
        <v>0.02</v>
      </c>
      <c r="Q1129" s="11">
        <v>3380</v>
      </c>
      <c r="R1129" s="11" t="s">
        <v>32</v>
      </c>
      <c r="S1129" s="11" t="s">
        <v>33</v>
      </c>
      <c r="T1129" s="11" t="s">
        <v>34</v>
      </c>
      <c r="U1129" s="11">
        <v>5</v>
      </c>
      <c r="V1129" s="11" t="str">
        <f>TEXT('E-Commerce Sales Data'!$B1129,"mmmm")</f>
        <v>July</v>
      </c>
      <c r="W1129" s="8">
        <f t="shared" si="68"/>
        <v>461120</v>
      </c>
      <c r="X1129">
        <f t="shared" si="69"/>
        <v>73</v>
      </c>
      <c r="Y1129">
        <f t="shared" si="70"/>
        <v>36544.657534246573</v>
      </c>
      <c r="Z1129">
        <f t="shared" si="71"/>
        <v>52</v>
      </c>
    </row>
    <row r="1130" spans="1:26" x14ac:dyDescent="0.25">
      <c r="A1130" s="5" t="s">
        <v>1698</v>
      </c>
      <c r="B1130" s="6">
        <v>53528</v>
      </c>
      <c r="C1130" s="7" t="s">
        <v>1004</v>
      </c>
      <c r="D1130" s="7" t="s">
        <v>1433</v>
      </c>
      <c r="E1130" s="7">
        <v>38</v>
      </c>
      <c r="F1130" s="7" t="s">
        <v>24</v>
      </c>
      <c r="G1130" s="7" t="s">
        <v>25</v>
      </c>
      <c r="H1130" s="7" t="s">
        <v>26</v>
      </c>
      <c r="I1130" s="7" t="s">
        <v>27</v>
      </c>
      <c r="J1130" s="7" t="s">
        <v>42</v>
      </c>
      <c r="K1130" s="7" t="s">
        <v>43</v>
      </c>
      <c r="L1130" s="7" t="s">
        <v>92</v>
      </c>
      <c r="M1130" s="7" t="s">
        <v>93</v>
      </c>
      <c r="N1130" s="7">
        <v>31700</v>
      </c>
      <c r="O1130" s="7">
        <v>1</v>
      </c>
      <c r="P1130" s="16">
        <v>0.1</v>
      </c>
      <c r="Q1130" s="7">
        <v>5720</v>
      </c>
      <c r="R1130" s="7" t="s">
        <v>46</v>
      </c>
      <c r="S1130" s="7" t="s">
        <v>47</v>
      </c>
      <c r="T1130" s="7" t="s">
        <v>34</v>
      </c>
      <c r="U1130" s="7">
        <v>4</v>
      </c>
      <c r="V1130" s="7" t="str">
        <f>TEXT('E-Commerce Sales Data'!$B1130,"mmmm")</f>
        <v>July</v>
      </c>
      <c r="W1130" s="8">
        <f t="shared" si="68"/>
        <v>457740</v>
      </c>
      <c r="X1130">
        <f t="shared" si="69"/>
        <v>72</v>
      </c>
      <c r="Y1130">
        <f t="shared" si="70"/>
        <v>36863.333333333336</v>
      </c>
      <c r="Z1130">
        <f t="shared" si="71"/>
        <v>52</v>
      </c>
    </row>
    <row r="1131" spans="1:26" x14ac:dyDescent="0.25">
      <c r="A1131" s="9" t="s">
        <v>1699</v>
      </c>
      <c r="B1131" s="10">
        <v>53535</v>
      </c>
      <c r="C1131" s="11" t="s">
        <v>922</v>
      </c>
      <c r="D1131" s="11" t="s">
        <v>1244</v>
      </c>
      <c r="E1131" s="11">
        <v>25</v>
      </c>
      <c r="F1131" s="11" t="s">
        <v>38</v>
      </c>
      <c r="G1131" s="11" t="s">
        <v>59</v>
      </c>
      <c r="H1131" s="11" t="s">
        <v>26</v>
      </c>
      <c r="I1131" s="11" t="s">
        <v>27</v>
      </c>
      <c r="J1131" s="11" t="s">
        <v>28</v>
      </c>
      <c r="K1131" s="11" t="s">
        <v>29</v>
      </c>
      <c r="L1131" s="11" t="s">
        <v>96</v>
      </c>
      <c r="M1131" s="11" t="s">
        <v>97</v>
      </c>
      <c r="N1131" s="11">
        <v>34200</v>
      </c>
      <c r="O1131" s="11">
        <v>2</v>
      </c>
      <c r="P1131" s="17">
        <v>0.05</v>
      </c>
      <c r="Q1131" s="11">
        <v>6500</v>
      </c>
      <c r="R1131" s="11" t="s">
        <v>32</v>
      </c>
      <c r="S1131" s="11" t="s">
        <v>33</v>
      </c>
      <c r="T1131" s="11" t="s">
        <v>34</v>
      </c>
      <c r="U1131" s="11">
        <v>4</v>
      </c>
      <c r="V1131" s="11" t="str">
        <f>TEXT('E-Commerce Sales Data'!$B1131,"mmmm")</f>
        <v>July</v>
      </c>
      <c r="W1131" s="8">
        <f t="shared" si="68"/>
        <v>452020</v>
      </c>
      <c r="X1131">
        <f t="shared" si="69"/>
        <v>71</v>
      </c>
      <c r="Y1131">
        <f t="shared" si="70"/>
        <v>36936.056338028167</v>
      </c>
      <c r="Z1131">
        <f t="shared" si="71"/>
        <v>52</v>
      </c>
    </row>
    <row r="1132" spans="1:26" x14ac:dyDescent="0.25">
      <c r="A1132" s="5" t="s">
        <v>1700</v>
      </c>
      <c r="B1132" s="6">
        <v>53542</v>
      </c>
      <c r="C1132" s="7" t="s">
        <v>1701</v>
      </c>
      <c r="D1132" s="7" t="s">
        <v>1475</v>
      </c>
      <c r="E1132" s="7">
        <v>35</v>
      </c>
      <c r="F1132" s="7" t="s">
        <v>24</v>
      </c>
      <c r="G1132" s="7" t="s">
        <v>924</v>
      </c>
      <c r="H1132" s="7" t="s">
        <v>26</v>
      </c>
      <c r="I1132" s="7" t="s">
        <v>27</v>
      </c>
      <c r="J1132" s="7" t="s">
        <v>28</v>
      </c>
      <c r="K1132" s="7" t="s">
        <v>60</v>
      </c>
      <c r="L1132" s="7" t="s">
        <v>53</v>
      </c>
      <c r="M1132" s="7" t="s">
        <v>103</v>
      </c>
      <c r="N1132" s="7">
        <v>2080</v>
      </c>
      <c r="O1132" s="7">
        <v>25</v>
      </c>
      <c r="P1132" s="16">
        <v>0</v>
      </c>
      <c r="Q1132" s="7">
        <v>640</v>
      </c>
      <c r="R1132" s="7" t="s">
        <v>55</v>
      </c>
      <c r="S1132" s="7" t="s">
        <v>33</v>
      </c>
      <c r="T1132" s="7" t="s">
        <v>34</v>
      </c>
      <c r="U1132" s="7">
        <v>5</v>
      </c>
      <c r="V1132" s="7" t="str">
        <f>TEXT('E-Commerce Sales Data'!$B1132,"mmmm")</f>
        <v>August</v>
      </c>
      <c r="W1132" s="8">
        <f t="shared" si="68"/>
        <v>445520</v>
      </c>
      <c r="X1132">
        <f t="shared" si="69"/>
        <v>70</v>
      </c>
      <c r="Y1132">
        <f t="shared" si="70"/>
        <v>36975.142857142855</v>
      </c>
      <c r="Z1132">
        <f t="shared" si="71"/>
        <v>52</v>
      </c>
    </row>
    <row r="1133" spans="1:26" x14ac:dyDescent="0.25">
      <c r="A1133" s="9" t="s">
        <v>1702</v>
      </c>
      <c r="B1133" s="10">
        <v>53549</v>
      </c>
      <c r="C1133" s="11" t="s">
        <v>1116</v>
      </c>
      <c r="D1133" s="11" t="s">
        <v>1469</v>
      </c>
      <c r="E1133" s="11">
        <v>31</v>
      </c>
      <c r="F1133" s="11" t="s">
        <v>38</v>
      </c>
      <c r="G1133" s="11" t="s">
        <v>914</v>
      </c>
      <c r="H1133" s="11" t="s">
        <v>26</v>
      </c>
      <c r="I1133" s="11" t="s">
        <v>27</v>
      </c>
      <c r="J1133" s="11" t="s">
        <v>42</v>
      </c>
      <c r="K1133" s="11" t="s">
        <v>43</v>
      </c>
      <c r="L1133" s="11" t="s">
        <v>68</v>
      </c>
      <c r="M1133" s="11" t="s">
        <v>106</v>
      </c>
      <c r="N1133" s="11">
        <v>49700</v>
      </c>
      <c r="O1133" s="11">
        <v>1</v>
      </c>
      <c r="P1133" s="17">
        <v>0.08</v>
      </c>
      <c r="Q1133" s="11">
        <v>10400</v>
      </c>
      <c r="R1133" s="11" t="s">
        <v>46</v>
      </c>
      <c r="S1133" s="11" t="s">
        <v>47</v>
      </c>
      <c r="T1133" s="11" t="s">
        <v>34</v>
      </c>
      <c r="U1133" s="11">
        <v>4</v>
      </c>
      <c r="V1133" s="11" t="str">
        <f>TEXT('E-Commerce Sales Data'!$B1133,"mmmm")</f>
        <v>August</v>
      </c>
      <c r="W1133" s="8">
        <f t="shared" si="68"/>
        <v>444880</v>
      </c>
      <c r="X1133">
        <f t="shared" si="69"/>
        <v>69</v>
      </c>
      <c r="Y1133">
        <f t="shared" si="70"/>
        <v>37480.869565217392</v>
      </c>
      <c r="Z1133">
        <f t="shared" si="71"/>
        <v>52</v>
      </c>
    </row>
    <row r="1134" spans="1:26" x14ac:dyDescent="0.25">
      <c r="A1134" s="5" t="s">
        <v>1703</v>
      </c>
      <c r="B1134" s="6">
        <v>53556</v>
      </c>
      <c r="C1134" s="7" t="s">
        <v>1704</v>
      </c>
      <c r="D1134" s="7" t="s">
        <v>1559</v>
      </c>
      <c r="E1134" s="7">
        <v>29</v>
      </c>
      <c r="F1134" s="7" t="s">
        <v>24</v>
      </c>
      <c r="G1134" s="7" t="s">
        <v>59</v>
      </c>
      <c r="H1134" s="7" t="s">
        <v>26</v>
      </c>
      <c r="I1134" s="7" t="s">
        <v>27</v>
      </c>
      <c r="J1134" s="7" t="s">
        <v>28</v>
      </c>
      <c r="K1134" s="7" t="s">
        <v>29</v>
      </c>
      <c r="L1134" s="7" t="s">
        <v>30</v>
      </c>
      <c r="M1134" s="7" t="s">
        <v>31</v>
      </c>
      <c r="N1134" s="7">
        <v>138000</v>
      </c>
      <c r="O1134" s="7">
        <v>1</v>
      </c>
      <c r="P1134" s="16">
        <v>0.1</v>
      </c>
      <c r="Q1134" s="7">
        <v>15900</v>
      </c>
      <c r="R1134" s="7" t="s">
        <v>32</v>
      </c>
      <c r="S1134" s="7" t="s">
        <v>47</v>
      </c>
      <c r="T1134" s="7" t="s">
        <v>34</v>
      </c>
      <c r="U1134" s="7">
        <v>5</v>
      </c>
      <c r="V1134" s="7" t="str">
        <f>TEXT('E-Commerce Sales Data'!$B1134,"mmmm")</f>
        <v>August</v>
      </c>
      <c r="W1134" s="8">
        <f t="shared" si="68"/>
        <v>434480</v>
      </c>
      <c r="X1134">
        <f t="shared" si="69"/>
        <v>68</v>
      </c>
      <c r="Y1134">
        <f t="shared" si="70"/>
        <v>37301.176470588238</v>
      </c>
      <c r="Z1134">
        <f t="shared" si="71"/>
        <v>52</v>
      </c>
    </row>
    <row r="1135" spans="1:26" x14ac:dyDescent="0.25">
      <c r="A1135" s="9" t="s">
        <v>1705</v>
      </c>
      <c r="B1135" s="10">
        <v>53563</v>
      </c>
      <c r="C1135" s="11" t="s">
        <v>1224</v>
      </c>
      <c r="D1135" s="11" t="s">
        <v>1523</v>
      </c>
      <c r="E1135" s="11">
        <v>36</v>
      </c>
      <c r="F1135" s="11" t="s">
        <v>38</v>
      </c>
      <c r="G1135" s="11" t="s">
        <v>25</v>
      </c>
      <c r="H1135" s="11" t="s">
        <v>26</v>
      </c>
      <c r="I1135" s="11" t="s">
        <v>27</v>
      </c>
      <c r="J1135" s="11" t="s">
        <v>28</v>
      </c>
      <c r="K1135" s="11" t="s">
        <v>60</v>
      </c>
      <c r="L1135" s="11" t="s">
        <v>92</v>
      </c>
      <c r="M1135" s="11" t="s">
        <v>111</v>
      </c>
      <c r="N1135" s="11">
        <v>2750</v>
      </c>
      <c r="O1135" s="11">
        <v>15</v>
      </c>
      <c r="P1135" s="17">
        <v>0.05</v>
      </c>
      <c r="Q1135" s="11">
        <v>910</v>
      </c>
      <c r="R1135" s="11" t="s">
        <v>80</v>
      </c>
      <c r="S1135" s="11" t="s">
        <v>33</v>
      </c>
      <c r="T1135" s="11" t="s">
        <v>34</v>
      </c>
      <c r="U1135" s="11">
        <v>4</v>
      </c>
      <c r="V1135" s="11" t="str">
        <f>TEXT('E-Commerce Sales Data'!$B1135,"mmmm")</f>
        <v>August</v>
      </c>
      <c r="W1135" s="8">
        <f t="shared" si="68"/>
        <v>418580</v>
      </c>
      <c r="X1135">
        <f t="shared" si="69"/>
        <v>67</v>
      </c>
      <c r="Y1135">
        <f t="shared" si="70"/>
        <v>35798.208955223883</v>
      </c>
      <c r="Z1135">
        <f t="shared" si="71"/>
        <v>52</v>
      </c>
    </row>
    <row r="1136" spans="1:26" x14ac:dyDescent="0.25">
      <c r="A1136" s="5" t="s">
        <v>1706</v>
      </c>
      <c r="B1136" s="6">
        <v>53570</v>
      </c>
      <c r="C1136" s="7" t="s">
        <v>1707</v>
      </c>
      <c r="D1136" s="7" t="s">
        <v>1654</v>
      </c>
      <c r="E1136" s="7">
        <v>44</v>
      </c>
      <c r="F1136" s="7" t="s">
        <v>24</v>
      </c>
      <c r="G1136" s="7" t="s">
        <v>78</v>
      </c>
      <c r="H1136" s="7" t="s">
        <v>26</v>
      </c>
      <c r="I1136" s="7" t="s">
        <v>27</v>
      </c>
      <c r="J1136" s="7" t="s">
        <v>42</v>
      </c>
      <c r="K1136" s="7" t="s">
        <v>43</v>
      </c>
      <c r="L1136" s="7" t="s">
        <v>44</v>
      </c>
      <c r="M1136" s="7" t="s">
        <v>45</v>
      </c>
      <c r="N1136" s="7">
        <v>26000</v>
      </c>
      <c r="O1136" s="7">
        <v>4</v>
      </c>
      <c r="P1136" s="16">
        <v>7.0000000000000007E-2</v>
      </c>
      <c r="Q1136" s="7">
        <v>6100</v>
      </c>
      <c r="R1136" s="7" t="s">
        <v>46</v>
      </c>
      <c r="S1136" s="7" t="s">
        <v>33</v>
      </c>
      <c r="T1136" s="7" t="s">
        <v>34</v>
      </c>
      <c r="U1136" s="7">
        <v>4</v>
      </c>
      <c r="V1136" s="7" t="str">
        <f>TEXT('E-Commerce Sales Data'!$B1136,"mmmm")</f>
        <v>August</v>
      </c>
      <c r="W1136" s="8">
        <f t="shared" si="68"/>
        <v>417670</v>
      </c>
      <c r="X1136">
        <f t="shared" si="69"/>
        <v>66</v>
      </c>
      <c r="Y1136">
        <f t="shared" si="70"/>
        <v>36298.939393939392</v>
      </c>
      <c r="Z1136">
        <f t="shared" si="71"/>
        <v>52</v>
      </c>
    </row>
    <row r="1137" spans="1:26" x14ac:dyDescent="0.25">
      <c r="A1137" s="9" t="s">
        <v>1708</v>
      </c>
      <c r="B1137" s="10">
        <v>53577</v>
      </c>
      <c r="C1137" s="11" t="s">
        <v>124</v>
      </c>
      <c r="D1137" s="11" t="s">
        <v>1622</v>
      </c>
      <c r="E1137" s="11">
        <v>28</v>
      </c>
      <c r="F1137" s="11" t="s">
        <v>38</v>
      </c>
      <c r="G1137" s="11" t="s">
        <v>928</v>
      </c>
      <c r="H1137" s="11" t="s">
        <v>26</v>
      </c>
      <c r="I1137" s="11" t="s">
        <v>27</v>
      </c>
      <c r="J1137" s="11" t="s">
        <v>28</v>
      </c>
      <c r="K1137" s="11" t="s">
        <v>29</v>
      </c>
      <c r="L1137" s="11" t="s">
        <v>53</v>
      </c>
      <c r="M1137" s="11" t="s">
        <v>54</v>
      </c>
      <c r="N1137" s="11">
        <v>52500</v>
      </c>
      <c r="O1137" s="11">
        <v>2</v>
      </c>
      <c r="P1137" s="17">
        <v>0.05</v>
      </c>
      <c r="Q1137" s="11">
        <v>10300</v>
      </c>
      <c r="R1137" s="11" t="s">
        <v>32</v>
      </c>
      <c r="S1137" s="11" t="s">
        <v>47</v>
      </c>
      <c r="T1137" s="11" t="s">
        <v>34</v>
      </c>
      <c r="U1137" s="11">
        <v>5</v>
      </c>
      <c r="V1137" s="11" t="str">
        <f>TEXT('E-Commerce Sales Data'!$B1137,"mmmm")</f>
        <v>September</v>
      </c>
      <c r="W1137" s="8">
        <f t="shared" si="68"/>
        <v>411570</v>
      </c>
      <c r="X1137">
        <f t="shared" si="69"/>
        <v>65</v>
      </c>
      <c r="Y1137">
        <f t="shared" si="70"/>
        <v>36457.384615384617</v>
      </c>
      <c r="Z1137">
        <f t="shared" si="71"/>
        <v>52</v>
      </c>
    </row>
    <row r="1138" spans="1:26" x14ac:dyDescent="0.25">
      <c r="A1138" s="5" t="s">
        <v>1709</v>
      </c>
      <c r="B1138" s="6">
        <v>53584</v>
      </c>
      <c r="C1138" s="7" t="s">
        <v>1160</v>
      </c>
      <c r="D1138" s="7" t="s">
        <v>1673</v>
      </c>
      <c r="E1138" s="7">
        <v>42</v>
      </c>
      <c r="F1138" s="7" t="s">
        <v>24</v>
      </c>
      <c r="G1138" s="7" t="s">
        <v>59</v>
      </c>
      <c r="H1138" s="7" t="s">
        <v>26</v>
      </c>
      <c r="I1138" s="7" t="s">
        <v>27</v>
      </c>
      <c r="J1138" s="7" t="s">
        <v>42</v>
      </c>
      <c r="K1138" s="7" t="s">
        <v>60</v>
      </c>
      <c r="L1138" s="7" t="s">
        <v>61</v>
      </c>
      <c r="M1138" s="7" t="s">
        <v>62</v>
      </c>
      <c r="N1138" s="7">
        <v>13800</v>
      </c>
      <c r="O1138" s="7">
        <v>10</v>
      </c>
      <c r="P1138" s="16">
        <v>0.03</v>
      </c>
      <c r="Q1138" s="7">
        <v>3440</v>
      </c>
      <c r="R1138" s="7" t="s">
        <v>55</v>
      </c>
      <c r="S1138" s="7" t="s">
        <v>33</v>
      </c>
      <c r="T1138" s="7" t="s">
        <v>34</v>
      </c>
      <c r="U1138" s="7">
        <v>4</v>
      </c>
      <c r="V1138" s="7" t="str">
        <f>TEXT('E-Commerce Sales Data'!$B1138,"mmmm")</f>
        <v>September</v>
      </c>
      <c r="W1138" s="8">
        <f t="shared" si="68"/>
        <v>401270</v>
      </c>
      <c r="X1138">
        <f t="shared" si="69"/>
        <v>64</v>
      </c>
      <c r="Y1138">
        <f t="shared" si="70"/>
        <v>36206.71875</v>
      </c>
      <c r="Z1138">
        <f t="shared" si="71"/>
        <v>52</v>
      </c>
    </row>
    <row r="1139" spans="1:26" x14ac:dyDescent="0.25">
      <c r="A1139" s="9" t="s">
        <v>1710</v>
      </c>
      <c r="B1139" s="10">
        <v>53591</v>
      </c>
      <c r="C1139" s="11" t="s">
        <v>1443</v>
      </c>
      <c r="D1139" s="11" t="s">
        <v>1593</v>
      </c>
      <c r="E1139" s="11">
        <v>27</v>
      </c>
      <c r="F1139" s="11" t="s">
        <v>38</v>
      </c>
      <c r="G1139" s="11" t="s">
        <v>25</v>
      </c>
      <c r="H1139" s="11" t="s">
        <v>26</v>
      </c>
      <c r="I1139" s="11" t="s">
        <v>27</v>
      </c>
      <c r="J1139" s="11" t="s">
        <v>28</v>
      </c>
      <c r="K1139" s="11" t="s">
        <v>43</v>
      </c>
      <c r="L1139" s="11" t="s">
        <v>68</v>
      </c>
      <c r="M1139" s="11" t="s">
        <v>69</v>
      </c>
      <c r="N1139" s="11">
        <v>48800</v>
      </c>
      <c r="O1139" s="11">
        <v>2</v>
      </c>
      <c r="P1139" s="17">
        <v>0.1</v>
      </c>
      <c r="Q1139" s="11">
        <v>8000</v>
      </c>
      <c r="R1139" s="11" t="s">
        <v>32</v>
      </c>
      <c r="S1139" s="11" t="s">
        <v>47</v>
      </c>
      <c r="T1139" s="11" t="s">
        <v>34</v>
      </c>
      <c r="U1139" s="11">
        <v>5</v>
      </c>
      <c r="V1139" s="11" t="str">
        <f>TEXT('E-Commerce Sales Data'!$B1139,"mmmm")</f>
        <v>September</v>
      </c>
      <c r="W1139" s="8">
        <f t="shared" si="68"/>
        <v>397830</v>
      </c>
      <c r="X1139">
        <f t="shared" si="69"/>
        <v>63</v>
      </c>
      <c r="Y1139">
        <f t="shared" si="70"/>
        <v>36562.380952380954</v>
      </c>
      <c r="Z1139">
        <f t="shared" si="71"/>
        <v>52</v>
      </c>
    </row>
    <row r="1140" spans="1:26" x14ac:dyDescent="0.25">
      <c r="A1140" s="5" t="s">
        <v>1711</v>
      </c>
      <c r="B1140" s="6">
        <v>53598</v>
      </c>
      <c r="C1140" s="7" t="s">
        <v>1712</v>
      </c>
      <c r="D1140" s="7" t="s">
        <v>1618</v>
      </c>
      <c r="E1140" s="7">
        <v>34</v>
      </c>
      <c r="F1140" s="7" t="s">
        <v>24</v>
      </c>
      <c r="G1140" s="7" t="s">
        <v>914</v>
      </c>
      <c r="H1140" s="7" t="s">
        <v>26</v>
      </c>
      <c r="I1140" s="7" t="s">
        <v>27</v>
      </c>
      <c r="J1140" s="7" t="s">
        <v>42</v>
      </c>
      <c r="K1140" s="7" t="s">
        <v>29</v>
      </c>
      <c r="L1140" s="7" t="s">
        <v>53</v>
      </c>
      <c r="M1140" s="7" t="s">
        <v>75</v>
      </c>
      <c r="N1140" s="7">
        <v>7750</v>
      </c>
      <c r="O1140" s="7">
        <v>4</v>
      </c>
      <c r="P1140" s="16">
        <v>0.05</v>
      </c>
      <c r="Q1140" s="7">
        <v>2050</v>
      </c>
      <c r="R1140" s="7" t="s">
        <v>46</v>
      </c>
      <c r="S1140" s="7" t="s">
        <v>33</v>
      </c>
      <c r="T1140" s="7" t="s">
        <v>34</v>
      </c>
      <c r="U1140" s="7">
        <v>3</v>
      </c>
      <c r="V1140" s="7" t="str">
        <f>TEXT('E-Commerce Sales Data'!$B1140,"mmmm")</f>
        <v>September</v>
      </c>
      <c r="W1140" s="8">
        <f t="shared" si="68"/>
        <v>389830</v>
      </c>
      <c r="X1140">
        <f t="shared" si="69"/>
        <v>62</v>
      </c>
      <c r="Y1140">
        <f t="shared" si="70"/>
        <v>36365</v>
      </c>
      <c r="Z1140">
        <f t="shared" si="71"/>
        <v>52</v>
      </c>
    </row>
    <row r="1141" spans="1:26" x14ac:dyDescent="0.25">
      <c r="A1141" s="9" t="s">
        <v>1713</v>
      </c>
      <c r="B1141" s="10">
        <v>53605</v>
      </c>
      <c r="C1141" s="11" t="s">
        <v>1714</v>
      </c>
      <c r="D1141" s="11" t="s">
        <v>1171</v>
      </c>
      <c r="E1141" s="11">
        <v>30</v>
      </c>
      <c r="F1141" s="11" t="s">
        <v>38</v>
      </c>
      <c r="G1141" s="11" t="s">
        <v>59</v>
      </c>
      <c r="H1141" s="11" t="s">
        <v>26</v>
      </c>
      <c r="I1141" s="11" t="s">
        <v>27</v>
      </c>
      <c r="J1141" s="11" t="s">
        <v>28</v>
      </c>
      <c r="K1141" s="11" t="s">
        <v>29</v>
      </c>
      <c r="L1141" s="11" t="s">
        <v>53</v>
      </c>
      <c r="M1141" s="11" t="s">
        <v>79</v>
      </c>
      <c r="N1141" s="11">
        <v>9400</v>
      </c>
      <c r="O1141" s="11">
        <v>7</v>
      </c>
      <c r="P1141" s="17">
        <v>0</v>
      </c>
      <c r="Q1141" s="11">
        <v>2820</v>
      </c>
      <c r="R1141" s="11" t="s">
        <v>32</v>
      </c>
      <c r="S1141" s="11" t="s">
        <v>33</v>
      </c>
      <c r="T1141" s="11" t="s">
        <v>34</v>
      </c>
      <c r="U1141" s="11">
        <v>4</v>
      </c>
      <c r="V1141" s="11" t="str">
        <f>TEXT('E-Commerce Sales Data'!$B1141,"mmmm")</f>
        <v>October</v>
      </c>
      <c r="W1141" s="8">
        <f t="shared" si="68"/>
        <v>387780</v>
      </c>
      <c r="X1141">
        <f t="shared" si="69"/>
        <v>61</v>
      </c>
      <c r="Y1141">
        <f t="shared" si="70"/>
        <v>36834.098360655735</v>
      </c>
      <c r="Z1141">
        <f t="shared" si="71"/>
        <v>52</v>
      </c>
    </row>
    <row r="1142" spans="1:26" x14ac:dyDescent="0.25">
      <c r="A1142" s="5" t="s">
        <v>1715</v>
      </c>
      <c r="B1142" s="6">
        <v>53612</v>
      </c>
      <c r="C1142" s="7" t="s">
        <v>1047</v>
      </c>
      <c r="D1142" s="7" t="s">
        <v>913</v>
      </c>
      <c r="E1142" s="7">
        <v>39</v>
      </c>
      <c r="F1142" s="7" t="s">
        <v>24</v>
      </c>
      <c r="G1142" s="7" t="s">
        <v>25</v>
      </c>
      <c r="H1142" s="7" t="s">
        <v>26</v>
      </c>
      <c r="I1142" s="7" t="s">
        <v>27</v>
      </c>
      <c r="J1142" s="7" t="s">
        <v>28</v>
      </c>
      <c r="K1142" s="7" t="s">
        <v>29</v>
      </c>
      <c r="L1142" s="7" t="s">
        <v>30</v>
      </c>
      <c r="M1142" s="7" t="s">
        <v>31</v>
      </c>
      <c r="N1142" s="7">
        <v>139500</v>
      </c>
      <c r="O1142" s="7">
        <v>1</v>
      </c>
      <c r="P1142" s="16">
        <v>0.05</v>
      </c>
      <c r="Q1142" s="7">
        <v>17100</v>
      </c>
      <c r="R1142" s="7" t="s">
        <v>32</v>
      </c>
      <c r="S1142" s="7" t="s">
        <v>47</v>
      </c>
      <c r="T1142" s="7" t="s">
        <v>34</v>
      </c>
      <c r="U1142" s="7">
        <v>5</v>
      </c>
      <c r="V1142" s="7" t="str">
        <f>TEXT('E-Commerce Sales Data'!$B1142,"mmmm")</f>
        <v>October</v>
      </c>
      <c r="W1142" s="8">
        <f t="shared" si="68"/>
        <v>384960</v>
      </c>
      <c r="X1142">
        <f t="shared" si="69"/>
        <v>60</v>
      </c>
      <c r="Y1142">
        <f t="shared" si="70"/>
        <v>37291.333333333336</v>
      </c>
      <c r="Z1142">
        <f t="shared" si="71"/>
        <v>52</v>
      </c>
    </row>
    <row r="1143" spans="1:26" x14ac:dyDescent="0.25">
      <c r="A1143" s="9" t="s">
        <v>1716</v>
      </c>
      <c r="B1143" s="10">
        <v>53619</v>
      </c>
      <c r="C1143" s="11" t="s">
        <v>1717</v>
      </c>
      <c r="D1143" s="11" t="s">
        <v>1027</v>
      </c>
      <c r="E1143" s="11">
        <v>33</v>
      </c>
      <c r="F1143" s="11" t="s">
        <v>38</v>
      </c>
      <c r="G1143" s="11" t="s">
        <v>953</v>
      </c>
      <c r="H1143" s="11" t="s">
        <v>953</v>
      </c>
      <c r="I1143" s="11" t="s">
        <v>27</v>
      </c>
      <c r="J1143" s="11" t="s">
        <v>42</v>
      </c>
      <c r="K1143" s="11" t="s">
        <v>43</v>
      </c>
      <c r="L1143" s="11" t="s">
        <v>44</v>
      </c>
      <c r="M1143" s="11" t="s">
        <v>45</v>
      </c>
      <c r="N1143" s="11">
        <v>22600</v>
      </c>
      <c r="O1143" s="11">
        <v>3</v>
      </c>
      <c r="P1143" s="17">
        <v>0.1</v>
      </c>
      <c r="Q1143" s="11">
        <v>5300</v>
      </c>
      <c r="R1143" s="11" t="s">
        <v>46</v>
      </c>
      <c r="S1143" s="11" t="s">
        <v>33</v>
      </c>
      <c r="T1143" s="11" t="s">
        <v>34</v>
      </c>
      <c r="U1143" s="11">
        <v>4</v>
      </c>
      <c r="V1143" s="11" t="str">
        <f>TEXT('E-Commerce Sales Data'!$B1143,"mmmm")</f>
        <v>October</v>
      </c>
      <c r="W1143" s="8">
        <f t="shared" si="68"/>
        <v>367860</v>
      </c>
      <c r="X1143">
        <f t="shared" si="69"/>
        <v>59</v>
      </c>
      <c r="Y1143">
        <f t="shared" si="70"/>
        <v>35558.983050847455</v>
      </c>
      <c r="Z1143">
        <f t="shared" si="71"/>
        <v>52</v>
      </c>
    </row>
    <row r="1144" spans="1:26" x14ac:dyDescent="0.25">
      <c r="A1144" s="5" t="s">
        <v>1718</v>
      </c>
      <c r="B1144" s="6">
        <v>53626</v>
      </c>
      <c r="C1144" s="7" t="s">
        <v>1641</v>
      </c>
      <c r="D1144" s="7" t="s">
        <v>1545</v>
      </c>
      <c r="E1144" s="7">
        <v>45</v>
      </c>
      <c r="F1144" s="7" t="s">
        <v>24</v>
      </c>
      <c r="G1144" s="7" t="s">
        <v>59</v>
      </c>
      <c r="H1144" s="7" t="s">
        <v>26</v>
      </c>
      <c r="I1144" s="7" t="s">
        <v>27</v>
      </c>
      <c r="J1144" s="7" t="s">
        <v>28</v>
      </c>
      <c r="K1144" s="7" t="s">
        <v>29</v>
      </c>
      <c r="L1144" s="7" t="s">
        <v>53</v>
      </c>
      <c r="M1144" s="7" t="s">
        <v>54</v>
      </c>
      <c r="N1144" s="7">
        <v>53400</v>
      </c>
      <c r="O1144" s="7">
        <v>2</v>
      </c>
      <c r="P1144" s="16">
        <v>0.05</v>
      </c>
      <c r="Q1144" s="7">
        <v>10500</v>
      </c>
      <c r="R1144" s="7" t="s">
        <v>55</v>
      </c>
      <c r="S1144" s="7" t="s">
        <v>33</v>
      </c>
      <c r="T1144" s="7" t="s">
        <v>34</v>
      </c>
      <c r="U1144" s="7">
        <v>4</v>
      </c>
      <c r="V1144" s="7" t="str">
        <f>TEXT('E-Commerce Sales Data'!$B1144,"mmmm")</f>
        <v>October</v>
      </c>
      <c r="W1144" s="8">
        <f t="shared" si="68"/>
        <v>362560</v>
      </c>
      <c r="X1144">
        <f t="shared" si="69"/>
        <v>58</v>
      </c>
      <c r="Y1144">
        <f t="shared" si="70"/>
        <v>35782.413793103449</v>
      </c>
      <c r="Z1144">
        <f t="shared" si="71"/>
        <v>52</v>
      </c>
    </row>
    <row r="1145" spans="1:26" x14ac:dyDescent="0.25">
      <c r="A1145" s="9" t="s">
        <v>1719</v>
      </c>
      <c r="B1145" s="10">
        <v>53633</v>
      </c>
      <c r="C1145" s="11" t="s">
        <v>71</v>
      </c>
      <c r="D1145" s="11" t="s">
        <v>1586</v>
      </c>
      <c r="E1145" s="11">
        <v>26</v>
      </c>
      <c r="F1145" s="11" t="s">
        <v>38</v>
      </c>
      <c r="G1145" s="11" t="s">
        <v>78</v>
      </c>
      <c r="H1145" s="11" t="s">
        <v>26</v>
      </c>
      <c r="I1145" s="11" t="s">
        <v>27</v>
      </c>
      <c r="J1145" s="11" t="s">
        <v>28</v>
      </c>
      <c r="K1145" s="11" t="s">
        <v>60</v>
      </c>
      <c r="L1145" s="11" t="s">
        <v>61</v>
      </c>
      <c r="M1145" s="11" t="s">
        <v>86</v>
      </c>
      <c r="N1145" s="11">
        <v>1470</v>
      </c>
      <c r="O1145" s="11">
        <v>20</v>
      </c>
      <c r="P1145" s="17">
        <v>0.02</v>
      </c>
      <c r="Q1145" s="11">
        <v>440</v>
      </c>
      <c r="R1145" s="11" t="s">
        <v>32</v>
      </c>
      <c r="S1145" s="11" t="s">
        <v>33</v>
      </c>
      <c r="T1145" s="11" t="s">
        <v>34</v>
      </c>
      <c r="U1145" s="11">
        <v>5</v>
      </c>
      <c r="V1145" s="11" t="str">
        <f>TEXT('E-Commerce Sales Data'!$B1145,"mmmm")</f>
        <v>November</v>
      </c>
      <c r="W1145" s="8">
        <f t="shared" si="68"/>
        <v>352060</v>
      </c>
      <c r="X1145">
        <f t="shared" si="69"/>
        <v>57</v>
      </c>
      <c r="Y1145">
        <f t="shared" si="70"/>
        <v>35473.333333333336</v>
      </c>
      <c r="Z1145">
        <f t="shared" si="71"/>
        <v>52</v>
      </c>
    </row>
    <row r="1146" spans="1:26" x14ac:dyDescent="0.25">
      <c r="A1146" s="5" t="s">
        <v>1720</v>
      </c>
      <c r="B1146" s="6">
        <v>53640</v>
      </c>
      <c r="C1146" s="7" t="s">
        <v>64</v>
      </c>
      <c r="D1146" s="7" t="s">
        <v>1590</v>
      </c>
      <c r="E1146" s="7">
        <v>41</v>
      </c>
      <c r="F1146" s="7" t="s">
        <v>24</v>
      </c>
      <c r="G1146" s="7" t="s">
        <v>25</v>
      </c>
      <c r="H1146" s="7" t="s">
        <v>26</v>
      </c>
      <c r="I1146" s="7" t="s">
        <v>27</v>
      </c>
      <c r="J1146" s="7" t="s">
        <v>42</v>
      </c>
      <c r="K1146" s="7" t="s">
        <v>43</v>
      </c>
      <c r="L1146" s="7" t="s">
        <v>68</v>
      </c>
      <c r="M1146" s="7" t="s">
        <v>69</v>
      </c>
      <c r="N1146" s="7">
        <v>51200</v>
      </c>
      <c r="O1146" s="7">
        <v>2</v>
      </c>
      <c r="P1146" s="16">
        <v>0.08</v>
      </c>
      <c r="Q1146" s="7">
        <v>8900</v>
      </c>
      <c r="R1146" s="7" t="s">
        <v>46</v>
      </c>
      <c r="S1146" s="7" t="s">
        <v>47</v>
      </c>
      <c r="T1146" s="7" t="s">
        <v>34</v>
      </c>
      <c r="U1146" s="7">
        <v>4</v>
      </c>
      <c r="V1146" s="7" t="str">
        <f>TEXT('E-Commerce Sales Data'!$B1146,"mmmm")</f>
        <v>November</v>
      </c>
      <c r="W1146" s="8">
        <f t="shared" si="68"/>
        <v>351620</v>
      </c>
      <c r="X1146">
        <f t="shared" si="69"/>
        <v>56</v>
      </c>
      <c r="Y1146">
        <f t="shared" si="70"/>
        <v>36080.535714285717</v>
      </c>
      <c r="Z1146">
        <f t="shared" si="71"/>
        <v>52</v>
      </c>
    </row>
    <row r="1147" spans="1:26" x14ac:dyDescent="0.25">
      <c r="A1147" s="9" t="s">
        <v>1721</v>
      </c>
      <c r="B1147" s="10">
        <v>53647</v>
      </c>
      <c r="C1147" s="11" t="s">
        <v>1095</v>
      </c>
      <c r="D1147" s="11" t="s">
        <v>1485</v>
      </c>
      <c r="E1147" s="11">
        <v>29</v>
      </c>
      <c r="F1147" s="11" t="s">
        <v>38</v>
      </c>
      <c r="G1147" s="11" t="s">
        <v>924</v>
      </c>
      <c r="H1147" s="11" t="s">
        <v>26</v>
      </c>
      <c r="I1147" s="11" t="s">
        <v>27</v>
      </c>
      <c r="J1147" s="11" t="s">
        <v>28</v>
      </c>
      <c r="K1147" s="11" t="s">
        <v>29</v>
      </c>
      <c r="L1147" s="11" t="s">
        <v>53</v>
      </c>
      <c r="M1147" s="11" t="s">
        <v>75</v>
      </c>
      <c r="N1147" s="11">
        <v>7500</v>
      </c>
      <c r="O1147" s="11">
        <v>3</v>
      </c>
      <c r="P1147" s="17">
        <v>0.05</v>
      </c>
      <c r="Q1147" s="11">
        <v>2000</v>
      </c>
      <c r="R1147" s="11" t="s">
        <v>32</v>
      </c>
      <c r="S1147" s="11" t="s">
        <v>33</v>
      </c>
      <c r="T1147" s="11" t="s">
        <v>34</v>
      </c>
      <c r="U1147" s="11">
        <v>4</v>
      </c>
      <c r="V1147" s="11" t="str">
        <f>TEXT('E-Commerce Sales Data'!$B1147,"mmmm")</f>
        <v>November</v>
      </c>
      <c r="W1147" s="8">
        <f t="shared" si="68"/>
        <v>342720</v>
      </c>
      <c r="X1147">
        <f t="shared" si="69"/>
        <v>55</v>
      </c>
      <c r="Y1147">
        <f t="shared" si="70"/>
        <v>35805.63636363636</v>
      </c>
      <c r="Z1147">
        <f t="shared" si="71"/>
        <v>52</v>
      </c>
    </row>
    <row r="1148" spans="1:26" x14ac:dyDescent="0.25">
      <c r="A1148" s="5" t="s">
        <v>1722</v>
      </c>
      <c r="B1148" s="6">
        <v>53654</v>
      </c>
      <c r="C1148" s="7" t="s">
        <v>1052</v>
      </c>
      <c r="D1148" s="7" t="s">
        <v>1535</v>
      </c>
      <c r="E1148" s="7">
        <v>37</v>
      </c>
      <c r="F1148" s="7" t="s">
        <v>24</v>
      </c>
      <c r="G1148" s="7" t="s">
        <v>1168</v>
      </c>
      <c r="H1148" s="7" t="s">
        <v>26</v>
      </c>
      <c r="I1148" s="7" t="s">
        <v>27</v>
      </c>
      <c r="J1148" s="7" t="s">
        <v>28</v>
      </c>
      <c r="K1148" s="7" t="s">
        <v>29</v>
      </c>
      <c r="L1148" s="7" t="s">
        <v>53</v>
      </c>
      <c r="M1148" s="7" t="s">
        <v>79</v>
      </c>
      <c r="N1148" s="7">
        <v>9550</v>
      </c>
      <c r="O1148" s="7">
        <v>6</v>
      </c>
      <c r="P1148" s="16">
        <v>0</v>
      </c>
      <c r="Q1148" s="7">
        <v>2860</v>
      </c>
      <c r="R1148" s="7" t="s">
        <v>80</v>
      </c>
      <c r="S1148" s="7" t="s">
        <v>33</v>
      </c>
      <c r="T1148" s="7" t="s">
        <v>34</v>
      </c>
      <c r="U1148" s="7">
        <v>3</v>
      </c>
      <c r="V1148" s="7" t="str">
        <f>TEXT('E-Commerce Sales Data'!$B1148,"mmmm")</f>
        <v>November</v>
      </c>
      <c r="W1148" s="8">
        <f t="shared" si="68"/>
        <v>340720</v>
      </c>
      <c r="X1148">
        <f t="shared" si="69"/>
        <v>54</v>
      </c>
      <c r="Y1148">
        <f t="shared" si="70"/>
        <v>36329.814814814818</v>
      </c>
      <c r="Z1148">
        <f t="shared" si="71"/>
        <v>52</v>
      </c>
    </row>
    <row r="1149" spans="1:26" x14ac:dyDescent="0.25">
      <c r="A1149" s="9" t="s">
        <v>1723</v>
      </c>
      <c r="B1149" s="10">
        <v>53661</v>
      </c>
      <c r="C1149" s="11" t="s">
        <v>987</v>
      </c>
      <c r="D1149" s="11" t="s">
        <v>1611</v>
      </c>
      <c r="E1149" s="11">
        <v>32</v>
      </c>
      <c r="F1149" s="11" t="s">
        <v>38</v>
      </c>
      <c r="G1149" s="11" t="s">
        <v>59</v>
      </c>
      <c r="H1149" s="11" t="s">
        <v>26</v>
      </c>
      <c r="I1149" s="11" t="s">
        <v>27</v>
      </c>
      <c r="J1149" s="11" t="s">
        <v>42</v>
      </c>
      <c r="K1149" s="11" t="s">
        <v>60</v>
      </c>
      <c r="L1149" s="11" t="s">
        <v>61</v>
      </c>
      <c r="M1149" s="11" t="s">
        <v>62</v>
      </c>
      <c r="N1149" s="11">
        <v>14000</v>
      </c>
      <c r="O1149" s="11">
        <v>10</v>
      </c>
      <c r="P1149" s="17">
        <v>0.02</v>
      </c>
      <c r="Q1149" s="11">
        <v>3500</v>
      </c>
      <c r="R1149" s="11" t="s">
        <v>32</v>
      </c>
      <c r="S1149" s="11" t="s">
        <v>33</v>
      </c>
      <c r="T1149" s="11" t="s">
        <v>34</v>
      </c>
      <c r="U1149" s="11">
        <v>5</v>
      </c>
      <c r="V1149" s="11" t="str">
        <f>TEXT('E-Commerce Sales Data'!$B1149,"mmmm")</f>
        <v>November</v>
      </c>
      <c r="W1149" s="8">
        <f t="shared" si="68"/>
        <v>337860</v>
      </c>
      <c r="X1149">
        <f t="shared" si="69"/>
        <v>53</v>
      </c>
      <c r="Y1149">
        <f t="shared" si="70"/>
        <v>36835.094339622643</v>
      </c>
      <c r="Z1149">
        <f t="shared" si="71"/>
        <v>52</v>
      </c>
    </row>
    <row r="1150" spans="1:26" x14ac:dyDescent="0.25">
      <c r="A1150" s="5" t="s">
        <v>1724</v>
      </c>
      <c r="B1150" s="6">
        <v>53668</v>
      </c>
      <c r="C1150" s="7" t="s">
        <v>1097</v>
      </c>
      <c r="D1150" s="7" t="s">
        <v>1549</v>
      </c>
      <c r="E1150" s="7">
        <v>48</v>
      </c>
      <c r="F1150" s="7" t="s">
        <v>24</v>
      </c>
      <c r="G1150" s="7" t="s">
        <v>25</v>
      </c>
      <c r="H1150" s="7" t="s">
        <v>26</v>
      </c>
      <c r="I1150" s="7" t="s">
        <v>27</v>
      </c>
      <c r="J1150" s="7" t="s">
        <v>42</v>
      </c>
      <c r="K1150" s="7" t="s">
        <v>43</v>
      </c>
      <c r="L1150" s="7" t="s">
        <v>92</v>
      </c>
      <c r="M1150" s="7" t="s">
        <v>93</v>
      </c>
      <c r="N1150" s="7">
        <v>32400</v>
      </c>
      <c r="O1150" s="7">
        <v>1</v>
      </c>
      <c r="P1150" s="16">
        <v>0.1</v>
      </c>
      <c r="Q1150" s="7">
        <v>5850</v>
      </c>
      <c r="R1150" s="7" t="s">
        <v>46</v>
      </c>
      <c r="S1150" s="7" t="s">
        <v>47</v>
      </c>
      <c r="T1150" s="7" t="s">
        <v>34</v>
      </c>
      <c r="U1150" s="7">
        <v>4</v>
      </c>
      <c r="V1150" s="7" t="str">
        <f>TEXT('E-Commerce Sales Data'!$B1150,"mmmm")</f>
        <v>December</v>
      </c>
      <c r="W1150" s="8">
        <f t="shared" si="68"/>
        <v>334360</v>
      </c>
      <c r="X1150">
        <f t="shared" si="69"/>
        <v>52</v>
      </c>
      <c r="Y1150">
        <f t="shared" si="70"/>
        <v>37274.230769230766</v>
      </c>
      <c r="Z1150">
        <f t="shared" si="71"/>
        <v>52</v>
      </c>
    </row>
    <row r="1151" spans="1:26" x14ac:dyDescent="0.25">
      <c r="A1151" s="9" t="s">
        <v>1725</v>
      </c>
      <c r="B1151" s="10">
        <v>53675</v>
      </c>
      <c r="C1151" s="11" t="s">
        <v>1726</v>
      </c>
      <c r="D1151" s="11" t="s">
        <v>1225</v>
      </c>
      <c r="E1151" s="11">
        <v>35</v>
      </c>
      <c r="F1151" s="11" t="s">
        <v>38</v>
      </c>
      <c r="G1151" s="11" t="s">
        <v>914</v>
      </c>
      <c r="H1151" s="11" t="s">
        <v>26</v>
      </c>
      <c r="I1151" s="11" t="s">
        <v>27</v>
      </c>
      <c r="J1151" s="11" t="s">
        <v>28</v>
      </c>
      <c r="K1151" s="11" t="s">
        <v>29</v>
      </c>
      <c r="L1151" s="11" t="s">
        <v>96</v>
      </c>
      <c r="M1151" s="11" t="s">
        <v>97</v>
      </c>
      <c r="N1151" s="11">
        <v>35000</v>
      </c>
      <c r="O1151" s="11">
        <v>2</v>
      </c>
      <c r="P1151" s="17">
        <v>0.05</v>
      </c>
      <c r="Q1151" s="11">
        <v>6650</v>
      </c>
      <c r="R1151" s="11" t="s">
        <v>32</v>
      </c>
      <c r="S1151" s="11" t="s">
        <v>33</v>
      </c>
      <c r="T1151" s="11" t="s">
        <v>34</v>
      </c>
      <c r="U1151" s="11">
        <v>4</v>
      </c>
      <c r="V1151" s="11" t="str">
        <f>TEXT('E-Commerce Sales Data'!$B1151,"mmmm")</f>
        <v>December</v>
      </c>
      <c r="W1151" s="8">
        <f t="shared" si="68"/>
        <v>328510</v>
      </c>
      <c r="X1151">
        <f t="shared" si="69"/>
        <v>51</v>
      </c>
      <c r="Y1151">
        <f t="shared" si="70"/>
        <v>37369.803921568629</v>
      </c>
      <c r="Z1151">
        <f t="shared" si="71"/>
        <v>52</v>
      </c>
    </row>
    <row r="1152" spans="1:26" x14ac:dyDescent="0.25">
      <c r="A1152" s="5" t="s">
        <v>1727</v>
      </c>
      <c r="B1152" s="6">
        <v>53682</v>
      </c>
      <c r="C1152" s="7" t="s">
        <v>1728</v>
      </c>
      <c r="D1152" s="7" t="s">
        <v>1603</v>
      </c>
      <c r="E1152" s="7">
        <v>43</v>
      </c>
      <c r="F1152" s="7" t="s">
        <v>24</v>
      </c>
      <c r="G1152" s="7" t="s">
        <v>59</v>
      </c>
      <c r="H1152" s="7" t="s">
        <v>26</v>
      </c>
      <c r="I1152" s="7" t="s">
        <v>27</v>
      </c>
      <c r="J1152" s="7" t="s">
        <v>28</v>
      </c>
      <c r="K1152" s="7" t="s">
        <v>60</v>
      </c>
      <c r="L1152" s="7" t="s">
        <v>53</v>
      </c>
      <c r="M1152" s="7" t="s">
        <v>103</v>
      </c>
      <c r="N1152" s="7">
        <v>2140</v>
      </c>
      <c r="O1152" s="7">
        <v>25</v>
      </c>
      <c r="P1152" s="16">
        <v>0</v>
      </c>
      <c r="Q1152" s="7">
        <v>660</v>
      </c>
      <c r="R1152" s="7" t="s">
        <v>55</v>
      </c>
      <c r="S1152" s="7" t="s">
        <v>33</v>
      </c>
      <c r="T1152" s="7" t="s">
        <v>34</v>
      </c>
      <c r="U1152" s="7">
        <v>5</v>
      </c>
      <c r="V1152" s="7" t="str">
        <f>TEXT('E-Commerce Sales Data'!$B1152,"mmmm")</f>
        <v>December</v>
      </c>
      <c r="W1152" s="8">
        <f t="shared" si="68"/>
        <v>321860</v>
      </c>
      <c r="X1152">
        <f t="shared" si="69"/>
        <v>50</v>
      </c>
      <c r="Y1152">
        <f t="shared" si="70"/>
        <v>37417.199999999997</v>
      </c>
      <c r="Z1152">
        <f t="shared" si="71"/>
        <v>52</v>
      </c>
    </row>
    <row r="1153" spans="1:26" x14ac:dyDescent="0.25">
      <c r="A1153" s="9" t="s">
        <v>1729</v>
      </c>
      <c r="B1153" s="10">
        <v>53689</v>
      </c>
      <c r="C1153" s="11" t="s">
        <v>1015</v>
      </c>
      <c r="D1153" s="11" t="s">
        <v>1450</v>
      </c>
      <c r="E1153" s="11">
        <v>28</v>
      </c>
      <c r="F1153" s="11" t="s">
        <v>38</v>
      </c>
      <c r="G1153" s="11" t="s">
        <v>25</v>
      </c>
      <c r="H1153" s="11" t="s">
        <v>26</v>
      </c>
      <c r="I1153" s="11" t="s">
        <v>27</v>
      </c>
      <c r="J1153" s="11" t="s">
        <v>42</v>
      </c>
      <c r="K1153" s="11" t="s">
        <v>43</v>
      </c>
      <c r="L1153" s="11" t="s">
        <v>68</v>
      </c>
      <c r="M1153" s="11" t="s">
        <v>106</v>
      </c>
      <c r="N1153" s="11">
        <v>50600</v>
      </c>
      <c r="O1153" s="11">
        <v>1</v>
      </c>
      <c r="P1153" s="17">
        <v>0.08</v>
      </c>
      <c r="Q1153" s="11">
        <v>10600</v>
      </c>
      <c r="R1153" s="11" t="s">
        <v>46</v>
      </c>
      <c r="S1153" s="11" t="s">
        <v>47</v>
      </c>
      <c r="T1153" s="11" t="s">
        <v>34</v>
      </c>
      <c r="U1153" s="11">
        <v>4</v>
      </c>
      <c r="V1153" s="11" t="str">
        <f>TEXT('E-Commerce Sales Data'!$B1153,"mmmm")</f>
        <v>December</v>
      </c>
      <c r="W1153" s="8">
        <f t="shared" si="68"/>
        <v>321200</v>
      </c>
      <c r="X1153">
        <f t="shared" si="69"/>
        <v>49</v>
      </c>
      <c r="Y1153">
        <f t="shared" si="70"/>
        <v>38137.142857142855</v>
      </c>
      <c r="Z1153">
        <f t="shared" si="71"/>
        <v>52</v>
      </c>
    </row>
    <row r="1154" spans="1:26" x14ac:dyDescent="0.25">
      <c r="A1154" s="5" t="s">
        <v>1730</v>
      </c>
      <c r="B1154" s="6">
        <v>53696</v>
      </c>
      <c r="C1154" s="7" t="s">
        <v>1150</v>
      </c>
      <c r="D1154" s="7" t="s">
        <v>1219</v>
      </c>
      <c r="E1154" s="7">
        <v>36</v>
      </c>
      <c r="F1154" s="7" t="s">
        <v>24</v>
      </c>
      <c r="G1154" s="7" t="s">
        <v>78</v>
      </c>
      <c r="H1154" s="7" t="s">
        <v>26</v>
      </c>
      <c r="I1154" s="7" t="s">
        <v>27</v>
      </c>
      <c r="J1154" s="7" t="s">
        <v>28</v>
      </c>
      <c r="K1154" s="7" t="s">
        <v>29</v>
      </c>
      <c r="L1154" s="7" t="s">
        <v>30</v>
      </c>
      <c r="M1154" s="7" t="s">
        <v>31</v>
      </c>
      <c r="N1154" s="7">
        <v>141000</v>
      </c>
      <c r="O1154" s="7">
        <v>1</v>
      </c>
      <c r="P1154" s="16">
        <v>0.1</v>
      </c>
      <c r="Q1154" s="7">
        <v>16200</v>
      </c>
      <c r="R1154" s="7" t="s">
        <v>32</v>
      </c>
      <c r="S1154" s="7" t="s">
        <v>47</v>
      </c>
      <c r="T1154" s="7" t="s">
        <v>34</v>
      </c>
      <c r="U1154" s="7">
        <v>5</v>
      </c>
      <c r="V1154" s="7" t="str">
        <f>TEXT('E-Commerce Sales Data'!$B1154,"mmmm")</f>
        <v>January</v>
      </c>
      <c r="W1154" s="8">
        <f t="shared" si="68"/>
        <v>310600</v>
      </c>
      <c r="X1154">
        <f t="shared" si="69"/>
        <v>48</v>
      </c>
      <c r="Y1154">
        <f t="shared" si="70"/>
        <v>37877.5</v>
      </c>
      <c r="Z1154">
        <f t="shared" si="71"/>
        <v>52</v>
      </c>
    </row>
    <row r="1155" spans="1:26" x14ac:dyDescent="0.25">
      <c r="A1155" s="9" t="s">
        <v>1731</v>
      </c>
      <c r="B1155" s="10">
        <v>53703</v>
      </c>
      <c r="C1155" s="11" t="s">
        <v>1049</v>
      </c>
      <c r="D1155" s="11" t="s">
        <v>1642</v>
      </c>
      <c r="E1155" s="11">
        <v>25</v>
      </c>
      <c r="F1155" s="11" t="s">
        <v>38</v>
      </c>
      <c r="G1155" s="11" t="s">
        <v>932</v>
      </c>
      <c r="H1155" s="11" t="s">
        <v>26</v>
      </c>
      <c r="I1155" s="11" t="s">
        <v>27</v>
      </c>
      <c r="J1155" s="11" t="s">
        <v>28</v>
      </c>
      <c r="K1155" s="11" t="s">
        <v>60</v>
      </c>
      <c r="L1155" s="11" t="s">
        <v>92</v>
      </c>
      <c r="M1155" s="11" t="s">
        <v>111</v>
      </c>
      <c r="N1155" s="11">
        <v>2810</v>
      </c>
      <c r="O1155" s="11">
        <v>15</v>
      </c>
      <c r="P1155" s="17">
        <v>0.05</v>
      </c>
      <c r="Q1155" s="11">
        <v>930</v>
      </c>
      <c r="R1155" s="11" t="s">
        <v>80</v>
      </c>
      <c r="S1155" s="11" t="s">
        <v>33</v>
      </c>
      <c r="T1155" s="11" t="s">
        <v>34</v>
      </c>
      <c r="U1155" s="11">
        <v>4</v>
      </c>
      <c r="V1155" s="11" t="str">
        <f>TEXT('E-Commerce Sales Data'!$B1155,"mmmm")</f>
        <v>January</v>
      </c>
      <c r="W1155" s="8">
        <f t="shared" ref="W1155:W1201" si="72">SUM(Q1155:Q2354)</f>
        <v>294400</v>
      </c>
      <c r="X1155">
        <f t="shared" ref="X1155:X1201" si="73">COUNT(E1155:E2354)</f>
        <v>47</v>
      </c>
      <c r="Y1155">
        <f t="shared" ref="Y1155:Y1201" si="74">AVERAGE(N1155:N2354)</f>
        <v>35683.404255319147</v>
      </c>
      <c r="Z1155">
        <f t="shared" ref="Z1155:Z1201" si="75">MAX(E1155:E2354)</f>
        <v>52</v>
      </c>
    </row>
    <row r="1156" spans="1:26" x14ac:dyDescent="0.25">
      <c r="A1156" s="5" t="s">
        <v>1732</v>
      </c>
      <c r="B1156" s="6">
        <v>53710</v>
      </c>
      <c r="C1156" s="7" t="s">
        <v>1733</v>
      </c>
      <c r="D1156" s="7" t="s">
        <v>1430</v>
      </c>
      <c r="E1156" s="7">
        <v>47</v>
      </c>
      <c r="F1156" s="7" t="s">
        <v>24</v>
      </c>
      <c r="G1156" s="7" t="s">
        <v>59</v>
      </c>
      <c r="H1156" s="7" t="s">
        <v>26</v>
      </c>
      <c r="I1156" s="7" t="s">
        <v>27</v>
      </c>
      <c r="J1156" s="7" t="s">
        <v>42</v>
      </c>
      <c r="K1156" s="7" t="s">
        <v>43</v>
      </c>
      <c r="L1156" s="7" t="s">
        <v>44</v>
      </c>
      <c r="M1156" s="7" t="s">
        <v>45</v>
      </c>
      <c r="N1156" s="7">
        <v>26600</v>
      </c>
      <c r="O1156" s="7">
        <v>4</v>
      </c>
      <c r="P1156" s="16">
        <v>7.0000000000000007E-2</v>
      </c>
      <c r="Q1156" s="7">
        <v>6250</v>
      </c>
      <c r="R1156" s="7" t="s">
        <v>46</v>
      </c>
      <c r="S1156" s="7" t="s">
        <v>33</v>
      </c>
      <c r="T1156" s="7" t="s">
        <v>34</v>
      </c>
      <c r="U1156" s="7">
        <v>4</v>
      </c>
      <c r="V1156" s="7" t="str">
        <f>TEXT('E-Commerce Sales Data'!$B1156,"mmmm")</f>
        <v>January</v>
      </c>
      <c r="W1156" s="8">
        <f t="shared" si="72"/>
        <v>293470</v>
      </c>
      <c r="X1156">
        <f t="shared" si="73"/>
        <v>46</v>
      </c>
      <c r="Y1156">
        <f t="shared" si="74"/>
        <v>36398.043478260872</v>
      </c>
      <c r="Z1156">
        <f t="shared" si="75"/>
        <v>52</v>
      </c>
    </row>
    <row r="1157" spans="1:26" x14ac:dyDescent="0.25">
      <c r="A1157" s="9" t="s">
        <v>1734</v>
      </c>
      <c r="B1157" s="10">
        <v>53717</v>
      </c>
      <c r="C1157" s="11" t="s">
        <v>1735</v>
      </c>
      <c r="D1157" s="11" t="s">
        <v>1520</v>
      </c>
      <c r="E1157" s="11">
        <v>31</v>
      </c>
      <c r="F1157" s="11" t="s">
        <v>38</v>
      </c>
      <c r="G1157" s="11" t="s">
        <v>25</v>
      </c>
      <c r="H1157" s="11" t="s">
        <v>26</v>
      </c>
      <c r="I1157" s="11" t="s">
        <v>27</v>
      </c>
      <c r="J1157" s="11" t="s">
        <v>28</v>
      </c>
      <c r="K1157" s="11" t="s">
        <v>29</v>
      </c>
      <c r="L1157" s="11" t="s">
        <v>53</v>
      </c>
      <c r="M1157" s="11" t="s">
        <v>54</v>
      </c>
      <c r="N1157" s="11">
        <v>54200</v>
      </c>
      <c r="O1157" s="11">
        <v>2</v>
      </c>
      <c r="P1157" s="17">
        <v>0.05</v>
      </c>
      <c r="Q1157" s="11">
        <v>10700</v>
      </c>
      <c r="R1157" s="11" t="s">
        <v>32</v>
      </c>
      <c r="S1157" s="11" t="s">
        <v>47</v>
      </c>
      <c r="T1157" s="11" t="s">
        <v>34</v>
      </c>
      <c r="U1157" s="11">
        <v>5</v>
      </c>
      <c r="V1157" s="11" t="str">
        <f>TEXT('E-Commerce Sales Data'!$B1157,"mmmm")</f>
        <v>January</v>
      </c>
      <c r="W1157" s="8">
        <f t="shared" si="72"/>
        <v>287220</v>
      </c>
      <c r="X1157">
        <f t="shared" si="73"/>
        <v>45</v>
      </c>
      <c r="Y1157">
        <f t="shared" si="74"/>
        <v>36615.777777777781</v>
      </c>
      <c r="Z1157">
        <f t="shared" si="75"/>
        <v>52</v>
      </c>
    </row>
    <row r="1158" spans="1:26" x14ac:dyDescent="0.25">
      <c r="A1158" s="5" t="s">
        <v>1736</v>
      </c>
      <c r="B1158" s="6">
        <v>53724</v>
      </c>
      <c r="C1158" s="7" t="s">
        <v>1737</v>
      </c>
      <c r="D1158" s="7" t="s">
        <v>1599</v>
      </c>
      <c r="E1158" s="7">
        <v>40</v>
      </c>
      <c r="F1158" s="7" t="s">
        <v>24</v>
      </c>
      <c r="G1158" s="7" t="s">
        <v>914</v>
      </c>
      <c r="H1158" s="7" t="s">
        <v>26</v>
      </c>
      <c r="I1158" s="7" t="s">
        <v>27</v>
      </c>
      <c r="J1158" s="7" t="s">
        <v>42</v>
      </c>
      <c r="K1158" s="7" t="s">
        <v>60</v>
      </c>
      <c r="L1158" s="7" t="s">
        <v>61</v>
      </c>
      <c r="M1158" s="7" t="s">
        <v>62</v>
      </c>
      <c r="N1158" s="7">
        <v>14200</v>
      </c>
      <c r="O1158" s="7">
        <v>10</v>
      </c>
      <c r="P1158" s="16">
        <v>0.03</v>
      </c>
      <c r="Q1158" s="7">
        <v>3540</v>
      </c>
      <c r="R1158" s="7" t="s">
        <v>55</v>
      </c>
      <c r="S1158" s="7" t="s">
        <v>33</v>
      </c>
      <c r="T1158" s="7" t="s">
        <v>34</v>
      </c>
      <c r="U1158" s="7">
        <v>4</v>
      </c>
      <c r="V1158" s="7" t="str">
        <f>TEXT('E-Commerce Sales Data'!$B1158,"mmmm")</f>
        <v>February</v>
      </c>
      <c r="W1158" s="8">
        <f t="shared" si="72"/>
        <v>276520</v>
      </c>
      <c r="X1158">
        <f t="shared" si="73"/>
        <v>44</v>
      </c>
      <c r="Y1158">
        <f t="shared" si="74"/>
        <v>36216.13636363636</v>
      </c>
      <c r="Z1158">
        <f t="shared" si="75"/>
        <v>52</v>
      </c>
    </row>
    <row r="1159" spans="1:26" x14ac:dyDescent="0.25">
      <c r="A1159" s="9" t="s">
        <v>1738</v>
      </c>
      <c r="B1159" s="10">
        <v>53731</v>
      </c>
      <c r="C1159" s="11" t="s">
        <v>937</v>
      </c>
      <c r="D1159" s="11" t="s">
        <v>1490</v>
      </c>
      <c r="E1159" s="11">
        <v>27</v>
      </c>
      <c r="F1159" s="11" t="s">
        <v>38</v>
      </c>
      <c r="G1159" s="11" t="s">
        <v>1050</v>
      </c>
      <c r="H1159" s="11" t="s">
        <v>26</v>
      </c>
      <c r="I1159" s="11" t="s">
        <v>27</v>
      </c>
      <c r="J1159" s="11" t="s">
        <v>28</v>
      </c>
      <c r="K1159" s="11" t="s">
        <v>43</v>
      </c>
      <c r="L1159" s="11" t="s">
        <v>68</v>
      </c>
      <c r="M1159" s="11" t="s">
        <v>69</v>
      </c>
      <c r="N1159" s="11">
        <v>50100</v>
      </c>
      <c r="O1159" s="11">
        <v>2</v>
      </c>
      <c r="P1159" s="17">
        <v>0.1</v>
      </c>
      <c r="Q1159" s="11">
        <v>8200</v>
      </c>
      <c r="R1159" s="11" t="s">
        <v>32</v>
      </c>
      <c r="S1159" s="11" t="s">
        <v>47</v>
      </c>
      <c r="T1159" s="11" t="s">
        <v>34</v>
      </c>
      <c r="U1159" s="11">
        <v>5</v>
      </c>
      <c r="V1159" s="11" t="str">
        <f>TEXT('E-Commerce Sales Data'!$B1159,"mmmm")</f>
        <v>February</v>
      </c>
      <c r="W1159" s="8">
        <f t="shared" si="72"/>
        <v>272980</v>
      </c>
      <c r="X1159">
        <f t="shared" si="73"/>
        <v>43</v>
      </c>
      <c r="Y1159">
        <f t="shared" si="74"/>
        <v>36728.139534883718</v>
      </c>
      <c r="Z1159">
        <f t="shared" si="75"/>
        <v>52</v>
      </c>
    </row>
    <row r="1160" spans="1:26" x14ac:dyDescent="0.25">
      <c r="A1160" s="5" t="s">
        <v>1739</v>
      </c>
      <c r="B1160" s="6">
        <v>53738</v>
      </c>
      <c r="C1160" s="7" t="s">
        <v>1144</v>
      </c>
      <c r="D1160" s="7" t="s">
        <v>1582</v>
      </c>
      <c r="E1160" s="7">
        <v>38</v>
      </c>
      <c r="F1160" s="7" t="s">
        <v>24</v>
      </c>
      <c r="G1160" s="7" t="s">
        <v>59</v>
      </c>
      <c r="H1160" s="7" t="s">
        <v>26</v>
      </c>
      <c r="I1160" s="7" t="s">
        <v>27</v>
      </c>
      <c r="J1160" s="7" t="s">
        <v>42</v>
      </c>
      <c r="K1160" s="7" t="s">
        <v>29</v>
      </c>
      <c r="L1160" s="7" t="s">
        <v>53</v>
      </c>
      <c r="M1160" s="7" t="s">
        <v>75</v>
      </c>
      <c r="N1160" s="7">
        <v>7900</v>
      </c>
      <c r="O1160" s="7">
        <v>4</v>
      </c>
      <c r="P1160" s="16">
        <v>0.05</v>
      </c>
      <c r="Q1160" s="7">
        <v>2090</v>
      </c>
      <c r="R1160" s="7" t="s">
        <v>46</v>
      </c>
      <c r="S1160" s="7" t="s">
        <v>33</v>
      </c>
      <c r="T1160" s="7" t="s">
        <v>34</v>
      </c>
      <c r="U1160" s="7">
        <v>3</v>
      </c>
      <c r="V1160" s="7" t="str">
        <f>TEXT('E-Commerce Sales Data'!$B1160,"mmmm")</f>
        <v>February</v>
      </c>
      <c r="W1160" s="8">
        <f t="shared" si="72"/>
        <v>264780</v>
      </c>
      <c r="X1160">
        <f t="shared" si="73"/>
        <v>42</v>
      </c>
      <c r="Y1160">
        <f t="shared" si="74"/>
        <v>36409.761904761908</v>
      </c>
      <c r="Z1160">
        <f t="shared" si="75"/>
        <v>52</v>
      </c>
    </row>
    <row r="1161" spans="1:26" x14ac:dyDescent="0.25">
      <c r="A1161" s="9" t="s">
        <v>1740</v>
      </c>
      <c r="B1161" s="10">
        <v>53745</v>
      </c>
      <c r="C1161" s="11" t="s">
        <v>1246</v>
      </c>
      <c r="D1161" s="11" t="s">
        <v>1545</v>
      </c>
      <c r="E1161" s="11">
        <v>30</v>
      </c>
      <c r="F1161" s="11" t="s">
        <v>38</v>
      </c>
      <c r="G1161" s="11" t="s">
        <v>924</v>
      </c>
      <c r="H1161" s="11" t="s">
        <v>26</v>
      </c>
      <c r="I1161" s="11" t="s">
        <v>27</v>
      </c>
      <c r="J1161" s="11" t="s">
        <v>28</v>
      </c>
      <c r="K1161" s="11" t="s">
        <v>29</v>
      </c>
      <c r="L1161" s="11" t="s">
        <v>53</v>
      </c>
      <c r="M1161" s="11" t="s">
        <v>79</v>
      </c>
      <c r="N1161" s="11">
        <v>9700</v>
      </c>
      <c r="O1161" s="11">
        <v>7</v>
      </c>
      <c r="P1161" s="17">
        <v>0</v>
      </c>
      <c r="Q1161" s="11">
        <v>2910</v>
      </c>
      <c r="R1161" s="11" t="s">
        <v>32</v>
      </c>
      <c r="S1161" s="11" t="s">
        <v>33</v>
      </c>
      <c r="T1161" s="11" t="s">
        <v>34</v>
      </c>
      <c r="U1161" s="11">
        <v>4</v>
      </c>
      <c r="V1161" s="11" t="str">
        <f>TEXT('E-Commerce Sales Data'!$B1161,"mmmm")</f>
        <v>February</v>
      </c>
      <c r="W1161" s="8">
        <f t="shared" si="72"/>
        <v>262690</v>
      </c>
      <c r="X1161">
        <f t="shared" si="73"/>
        <v>41</v>
      </c>
      <c r="Y1161">
        <f t="shared" si="74"/>
        <v>37105.121951219509</v>
      </c>
      <c r="Z1161">
        <f t="shared" si="75"/>
        <v>52</v>
      </c>
    </row>
    <row r="1162" spans="1:26" x14ac:dyDescent="0.25">
      <c r="A1162" s="5" t="s">
        <v>1741</v>
      </c>
      <c r="B1162" s="6">
        <v>53752</v>
      </c>
      <c r="C1162" s="7" t="s">
        <v>1026</v>
      </c>
      <c r="D1162" s="7" t="s">
        <v>1185</v>
      </c>
      <c r="E1162" s="7">
        <v>33</v>
      </c>
      <c r="F1162" s="7" t="s">
        <v>24</v>
      </c>
      <c r="G1162" s="7" t="s">
        <v>25</v>
      </c>
      <c r="H1162" s="7" t="s">
        <v>26</v>
      </c>
      <c r="I1162" s="7" t="s">
        <v>27</v>
      </c>
      <c r="J1162" s="7" t="s">
        <v>28</v>
      </c>
      <c r="K1162" s="7" t="s">
        <v>29</v>
      </c>
      <c r="L1162" s="7" t="s">
        <v>30</v>
      </c>
      <c r="M1162" s="7" t="s">
        <v>31</v>
      </c>
      <c r="N1162" s="7">
        <v>143500</v>
      </c>
      <c r="O1162" s="7">
        <v>1</v>
      </c>
      <c r="P1162" s="16">
        <v>0.05</v>
      </c>
      <c r="Q1162" s="7">
        <v>17400</v>
      </c>
      <c r="R1162" s="7" t="s">
        <v>32</v>
      </c>
      <c r="S1162" s="7" t="s">
        <v>47</v>
      </c>
      <c r="T1162" s="7" t="s">
        <v>34</v>
      </c>
      <c r="U1162" s="7">
        <v>5</v>
      </c>
      <c r="V1162" s="7" t="str">
        <f>TEXT('E-Commerce Sales Data'!$B1162,"mmmm")</f>
        <v>March</v>
      </c>
      <c r="W1162" s="8">
        <f t="shared" si="72"/>
        <v>259780</v>
      </c>
      <c r="X1162">
        <f t="shared" si="73"/>
        <v>40</v>
      </c>
      <c r="Y1162">
        <f t="shared" si="74"/>
        <v>37790.25</v>
      </c>
      <c r="Z1162">
        <f t="shared" si="75"/>
        <v>52</v>
      </c>
    </row>
    <row r="1163" spans="1:26" x14ac:dyDescent="0.25">
      <c r="A1163" s="9" t="s">
        <v>1742</v>
      </c>
      <c r="B1163" s="10">
        <v>53759</v>
      </c>
      <c r="C1163" s="11" t="s">
        <v>1209</v>
      </c>
      <c r="D1163" s="11" t="s">
        <v>1447</v>
      </c>
      <c r="E1163" s="11">
        <v>29</v>
      </c>
      <c r="F1163" s="11" t="s">
        <v>38</v>
      </c>
      <c r="G1163" s="11" t="s">
        <v>59</v>
      </c>
      <c r="H1163" s="11" t="s">
        <v>26</v>
      </c>
      <c r="I1163" s="11" t="s">
        <v>27</v>
      </c>
      <c r="J1163" s="11" t="s">
        <v>42</v>
      </c>
      <c r="K1163" s="11" t="s">
        <v>43</v>
      </c>
      <c r="L1163" s="11" t="s">
        <v>44</v>
      </c>
      <c r="M1163" s="11" t="s">
        <v>45</v>
      </c>
      <c r="N1163" s="11">
        <v>23100</v>
      </c>
      <c r="O1163" s="11">
        <v>3</v>
      </c>
      <c r="P1163" s="17">
        <v>0.1</v>
      </c>
      <c r="Q1163" s="11">
        <v>5420</v>
      </c>
      <c r="R1163" s="11" t="s">
        <v>46</v>
      </c>
      <c r="S1163" s="11" t="s">
        <v>33</v>
      </c>
      <c r="T1163" s="11" t="s">
        <v>34</v>
      </c>
      <c r="U1163" s="11">
        <v>4</v>
      </c>
      <c r="V1163" s="11" t="str">
        <f>TEXT('E-Commerce Sales Data'!$B1163,"mmmm")</f>
        <v>March</v>
      </c>
      <c r="W1163" s="8">
        <f t="shared" si="72"/>
        <v>242380</v>
      </c>
      <c r="X1163">
        <f t="shared" si="73"/>
        <v>39</v>
      </c>
      <c r="Y1163">
        <f t="shared" si="74"/>
        <v>35079.743589743586</v>
      </c>
      <c r="Z1163">
        <f t="shared" si="75"/>
        <v>52</v>
      </c>
    </row>
    <row r="1164" spans="1:26" x14ac:dyDescent="0.25">
      <c r="A1164" s="5" t="s">
        <v>1743</v>
      </c>
      <c r="B1164" s="6">
        <v>53766</v>
      </c>
      <c r="C1164" s="7" t="s">
        <v>1744</v>
      </c>
      <c r="D1164" s="7" t="s">
        <v>1250</v>
      </c>
      <c r="E1164" s="7">
        <v>46</v>
      </c>
      <c r="F1164" s="7" t="s">
        <v>24</v>
      </c>
      <c r="G1164" s="7" t="s">
        <v>914</v>
      </c>
      <c r="H1164" s="7" t="s">
        <v>26</v>
      </c>
      <c r="I1164" s="7" t="s">
        <v>27</v>
      </c>
      <c r="J1164" s="7" t="s">
        <v>28</v>
      </c>
      <c r="K1164" s="7" t="s">
        <v>29</v>
      </c>
      <c r="L1164" s="7" t="s">
        <v>53</v>
      </c>
      <c r="M1164" s="7" t="s">
        <v>54</v>
      </c>
      <c r="N1164" s="7">
        <v>55100</v>
      </c>
      <c r="O1164" s="7">
        <v>2</v>
      </c>
      <c r="P1164" s="16">
        <v>0.05</v>
      </c>
      <c r="Q1164" s="7">
        <v>10900</v>
      </c>
      <c r="R1164" s="7" t="s">
        <v>55</v>
      </c>
      <c r="S1164" s="7" t="s">
        <v>33</v>
      </c>
      <c r="T1164" s="7" t="s">
        <v>34</v>
      </c>
      <c r="U1164" s="7">
        <v>4</v>
      </c>
      <c r="V1164" s="7" t="str">
        <f>TEXT('E-Commerce Sales Data'!$B1164,"mmmm")</f>
        <v>March</v>
      </c>
      <c r="W1164" s="8">
        <f t="shared" si="72"/>
        <v>236960</v>
      </c>
      <c r="X1164">
        <f t="shared" si="73"/>
        <v>38</v>
      </c>
      <c r="Y1164">
        <f t="shared" si="74"/>
        <v>35395</v>
      </c>
      <c r="Z1164">
        <f t="shared" si="75"/>
        <v>52</v>
      </c>
    </row>
    <row r="1165" spans="1:26" x14ac:dyDescent="0.25">
      <c r="A1165" s="9" t="s">
        <v>1745</v>
      </c>
      <c r="B1165" s="10">
        <v>53773</v>
      </c>
      <c r="C1165" s="11" t="s">
        <v>1182</v>
      </c>
      <c r="D1165" s="11" t="s">
        <v>1433</v>
      </c>
      <c r="E1165" s="11">
        <v>34</v>
      </c>
      <c r="F1165" s="11" t="s">
        <v>38</v>
      </c>
      <c r="G1165" s="11" t="s">
        <v>78</v>
      </c>
      <c r="H1165" s="11" t="s">
        <v>26</v>
      </c>
      <c r="I1165" s="11" t="s">
        <v>27</v>
      </c>
      <c r="J1165" s="11" t="s">
        <v>28</v>
      </c>
      <c r="K1165" s="11" t="s">
        <v>60</v>
      </c>
      <c r="L1165" s="11" t="s">
        <v>61</v>
      </c>
      <c r="M1165" s="11" t="s">
        <v>86</v>
      </c>
      <c r="N1165" s="11">
        <v>1500</v>
      </c>
      <c r="O1165" s="11">
        <v>20</v>
      </c>
      <c r="P1165" s="17">
        <v>0.02</v>
      </c>
      <c r="Q1165" s="11">
        <v>450</v>
      </c>
      <c r="R1165" s="11" t="s">
        <v>32</v>
      </c>
      <c r="S1165" s="11" t="s">
        <v>33</v>
      </c>
      <c r="T1165" s="11" t="s">
        <v>34</v>
      </c>
      <c r="U1165" s="11">
        <v>5</v>
      </c>
      <c r="V1165" s="11" t="str">
        <f>TEXT('E-Commerce Sales Data'!$B1165,"mmmm")</f>
        <v>March</v>
      </c>
      <c r="W1165" s="8">
        <f t="shared" si="72"/>
        <v>226060</v>
      </c>
      <c r="X1165">
        <f t="shared" si="73"/>
        <v>37</v>
      </c>
      <c r="Y1165">
        <f t="shared" si="74"/>
        <v>34862.432432432433</v>
      </c>
      <c r="Z1165">
        <f t="shared" si="75"/>
        <v>52</v>
      </c>
    </row>
    <row r="1166" spans="1:26" x14ac:dyDescent="0.25">
      <c r="A1166" s="5" t="s">
        <v>1746</v>
      </c>
      <c r="B1166" s="6">
        <v>53780</v>
      </c>
      <c r="C1166" s="7" t="s">
        <v>1390</v>
      </c>
      <c r="D1166" s="7" t="s">
        <v>920</v>
      </c>
      <c r="E1166" s="7">
        <v>50</v>
      </c>
      <c r="F1166" s="7" t="s">
        <v>24</v>
      </c>
      <c r="G1166" s="7" t="s">
        <v>25</v>
      </c>
      <c r="H1166" s="7" t="s">
        <v>26</v>
      </c>
      <c r="I1166" s="7" t="s">
        <v>27</v>
      </c>
      <c r="J1166" s="7" t="s">
        <v>42</v>
      </c>
      <c r="K1166" s="7" t="s">
        <v>43</v>
      </c>
      <c r="L1166" s="7" t="s">
        <v>68</v>
      </c>
      <c r="M1166" s="7" t="s">
        <v>69</v>
      </c>
      <c r="N1166" s="7">
        <v>52300</v>
      </c>
      <c r="O1166" s="7">
        <v>2</v>
      </c>
      <c r="P1166" s="16">
        <v>0.08</v>
      </c>
      <c r="Q1166" s="7">
        <v>9100</v>
      </c>
      <c r="R1166" s="7" t="s">
        <v>46</v>
      </c>
      <c r="S1166" s="7" t="s">
        <v>47</v>
      </c>
      <c r="T1166" s="7" t="s">
        <v>34</v>
      </c>
      <c r="U1166" s="7">
        <v>4</v>
      </c>
      <c r="V1166" s="7" t="str">
        <f>TEXT('E-Commerce Sales Data'!$B1166,"mmmm")</f>
        <v>March</v>
      </c>
      <c r="W1166" s="8">
        <f t="shared" si="72"/>
        <v>225610</v>
      </c>
      <c r="X1166">
        <f t="shared" si="73"/>
        <v>36</v>
      </c>
      <c r="Y1166">
        <f t="shared" si="74"/>
        <v>35789.166666666664</v>
      </c>
      <c r="Z1166">
        <f t="shared" si="75"/>
        <v>52</v>
      </c>
    </row>
    <row r="1167" spans="1:26" x14ac:dyDescent="0.25">
      <c r="A1167" s="9" t="s">
        <v>1747</v>
      </c>
      <c r="B1167" s="10">
        <v>53787</v>
      </c>
      <c r="C1167" s="11" t="s">
        <v>1748</v>
      </c>
      <c r="D1167" s="11" t="s">
        <v>931</v>
      </c>
      <c r="E1167" s="11">
        <v>32</v>
      </c>
      <c r="F1167" s="11" t="s">
        <v>38</v>
      </c>
      <c r="G1167" s="11" t="s">
        <v>59</v>
      </c>
      <c r="H1167" s="11" t="s">
        <v>26</v>
      </c>
      <c r="I1167" s="11" t="s">
        <v>27</v>
      </c>
      <c r="J1167" s="11" t="s">
        <v>28</v>
      </c>
      <c r="K1167" s="11" t="s">
        <v>29</v>
      </c>
      <c r="L1167" s="11" t="s">
        <v>53</v>
      </c>
      <c r="M1167" s="11" t="s">
        <v>75</v>
      </c>
      <c r="N1167" s="11">
        <v>7700</v>
      </c>
      <c r="O1167" s="11">
        <v>3</v>
      </c>
      <c r="P1167" s="17">
        <v>0.05</v>
      </c>
      <c r="Q1167" s="11">
        <v>2050</v>
      </c>
      <c r="R1167" s="11" t="s">
        <v>32</v>
      </c>
      <c r="S1167" s="11" t="s">
        <v>33</v>
      </c>
      <c r="T1167" s="11" t="s">
        <v>34</v>
      </c>
      <c r="U1167" s="11">
        <v>4</v>
      </c>
      <c r="V1167" s="11" t="str">
        <f>TEXT('E-Commerce Sales Data'!$B1167,"mmmm")</f>
        <v>April</v>
      </c>
      <c r="W1167" s="8">
        <f t="shared" si="72"/>
        <v>216510</v>
      </c>
      <c r="X1167">
        <f t="shared" si="73"/>
        <v>35</v>
      </c>
      <c r="Y1167">
        <f t="shared" si="74"/>
        <v>35317.428571428572</v>
      </c>
      <c r="Z1167">
        <f t="shared" si="75"/>
        <v>52</v>
      </c>
    </row>
    <row r="1168" spans="1:26" x14ac:dyDescent="0.25">
      <c r="A1168" s="5" t="s">
        <v>1749</v>
      </c>
      <c r="B1168" s="6">
        <v>53794</v>
      </c>
      <c r="C1168" s="7" t="s">
        <v>1750</v>
      </c>
      <c r="D1168" s="7" t="s">
        <v>1068</v>
      </c>
      <c r="E1168" s="7">
        <v>44</v>
      </c>
      <c r="F1168" s="7" t="s">
        <v>24</v>
      </c>
      <c r="G1168" s="7" t="s">
        <v>1168</v>
      </c>
      <c r="H1168" s="7" t="s">
        <v>26</v>
      </c>
      <c r="I1168" s="7" t="s">
        <v>27</v>
      </c>
      <c r="J1168" s="7" t="s">
        <v>28</v>
      </c>
      <c r="K1168" s="7" t="s">
        <v>29</v>
      </c>
      <c r="L1168" s="7" t="s">
        <v>53</v>
      </c>
      <c r="M1168" s="7" t="s">
        <v>79</v>
      </c>
      <c r="N1168" s="7">
        <v>9850</v>
      </c>
      <c r="O1168" s="7">
        <v>6</v>
      </c>
      <c r="P1168" s="16">
        <v>0</v>
      </c>
      <c r="Q1168" s="7">
        <v>2950</v>
      </c>
      <c r="R1168" s="7" t="s">
        <v>80</v>
      </c>
      <c r="S1168" s="7" t="s">
        <v>33</v>
      </c>
      <c r="T1168" s="7" t="s">
        <v>34</v>
      </c>
      <c r="U1168" s="7">
        <v>3</v>
      </c>
      <c r="V1168" s="7" t="str">
        <f>TEXT('E-Commerce Sales Data'!$B1168,"mmmm")</f>
        <v>April</v>
      </c>
      <c r="W1168" s="8">
        <f t="shared" si="72"/>
        <v>214460</v>
      </c>
      <c r="X1168">
        <f t="shared" si="73"/>
        <v>34</v>
      </c>
      <c r="Y1168">
        <f t="shared" si="74"/>
        <v>36129.705882352944</v>
      </c>
      <c r="Z1168">
        <f t="shared" si="75"/>
        <v>52</v>
      </c>
    </row>
    <row r="1169" spans="1:26" x14ac:dyDescent="0.25">
      <c r="A1169" s="9" t="s">
        <v>1751</v>
      </c>
      <c r="B1169" s="10">
        <v>53801</v>
      </c>
      <c r="C1169" s="11" t="s">
        <v>1262</v>
      </c>
      <c r="D1169" s="11" t="s">
        <v>1241</v>
      </c>
      <c r="E1169" s="11">
        <v>26</v>
      </c>
      <c r="F1169" s="11" t="s">
        <v>38</v>
      </c>
      <c r="G1169" s="11" t="s">
        <v>1125</v>
      </c>
      <c r="H1169" s="11" t="s">
        <v>26</v>
      </c>
      <c r="I1169" s="11" t="s">
        <v>27</v>
      </c>
      <c r="J1169" s="11" t="s">
        <v>42</v>
      </c>
      <c r="K1169" s="11" t="s">
        <v>60</v>
      </c>
      <c r="L1169" s="11" t="s">
        <v>61</v>
      </c>
      <c r="M1169" s="11" t="s">
        <v>62</v>
      </c>
      <c r="N1169" s="11">
        <v>14500</v>
      </c>
      <c r="O1169" s="11">
        <v>10</v>
      </c>
      <c r="P1169" s="17">
        <v>0.02</v>
      </c>
      <c r="Q1169" s="11">
        <v>3620</v>
      </c>
      <c r="R1169" s="11" t="s">
        <v>32</v>
      </c>
      <c r="S1169" s="11" t="s">
        <v>33</v>
      </c>
      <c r="T1169" s="11" t="s">
        <v>34</v>
      </c>
      <c r="U1169" s="11">
        <v>5</v>
      </c>
      <c r="V1169" s="11" t="str">
        <f>TEXT('E-Commerce Sales Data'!$B1169,"mmmm")</f>
        <v>April</v>
      </c>
      <c r="W1169" s="8">
        <f t="shared" si="72"/>
        <v>211510</v>
      </c>
      <c r="X1169">
        <f t="shared" si="73"/>
        <v>33</v>
      </c>
      <c r="Y1169">
        <f t="shared" si="74"/>
        <v>36926.060606060608</v>
      </c>
      <c r="Z1169">
        <f t="shared" si="75"/>
        <v>52</v>
      </c>
    </row>
    <row r="1170" spans="1:26" x14ac:dyDescent="0.25">
      <c r="A1170" s="5" t="s">
        <v>1752</v>
      </c>
      <c r="B1170" s="6">
        <v>53808</v>
      </c>
      <c r="C1170" s="7" t="s">
        <v>1753</v>
      </c>
      <c r="D1170" s="7" t="s">
        <v>23</v>
      </c>
      <c r="E1170" s="7">
        <v>42</v>
      </c>
      <c r="F1170" s="7" t="s">
        <v>24</v>
      </c>
      <c r="G1170" s="7" t="s">
        <v>928</v>
      </c>
      <c r="H1170" s="7" t="s">
        <v>26</v>
      </c>
      <c r="I1170" s="7" t="s">
        <v>27</v>
      </c>
      <c r="J1170" s="7" t="s">
        <v>42</v>
      </c>
      <c r="K1170" s="7" t="s">
        <v>43</v>
      </c>
      <c r="L1170" s="7" t="s">
        <v>92</v>
      </c>
      <c r="M1170" s="7" t="s">
        <v>93</v>
      </c>
      <c r="N1170" s="7">
        <v>33100</v>
      </c>
      <c r="O1170" s="7">
        <v>1</v>
      </c>
      <c r="P1170" s="16">
        <v>0.1</v>
      </c>
      <c r="Q1170" s="7">
        <v>5980</v>
      </c>
      <c r="R1170" s="7" t="s">
        <v>46</v>
      </c>
      <c r="S1170" s="7" t="s">
        <v>47</v>
      </c>
      <c r="T1170" s="7" t="s">
        <v>34</v>
      </c>
      <c r="U1170" s="7">
        <v>4</v>
      </c>
      <c r="V1170" s="7" t="str">
        <f>TEXT('E-Commerce Sales Data'!$B1170,"mmmm")</f>
        <v>April</v>
      </c>
      <c r="W1170" s="8">
        <f t="shared" si="72"/>
        <v>207890</v>
      </c>
      <c r="X1170">
        <f t="shared" si="73"/>
        <v>32</v>
      </c>
      <c r="Y1170">
        <f t="shared" si="74"/>
        <v>37626.875</v>
      </c>
      <c r="Z1170">
        <f t="shared" si="75"/>
        <v>52</v>
      </c>
    </row>
    <row r="1171" spans="1:26" x14ac:dyDescent="0.25">
      <c r="A1171" s="9" t="s">
        <v>1754</v>
      </c>
      <c r="B1171" s="10">
        <v>53815</v>
      </c>
      <c r="C1171" s="11" t="s">
        <v>1281</v>
      </c>
      <c r="D1171" s="11" t="s">
        <v>1506</v>
      </c>
      <c r="E1171" s="11">
        <v>28</v>
      </c>
      <c r="F1171" s="11" t="s">
        <v>38</v>
      </c>
      <c r="G1171" s="11" t="s">
        <v>59</v>
      </c>
      <c r="H1171" s="11" t="s">
        <v>26</v>
      </c>
      <c r="I1171" s="11" t="s">
        <v>27</v>
      </c>
      <c r="J1171" s="11" t="s">
        <v>28</v>
      </c>
      <c r="K1171" s="11" t="s">
        <v>29</v>
      </c>
      <c r="L1171" s="11" t="s">
        <v>96</v>
      </c>
      <c r="M1171" s="11" t="s">
        <v>97</v>
      </c>
      <c r="N1171" s="11">
        <v>35800</v>
      </c>
      <c r="O1171" s="11">
        <v>2</v>
      </c>
      <c r="P1171" s="17">
        <v>0.05</v>
      </c>
      <c r="Q1171" s="11">
        <v>6800</v>
      </c>
      <c r="R1171" s="11" t="s">
        <v>32</v>
      </c>
      <c r="S1171" s="11" t="s">
        <v>33</v>
      </c>
      <c r="T1171" s="11" t="s">
        <v>34</v>
      </c>
      <c r="U1171" s="11">
        <v>4</v>
      </c>
      <c r="V1171" s="11" t="str">
        <f>TEXT('E-Commerce Sales Data'!$B1171,"mmmm")</f>
        <v>May</v>
      </c>
      <c r="W1171" s="8">
        <f t="shared" si="72"/>
        <v>201910</v>
      </c>
      <c r="X1171">
        <f t="shared" si="73"/>
        <v>31</v>
      </c>
      <c r="Y1171">
        <f t="shared" si="74"/>
        <v>37772.903225806454</v>
      </c>
      <c r="Z1171">
        <f t="shared" si="75"/>
        <v>52</v>
      </c>
    </row>
    <row r="1172" spans="1:26" x14ac:dyDescent="0.25">
      <c r="A1172" s="5" t="s">
        <v>1755</v>
      </c>
      <c r="B1172" s="6">
        <v>53822</v>
      </c>
      <c r="C1172" s="7" t="s">
        <v>1756</v>
      </c>
      <c r="D1172" s="7" t="s">
        <v>1757</v>
      </c>
      <c r="E1172" s="7">
        <v>39</v>
      </c>
      <c r="F1172" s="7" t="s">
        <v>24</v>
      </c>
      <c r="G1172" s="7" t="s">
        <v>914</v>
      </c>
      <c r="H1172" s="7" t="s">
        <v>26</v>
      </c>
      <c r="I1172" s="7" t="s">
        <v>27</v>
      </c>
      <c r="J1172" s="7" t="s">
        <v>28</v>
      </c>
      <c r="K1172" s="7" t="s">
        <v>60</v>
      </c>
      <c r="L1172" s="7" t="s">
        <v>53</v>
      </c>
      <c r="M1172" s="7" t="s">
        <v>103</v>
      </c>
      <c r="N1172" s="7">
        <v>2200</v>
      </c>
      <c r="O1172" s="7">
        <v>25</v>
      </c>
      <c r="P1172" s="16">
        <v>0</v>
      </c>
      <c r="Q1172" s="7">
        <v>680</v>
      </c>
      <c r="R1172" s="7" t="s">
        <v>55</v>
      </c>
      <c r="S1172" s="7" t="s">
        <v>33</v>
      </c>
      <c r="T1172" s="7" t="s">
        <v>34</v>
      </c>
      <c r="U1172" s="7">
        <v>5</v>
      </c>
      <c r="V1172" s="7" t="str">
        <f>TEXT('E-Commerce Sales Data'!$B1172,"mmmm")</f>
        <v>May</v>
      </c>
      <c r="W1172" s="8">
        <f t="shared" si="72"/>
        <v>195110</v>
      </c>
      <c r="X1172">
        <f t="shared" si="73"/>
        <v>30</v>
      </c>
      <c r="Y1172">
        <f t="shared" si="74"/>
        <v>37838.666666666664</v>
      </c>
      <c r="Z1172">
        <f t="shared" si="75"/>
        <v>52</v>
      </c>
    </row>
    <row r="1173" spans="1:26" x14ac:dyDescent="0.25">
      <c r="A1173" s="9" t="s">
        <v>1758</v>
      </c>
      <c r="B1173" s="10">
        <v>53829</v>
      </c>
      <c r="C1173" s="11" t="s">
        <v>1157</v>
      </c>
      <c r="D1173" s="11" t="s">
        <v>1545</v>
      </c>
      <c r="E1173" s="11">
        <v>35</v>
      </c>
      <c r="F1173" s="11" t="s">
        <v>38</v>
      </c>
      <c r="G1173" s="11" t="s">
        <v>25</v>
      </c>
      <c r="H1173" s="11" t="s">
        <v>26</v>
      </c>
      <c r="I1173" s="11" t="s">
        <v>27</v>
      </c>
      <c r="J1173" s="11" t="s">
        <v>42</v>
      </c>
      <c r="K1173" s="11" t="s">
        <v>43</v>
      </c>
      <c r="L1173" s="11" t="s">
        <v>68</v>
      </c>
      <c r="M1173" s="11" t="s">
        <v>106</v>
      </c>
      <c r="N1173" s="11">
        <v>51500</v>
      </c>
      <c r="O1173" s="11">
        <v>1</v>
      </c>
      <c r="P1173" s="17">
        <v>0.08</v>
      </c>
      <c r="Q1173" s="11">
        <v>10800</v>
      </c>
      <c r="R1173" s="11" t="s">
        <v>46</v>
      </c>
      <c r="S1173" s="11" t="s">
        <v>47</v>
      </c>
      <c r="T1173" s="11" t="s">
        <v>34</v>
      </c>
      <c r="U1173" s="11">
        <v>4</v>
      </c>
      <c r="V1173" s="11" t="str">
        <f>TEXT('E-Commerce Sales Data'!$B1173,"mmmm")</f>
        <v>May</v>
      </c>
      <c r="W1173" s="8">
        <f t="shared" si="72"/>
        <v>194430</v>
      </c>
      <c r="X1173">
        <f t="shared" si="73"/>
        <v>29</v>
      </c>
      <c r="Y1173">
        <f t="shared" si="74"/>
        <v>39067.586206896551</v>
      </c>
      <c r="Z1173">
        <f t="shared" si="75"/>
        <v>52</v>
      </c>
    </row>
    <row r="1174" spans="1:26" x14ac:dyDescent="0.25">
      <c r="A1174" s="5" t="s">
        <v>1759</v>
      </c>
      <c r="B1174" s="6">
        <v>53836</v>
      </c>
      <c r="C1174" s="7" t="s">
        <v>1760</v>
      </c>
      <c r="D1174" s="7" t="s">
        <v>913</v>
      </c>
      <c r="E1174" s="7">
        <v>31</v>
      </c>
      <c r="F1174" s="7" t="s">
        <v>24</v>
      </c>
      <c r="G1174" s="7" t="s">
        <v>59</v>
      </c>
      <c r="H1174" s="7" t="s">
        <v>26</v>
      </c>
      <c r="I1174" s="7" t="s">
        <v>27</v>
      </c>
      <c r="J1174" s="7" t="s">
        <v>28</v>
      </c>
      <c r="K1174" s="7" t="s">
        <v>29</v>
      </c>
      <c r="L1174" s="7" t="s">
        <v>30</v>
      </c>
      <c r="M1174" s="7" t="s">
        <v>31</v>
      </c>
      <c r="N1174" s="7">
        <v>145000</v>
      </c>
      <c r="O1174" s="7">
        <v>1</v>
      </c>
      <c r="P1174" s="16">
        <v>0.1</v>
      </c>
      <c r="Q1174" s="7">
        <v>16500</v>
      </c>
      <c r="R1174" s="7" t="s">
        <v>32</v>
      </c>
      <c r="S1174" s="7" t="s">
        <v>47</v>
      </c>
      <c r="T1174" s="7" t="s">
        <v>34</v>
      </c>
      <c r="U1174" s="7">
        <v>5</v>
      </c>
      <c r="V1174" s="7" t="str">
        <f>TEXT('E-Commerce Sales Data'!$B1174,"mmmm")</f>
        <v>May</v>
      </c>
      <c r="W1174" s="8">
        <f t="shared" si="72"/>
        <v>183630</v>
      </c>
      <c r="X1174">
        <f t="shared" si="73"/>
        <v>28</v>
      </c>
      <c r="Y1174">
        <f t="shared" si="74"/>
        <v>38623.571428571428</v>
      </c>
      <c r="Z1174">
        <f t="shared" si="75"/>
        <v>52</v>
      </c>
    </row>
    <row r="1175" spans="1:26" x14ac:dyDescent="0.25">
      <c r="A1175" s="9" t="s">
        <v>1761</v>
      </c>
      <c r="B1175" s="10">
        <v>53843</v>
      </c>
      <c r="C1175" s="11" t="s">
        <v>1474</v>
      </c>
      <c r="D1175" s="11" t="s">
        <v>1117</v>
      </c>
      <c r="E1175" s="11">
        <v>27</v>
      </c>
      <c r="F1175" s="11" t="s">
        <v>38</v>
      </c>
      <c r="G1175" s="11" t="s">
        <v>924</v>
      </c>
      <c r="H1175" s="11" t="s">
        <v>26</v>
      </c>
      <c r="I1175" s="11" t="s">
        <v>27</v>
      </c>
      <c r="J1175" s="11" t="s">
        <v>28</v>
      </c>
      <c r="K1175" s="11" t="s">
        <v>60</v>
      </c>
      <c r="L1175" s="11" t="s">
        <v>92</v>
      </c>
      <c r="M1175" s="11" t="s">
        <v>111</v>
      </c>
      <c r="N1175" s="11">
        <v>2890</v>
      </c>
      <c r="O1175" s="11">
        <v>15</v>
      </c>
      <c r="P1175" s="17">
        <v>0.05</v>
      </c>
      <c r="Q1175" s="11">
        <v>960</v>
      </c>
      <c r="R1175" s="11" t="s">
        <v>80</v>
      </c>
      <c r="S1175" s="11" t="s">
        <v>33</v>
      </c>
      <c r="T1175" s="11" t="s">
        <v>34</v>
      </c>
      <c r="U1175" s="11">
        <v>4</v>
      </c>
      <c r="V1175" s="11" t="str">
        <f>TEXT('E-Commerce Sales Data'!$B1175,"mmmm")</f>
        <v>May</v>
      </c>
      <c r="W1175" s="8">
        <f t="shared" si="72"/>
        <v>167130</v>
      </c>
      <c r="X1175">
        <f t="shared" si="73"/>
        <v>27</v>
      </c>
      <c r="Y1175">
        <f t="shared" si="74"/>
        <v>34683.703703703701</v>
      </c>
      <c r="Z1175">
        <f t="shared" si="75"/>
        <v>52</v>
      </c>
    </row>
    <row r="1176" spans="1:26" x14ac:dyDescent="0.25">
      <c r="A1176" s="5" t="s">
        <v>1762</v>
      </c>
      <c r="B1176" s="6">
        <v>53850</v>
      </c>
      <c r="C1176" s="7" t="s">
        <v>1309</v>
      </c>
      <c r="D1176" s="7" t="s">
        <v>1225</v>
      </c>
      <c r="E1176" s="7">
        <v>48</v>
      </c>
      <c r="F1176" s="7" t="s">
        <v>24</v>
      </c>
      <c r="G1176" s="7" t="s">
        <v>78</v>
      </c>
      <c r="H1176" s="7" t="s">
        <v>26</v>
      </c>
      <c r="I1176" s="7" t="s">
        <v>27</v>
      </c>
      <c r="J1176" s="7" t="s">
        <v>42</v>
      </c>
      <c r="K1176" s="7" t="s">
        <v>43</v>
      </c>
      <c r="L1176" s="7" t="s">
        <v>44</v>
      </c>
      <c r="M1176" s="7" t="s">
        <v>45</v>
      </c>
      <c r="N1176" s="7">
        <v>27200</v>
      </c>
      <c r="O1176" s="7">
        <v>4</v>
      </c>
      <c r="P1176" s="16">
        <v>7.0000000000000007E-2</v>
      </c>
      <c r="Q1176" s="7">
        <v>6400</v>
      </c>
      <c r="R1176" s="7" t="s">
        <v>46</v>
      </c>
      <c r="S1176" s="7" t="s">
        <v>33</v>
      </c>
      <c r="T1176" s="7" t="s">
        <v>34</v>
      </c>
      <c r="U1176" s="7">
        <v>4</v>
      </c>
      <c r="V1176" s="7" t="str">
        <f>TEXT('E-Commerce Sales Data'!$B1176,"mmmm")</f>
        <v>June</v>
      </c>
      <c r="W1176" s="8">
        <f t="shared" si="72"/>
        <v>166170</v>
      </c>
      <c r="X1176">
        <f t="shared" si="73"/>
        <v>26</v>
      </c>
      <c r="Y1176">
        <f t="shared" si="74"/>
        <v>35906.538461538461</v>
      </c>
      <c r="Z1176">
        <f t="shared" si="75"/>
        <v>52</v>
      </c>
    </row>
    <row r="1177" spans="1:26" x14ac:dyDescent="0.25">
      <c r="A1177" s="9" t="s">
        <v>1763</v>
      </c>
      <c r="B1177" s="10">
        <v>53857</v>
      </c>
      <c r="C1177" s="11" t="s">
        <v>1764</v>
      </c>
      <c r="D1177" s="11" t="s">
        <v>1236</v>
      </c>
      <c r="E1177" s="11">
        <v>33</v>
      </c>
      <c r="F1177" s="11" t="s">
        <v>38</v>
      </c>
      <c r="G1177" s="11" t="s">
        <v>932</v>
      </c>
      <c r="H1177" s="11" t="s">
        <v>26</v>
      </c>
      <c r="I1177" s="11" t="s">
        <v>27</v>
      </c>
      <c r="J1177" s="11" t="s">
        <v>28</v>
      </c>
      <c r="K1177" s="11" t="s">
        <v>29</v>
      </c>
      <c r="L1177" s="11" t="s">
        <v>53</v>
      </c>
      <c r="M1177" s="11" t="s">
        <v>54</v>
      </c>
      <c r="N1177" s="11">
        <v>56000</v>
      </c>
      <c r="O1177" s="11">
        <v>2</v>
      </c>
      <c r="P1177" s="17">
        <v>0.05</v>
      </c>
      <c r="Q1177" s="11">
        <v>11000</v>
      </c>
      <c r="R1177" s="11" t="s">
        <v>32</v>
      </c>
      <c r="S1177" s="11" t="s">
        <v>47</v>
      </c>
      <c r="T1177" s="11" t="s">
        <v>34</v>
      </c>
      <c r="U1177" s="11">
        <v>5</v>
      </c>
      <c r="V1177" s="11" t="str">
        <f>TEXT('E-Commerce Sales Data'!$B1177,"mmmm")</f>
        <v>June</v>
      </c>
      <c r="W1177" s="8">
        <f t="shared" si="72"/>
        <v>159770</v>
      </c>
      <c r="X1177">
        <f t="shared" si="73"/>
        <v>25</v>
      </c>
      <c r="Y1177">
        <f t="shared" si="74"/>
        <v>36254.800000000003</v>
      </c>
      <c r="Z1177">
        <f t="shared" si="75"/>
        <v>52</v>
      </c>
    </row>
    <row r="1178" spans="1:26" x14ac:dyDescent="0.25">
      <c r="A1178" s="5" t="s">
        <v>1765</v>
      </c>
      <c r="B1178" s="6">
        <v>53864</v>
      </c>
      <c r="C1178" s="7" t="s">
        <v>1317</v>
      </c>
      <c r="D1178" s="7" t="s">
        <v>1114</v>
      </c>
      <c r="E1178" s="7">
        <v>45</v>
      </c>
      <c r="F1178" s="7" t="s">
        <v>24</v>
      </c>
      <c r="G1178" s="7" t="s">
        <v>953</v>
      </c>
      <c r="H1178" s="7" t="s">
        <v>953</v>
      </c>
      <c r="I1178" s="7" t="s">
        <v>27</v>
      </c>
      <c r="J1178" s="7" t="s">
        <v>42</v>
      </c>
      <c r="K1178" s="7" t="s">
        <v>60</v>
      </c>
      <c r="L1178" s="7" t="s">
        <v>61</v>
      </c>
      <c r="M1178" s="7" t="s">
        <v>62</v>
      </c>
      <c r="N1178" s="7">
        <v>14800</v>
      </c>
      <c r="O1178" s="7">
        <v>10</v>
      </c>
      <c r="P1178" s="16">
        <v>0.03</v>
      </c>
      <c r="Q1178" s="7">
        <v>3680</v>
      </c>
      <c r="R1178" s="7" t="s">
        <v>55</v>
      </c>
      <c r="S1178" s="7" t="s">
        <v>33</v>
      </c>
      <c r="T1178" s="7" t="s">
        <v>34</v>
      </c>
      <c r="U1178" s="7">
        <v>4</v>
      </c>
      <c r="V1178" s="7" t="str">
        <f>TEXT('E-Commerce Sales Data'!$B1178,"mmmm")</f>
        <v>June</v>
      </c>
      <c r="W1178" s="8">
        <f t="shared" si="72"/>
        <v>148770</v>
      </c>
      <c r="X1178">
        <f t="shared" si="73"/>
        <v>24</v>
      </c>
      <c r="Y1178">
        <f t="shared" si="74"/>
        <v>35432.083333333336</v>
      </c>
      <c r="Z1178">
        <f t="shared" si="75"/>
        <v>52</v>
      </c>
    </row>
    <row r="1179" spans="1:26" x14ac:dyDescent="0.25">
      <c r="A1179" s="9" t="s">
        <v>1766</v>
      </c>
      <c r="B1179" s="10">
        <v>53871</v>
      </c>
      <c r="C1179" s="11" t="s">
        <v>1147</v>
      </c>
      <c r="D1179" s="11" t="s">
        <v>1523</v>
      </c>
      <c r="E1179" s="11">
        <v>30</v>
      </c>
      <c r="F1179" s="11" t="s">
        <v>38</v>
      </c>
      <c r="G1179" s="11" t="s">
        <v>25</v>
      </c>
      <c r="H1179" s="11" t="s">
        <v>26</v>
      </c>
      <c r="I1179" s="11" t="s">
        <v>27</v>
      </c>
      <c r="J1179" s="11" t="s">
        <v>28</v>
      </c>
      <c r="K1179" s="11" t="s">
        <v>43</v>
      </c>
      <c r="L1179" s="11" t="s">
        <v>68</v>
      </c>
      <c r="M1179" s="11" t="s">
        <v>69</v>
      </c>
      <c r="N1179" s="11">
        <v>51400</v>
      </c>
      <c r="O1179" s="11">
        <v>2</v>
      </c>
      <c r="P1179" s="17">
        <v>0.1</v>
      </c>
      <c r="Q1179" s="11">
        <v>8400</v>
      </c>
      <c r="R1179" s="11" t="s">
        <v>32</v>
      </c>
      <c r="S1179" s="11" t="s">
        <v>47</v>
      </c>
      <c r="T1179" s="11" t="s">
        <v>34</v>
      </c>
      <c r="U1179" s="11">
        <v>5</v>
      </c>
      <c r="V1179" s="11" t="str">
        <f>TEXT('E-Commerce Sales Data'!$B1179,"mmmm")</f>
        <v>June</v>
      </c>
      <c r="W1179" s="8">
        <f t="shared" si="72"/>
        <v>145090</v>
      </c>
      <c r="X1179">
        <f t="shared" si="73"/>
        <v>23</v>
      </c>
      <c r="Y1179">
        <f t="shared" si="74"/>
        <v>36329.130434782608</v>
      </c>
      <c r="Z1179">
        <f t="shared" si="75"/>
        <v>52</v>
      </c>
    </row>
    <row r="1180" spans="1:26" x14ac:dyDescent="0.25">
      <c r="A1180" s="5" t="s">
        <v>1767</v>
      </c>
      <c r="B1180" s="6">
        <v>53878</v>
      </c>
      <c r="C1180" s="7" t="s">
        <v>1108</v>
      </c>
      <c r="D1180" s="7" t="s">
        <v>1436</v>
      </c>
      <c r="E1180" s="7">
        <v>41</v>
      </c>
      <c r="F1180" s="7" t="s">
        <v>24</v>
      </c>
      <c r="G1180" s="7" t="s">
        <v>59</v>
      </c>
      <c r="H1180" s="7" t="s">
        <v>26</v>
      </c>
      <c r="I1180" s="7" t="s">
        <v>27</v>
      </c>
      <c r="J1180" s="7" t="s">
        <v>42</v>
      </c>
      <c r="K1180" s="7" t="s">
        <v>29</v>
      </c>
      <c r="L1180" s="7" t="s">
        <v>53</v>
      </c>
      <c r="M1180" s="7" t="s">
        <v>75</v>
      </c>
      <c r="N1180" s="7">
        <v>8050</v>
      </c>
      <c r="O1180" s="7">
        <v>4</v>
      </c>
      <c r="P1180" s="16">
        <v>0.05</v>
      </c>
      <c r="Q1180" s="7">
        <v>2130</v>
      </c>
      <c r="R1180" s="7" t="s">
        <v>46</v>
      </c>
      <c r="S1180" s="7" t="s">
        <v>33</v>
      </c>
      <c r="T1180" s="7" t="s">
        <v>34</v>
      </c>
      <c r="U1180" s="7">
        <v>3</v>
      </c>
      <c r="V1180" s="7" t="str">
        <f>TEXT('E-Commerce Sales Data'!$B1180,"mmmm")</f>
        <v>July</v>
      </c>
      <c r="W1180" s="8">
        <f t="shared" si="72"/>
        <v>136690</v>
      </c>
      <c r="X1180">
        <f t="shared" si="73"/>
        <v>22</v>
      </c>
      <c r="Y1180">
        <f t="shared" si="74"/>
        <v>35644.090909090912</v>
      </c>
      <c r="Z1180">
        <f t="shared" si="75"/>
        <v>52</v>
      </c>
    </row>
    <row r="1181" spans="1:26" x14ac:dyDescent="0.25">
      <c r="A1181" s="9" t="s">
        <v>1768</v>
      </c>
      <c r="B1181" s="10">
        <v>53885</v>
      </c>
      <c r="C1181" s="11" t="s">
        <v>1769</v>
      </c>
      <c r="D1181" s="11" t="s">
        <v>1535</v>
      </c>
      <c r="E1181" s="11">
        <v>29</v>
      </c>
      <c r="F1181" s="11" t="s">
        <v>38</v>
      </c>
      <c r="G1181" s="11" t="s">
        <v>914</v>
      </c>
      <c r="H1181" s="11" t="s">
        <v>26</v>
      </c>
      <c r="I1181" s="11" t="s">
        <v>27</v>
      </c>
      <c r="J1181" s="11" t="s">
        <v>28</v>
      </c>
      <c r="K1181" s="11" t="s">
        <v>29</v>
      </c>
      <c r="L1181" s="11" t="s">
        <v>53</v>
      </c>
      <c r="M1181" s="11" t="s">
        <v>79</v>
      </c>
      <c r="N1181" s="11">
        <v>10000</v>
      </c>
      <c r="O1181" s="11">
        <v>7</v>
      </c>
      <c r="P1181" s="17">
        <v>0</v>
      </c>
      <c r="Q1181" s="11">
        <v>3000</v>
      </c>
      <c r="R1181" s="11" t="s">
        <v>32</v>
      </c>
      <c r="S1181" s="11" t="s">
        <v>33</v>
      </c>
      <c r="T1181" s="11" t="s">
        <v>34</v>
      </c>
      <c r="U1181" s="11">
        <v>4</v>
      </c>
      <c r="V1181" s="11" t="str">
        <f>TEXT('E-Commerce Sales Data'!$B1181,"mmmm")</f>
        <v>July</v>
      </c>
      <c r="W1181" s="8">
        <f t="shared" si="72"/>
        <v>134560</v>
      </c>
      <c r="X1181">
        <f t="shared" si="73"/>
        <v>21</v>
      </c>
      <c r="Y1181">
        <f t="shared" si="74"/>
        <v>36958.095238095237</v>
      </c>
      <c r="Z1181">
        <f t="shared" si="75"/>
        <v>52</v>
      </c>
    </row>
    <row r="1182" spans="1:26" x14ac:dyDescent="0.25">
      <c r="A1182" s="5" t="s">
        <v>1770</v>
      </c>
      <c r="B1182" s="6">
        <v>53892</v>
      </c>
      <c r="C1182" s="7" t="s">
        <v>1227</v>
      </c>
      <c r="D1182" s="7" t="s">
        <v>1506</v>
      </c>
      <c r="E1182" s="7">
        <v>37</v>
      </c>
      <c r="F1182" s="7" t="s">
        <v>24</v>
      </c>
      <c r="G1182" s="7" t="s">
        <v>25</v>
      </c>
      <c r="H1182" s="7" t="s">
        <v>26</v>
      </c>
      <c r="I1182" s="7" t="s">
        <v>27</v>
      </c>
      <c r="J1182" s="7" t="s">
        <v>28</v>
      </c>
      <c r="K1182" s="7" t="s">
        <v>29</v>
      </c>
      <c r="L1182" s="7" t="s">
        <v>30</v>
      </c>
      <c r="M1182" s="7" t="s">
        <v>31</v>
      </c>
      <c r="N1182" s="7">
        <v>147500</v>
      </c>
      <c r="O1182" s="7">
        <v>1</v>
      </c>
      <c r="P1182" s="16">
        <v>0.05</v>
      </c>
      <c r="Q1182" s="7">
        <v>17800</v>
      </c>
      <c r="R1182" s="7" t="s">
        <v>32</v>
      </c>
      <c r="S1182" s="7" t="s">
        <v>47</v>
      </c>
      <c r="T1182" s="7" t="s">
        <v>34</v>
      </c>
      <c r="U1182" s="7">
        <v>5</v>
      </c>
      <c r="V1182" s="7" t="str">
        <f>TEXT('E-Commerce Sales Data'!$B1182,"mmmm")</f>
        <v>July</v>
      </c>
      <c r="W1182" s="8">
        <f t="shared" si="72"/>
        <v>131560</v>
      </c>
      <c r="X1182">
        <f t="shared" si="73"/>
        <v>20</v>
      </c>
      <c r="Y1182">
        <f t="shared" si="74"/>
        <v>38306</v>
      </c>
      <c r="Z1182">
        <f t="shared" si="75"/>
        <v>52</v>
      </c>
    </row>
    <row r="1183" spans="1:26" x14ac:dyDescent="0.25">
      <c r="A1183" s="9" t="s">
        <v>1771</v>
      </c>
      <c r="B1183" s="10">
        <v>53899</v>
      </c>
      <c r="C1183" s="11" t="s">
        <v>1772</v>
      </c>
      <c r="D1183" s="11" t="s">
        <v>1167</v>
      </c>
      <c r="E1183" s="11">
        <v>26</v>
      </c>
      <c r="F1183" s="11" t="s">
        <v>38</v>
      </c>
      <c r="G1183" s="11" t="s">
        <v>59</v>
      </c>
      <c r="H1183" s="11" t="s">
        <v>26</v>
      </c>
      <c r="I1183" s="11" t="s">
        <v>27</v>
      </c>
      <c r="J1183" s="11" t="s">
        <v>42</v>
      </c>
      <c r="K1183" s="11" t="s">
        <v>43</v>
      </c>
      <c r="L1183" s="11" t="s">
        <v>44</v>
      </c>
      <c r="M1183" s="11" t="s">
        <v>45</v>
      </c>
      <c r="N1183" s="11">
        <v>23700</v>
      </c>
      <c r="O1183" s="11">
        <v>3</v>
      </c>
      <c r="P1183" s="17">
        <v>0.1</v>
      </c>
      <c r="Q1183" s="11">
        <v>5560</v>
      </c>
      <c r="R1183" s="11" t="s">
        <v>46</v>
      </c>
      <c r="S1183" s="11" t="s">
        <v>33</v>
      </c>
      <c r="T1183" s="11" t="s">
        <v>34</v>
      </c>
      <c r="U1183" s="11">
        <v>4</v>
      </c>
      <c r="V1183" s="11" t="str">
        <f>TEXT('E-Commerce Sales Data'!$B1183,"mmmm")</f>
        <v>July</v>
      </c>
      <c r="W1183" s="8">
        <f t="shared" si="72"/>
        <v>113760</v>
      </c>
      <c r="X1183">
        <f t="shared" si="73"/>
        <v>19</v>
      </c>
      <c r="Y1183">
        <f t="shared" si="74"/>
        <v>32558.947368421053</v>
      </c>
      <c r="Z1183">
        <f t="shared" si="75"/>
        <v>52</v>
      </c>
    </row>
    <row r="1184" spans="1:26" x14ac:dyDescent="0.25">
      <c r="A1184" s="5" t="s">
        <v>1773</v>
      </c>
      <c r="B1184" s="6">
        <v>53906</v>
      </c>
      <c r="C1184" s="7" t="s">
        <v>1774</v>
      </c>
      <c r="D1184" s="7" t="s">
        <v>1611</v>
      </c>
      <c r="E1184" s="7">
        <v>52</v>
      </c>
      <c r="F1184" s="7" t="s">
        <v>24</v>
      </c>
      <c r="G1184" s="7" t="s">
        <v>78</v>
      </c>
      <c r="H1184" s="7" t="s">
        <v>26</v>
      </c>
      <c r="I1184" s="7" t="s">
        <v>27</v>
      </c>
      <c r="J1184" s="7" t="s">
        <v>28</v>
      </c>
      <c r="K1184" s="7" t="s">
        <v>29</v>
      </c>
      <c r="L1184" s="7" t="s">
        <v>53</v>
      </c>
      <c r="M1184" s="7" t="s">
        <v>54</v>
      </c>
      <c r="N1184" s="7">
        <v>56900</v>
      </c>
      <c r="O1184" s="7">
        <v>2</v>
      </c>
      <c r="P1184" s="16">
        <v>0.05</v>
      </c>
      <c r="Q1184" s="7">
        <v>11200</v>
      </c>
      <c r="R1184" s="7" t="s">
        <v>55</v>
      </c>
      <c r="S1184" s="7" t="s">
        <v>33</v>
      </c>
      <c r="T1184" s="7" t="s">
        <v>34</v>
      </c>
      <c r="U1184" s="7">
        <v>4</v>
      </c>
      <c r="V1184" s="7" t="str">
        <f>TEXT('E-Commerce Sales Data'!$B1184,"mmmm")</f>
        <v>August</v>
      </c>
      <c r="W1184" s="8">
        <f t="shared" si="72"/>
        <v>108200</v>
      </c>
      <c r="X1184">
        <f t="shared" si="73"/>
        <v>18</v>
      </c>
      <c r="Y1184">
        <f t="shared" si="74"/>
        <v>33051.111111111109</v>
      </c>
      <c r="Z1184">
        <f t="shared" si="75"/>
        <v>52</v>
      </c>
    </row>
    <row r="1185" spans="1:26" x14ac:dyDescent="0.25">
      <c r="A1185" s="9" t="s">
        <v>1775</v>
      </c>
      <c r="B1185" s="10">
        <v>53913</v>
      </c>
      <c r="C1185" s="11" t="s">
        <v>1776</v>
      </c>
      <c r="D1185" s="11" t="s">
        <v>1582</v>
      </c>
      <c r="E1185" s="11">
        <v>31</v>
      </c>
      <c r="F1185" s="11" t="s">
        <v>38</v>
      </c>
      <c r="G1185" s="11" t="s">
        <v>924</v>
      </c>
      <c r="H1185" s="11" t="s">
        <v>26</v>
      </c>
      <c r="I1185" s="11" t="s">
        <v>27</v>
      </c>
      <c r="J1185" s="11" t="s">
        <v>28</v>
      </c>
      <c r="K1185" s="11" t="s">
        <v>60</v>
      </c>
      <c r="L1185" s="11" t="s">
        <v>61</v>
      </c>
      <c r="M1185" s="11" t="s">
        <v>86</v>
      </c>
      <c r="N1185" s="11">
        <v>1530</v>
      </c>
      <c r="O1185" s="11">
        <v>20</v>
      </c>
      <c r="P1185" s="17">
        <v>0.02</v>
      </c>
      <c r="Q1185" s="11">
        <v>460</v>
      </c>
      <c r="R1185" s="11" t="s">
        <v>32</v>
      </c>
      <c r="S1185" s="11" t="s">
        <v>33</v>
      </c>
      <c r="T1185" s="11" t="s">
        <v>34</v>
      </c>
      <c r="U1185" s="11">
        <v>5</v>
      </c>
      <c r="V1185" s="11" t="str">
        <f>TEXT('E-Commerce Sales Data'!$B1185,"mmmm")</f>
        <v>August</v>
      </c>
      <c r="W1185" s="8">
        <f t="shared" si="72"/>
        <v>97000</v>
      </c>
      <c r="X1185">
        <f t="shared" si="73"/>
        <v>17</v>
      </c>
      <c r="Y1185">
        <f t="shared" si="74"/>
        <v>31648.235294117647</v>
      </c>
      <c r="Z1185">
        <f t="shared" si="75"/>
        <v>51</v>
      </c>
    </row>
    <row r="1186" spans="1:26" x14ac:dyDescent="0.25">
      <c r="A1186" s="5" t="s">
        <v>1777</v>
      </c>
      <c r="B1186" s="6">
        <v>53920</v>
      </c>
      <c r="C1186" s="7" t="s">
        <v>1778</v>
      </c>
      <c r="D1186" s="7" t="s">
        <v>988</v>
      </c>
      <c r="E1186" s="7">
        <v>46</v>
      </c>
      <c r="F1186" s="7" t="s">
        <v>24</v>
      </c>
      <c r="G1186" s="7" t="s">
        <v>59</v>
      </c>
      <c r="H1186" s="7" t="s">
        <v>26</v>
      </c>
      <c r="I1186" s="7" t="s">
        <v>27</v>
      </c>
      <c r="J1186" s="7" t="s">
        <v>42</v>
      </c>
      <c r="K1186" s="7" t="s">
        <v>43</v>
      </c>
      <c r="L1186" s="7" t="s">
        <v>68</v>
      </c>
      <c r="M1186" s="7" t="s">
        <v>69</v>
      </c>
      <c r="N1186" s="7">
        <v>53600</v>
      </c>
      <c r="O1186" s="7">
        <v>2</v>
      </c>
      <c r="P1186" s="16">
        <v>0.08</v>
      </c>
      <c r="Q1186" s="7">
        <v>9300</v>
      </c>
      <c r="R1186" s="7" t="s">
        <v>46</v>
      </c>
      <c r="S1186" s="7" t="s">
        <v>47</v>
      </c>
      <c r="T1186" s="7" t="s">
        <v>34</v>
      </c>
      <c r="U1186" s="7">
        <v>4</v>
      </c>
      <c r="V1186" s="7" t="str">
        <f>TEXT('E-Commerce Sales Data'!$B1186,"mmmm")</f>
        <v>August</v>
      </c>
      <c r="W1186" s="8">
        <f t="shared" si="72"/>
        <v>96540</v>
      </c>
      <c r="X1186">
        <f t="shared" si="73"/>
        <v>16</v>
      </c>
      <c r="Y1186">
        <f t="shared" si="74"/>
        <v>33530.625</v>
      </c>
      <c r="Z1186">
        <f t="shared" si="75"/>
        <v>51</v>
      </c>
    </row>
    <row r="1187" spans="1:26" x14ac:dyDescent="0.25">
      <c r="A1187" s="9" t="s">
        <v>1779</v>
      </c>
      <c r="B1187" s="10">
        <v>53927</v>
      </c>
      <c r="C1187" s="11" t="s">
        <v>1780</v>
      </c>
      <c r="D1187" s="11" t="s">
        <v>907</v>
      </c>
      <c r="E1187" s="11">
        <v>36</v>
      </c>
      <c r="F1187" s="11" t="s">
        <v>38</v>
      </c>
      <c r="G1187" s="11" t="s">
        <v>25</v>
      </c>
      <c r="H1187" s="11" t="s">
        <v>26</v>
      </c>
      <c r="I1187" s="11" t="s">
        <v>27</v>
      </c>
      <c r="J1187" s="11" t="s">
        <v>28</v>
      </c>
      <c r="K1187" s="11" t="s">
        <v>29</v>
      </c>
      <c r="L1187" s="11" t="s">
        <v>53</v>
      </c>
      <c r="M1187" s="11" t="s">
        <v>75</v>
      </c>
      <c r="N1187" s="11">
        <v>8200</v>
      </c>
      <c r="O1187" s="11">
        <v>3</v>
      </c>
      <c r="P1187" s="17">
        <v>0.05</v>
      </c>
      <c r="Q1187" s="11">
        <v>2180</v>
      </c>
      <c r="R1187" s="11" t="s">
        <v>32</v>
      </c>
      <c r="S1187" s="11" t="s">
        <v>33</v>
      </c>
      <c r="T1187" s="11" t="s">
        <v>34</v>
      </c>
      <c r="U1187" s="11">
        <v>4</v>
      </c>
      <c r="V1187" s="11" t="str">
        <f>TEXT('E-Commerce Sales Data'!$B1187,"mmmm")</f>
        <v>August</v>
      </c>
      <c r="W1187" s="8">
        <f t="shared" si="72"/>
        <v>87240</v>
      </c>
      <c r="X1187">
        <f t="shared" si="73"/>
        <v>15</v>
      </c>
      <c r="Y1187">
        <f t="shared" si="74"/>
        <v>32192.666666666668</v>
      </c>
      <c r="Z1187">
        <f t="shared" si="75"/>
        <v>51</v>
      </c>
    </row>
    <row r="1188" spans="1:26" x14ac:dyDescent="0.25">
      <c r="A1188" s="5" t="s">
        <v>1781</v>
      </c>
      <c r="B1188" s="6">
        <v>53934</v>
      </c>
      <c r="C1188" s="7" t="s">
        <v>1782</v>
      </c>
      <c r="D1188" s="7" t="s">
        <v>1596</v>
      </c>
      <c r="E1188" s="7">
        <v>43</v>
      </c>
      <c r="F1188" s="7" t="s">
        <v>24</v>
      </c>
      <c r="G1188" s="7" t="s">
        <v>1069</v>
      </c>
      <c r="H1188" s="7" t="s">
        <v>26</v>
      </c>
      <c r="I1188" s="7" t="s">
        <v>27</v>
      </c>
      <c r="J1188" s="7" t="s">
        <v>28</v>
      </c>
      <c r="K1188" s="7" t="s">
        <v>29</v>
      </c>
      <c r="L1188" s="7" t="s">
        <v>53</v>
      </c>
      <c r="M1188" s="7" t="s">
        <v>79</v>
      </c>
      <c r="N1188" s="7">
        <v>10200</v>
      </c>
      <c r="O1188" s="7">
        <v>6</v>
      </c>
      <c r="P1188" s="16">
        <v>0</v>
      </c>
      <c r="Q1188" s="7">
        <v>3060</v>
      </c>
      <c r="R1188" s="7" t="s">
        <v>80</v>
      </c>
      <c r="S1188" s="7" t="s">
        <v>33</v>
      </c>
      <c r="T1188" s="7" t="s">
        <v>34</v>
      </c>
      <c r="U1188" s="7">
        <v>3</v>
      </c>
      <c r="V1188" s="7" t="str">
        <f>TEXT('E-Commerce Sales Data'!$B1188,"mmmm")</f>
        <v>August</v>
      </c>
      <c r="W1188" s="8">
        <f t="shared" si="72"/>
        <v>85060</v>
      </c>
      <c r="X1188">
        <f t="shared" si="73"/>
        <v>14</v>
      </c>
      <c r="Y1188">
        <f t="shared" si="74"/>
        <v>33906.428571428572</v>
      </c>
      <c r="Z1188">
        <f t="shared" si="75"/>
        <v>51</v>
      </c>
    </row>
    <row r="1189" spans="1:26" x14ac:dyDescent="0.25">
      <c r="A1189" s="9" t="s">
        <v>1783</v>
      </c>
      <c r="B1189" s="10">
        <v>53941</v>
      </c>
      <c r="C1189" s="11" t="s">
        <v>1784</v>
      </c>
      <c r="D1189" s="11" t="s">
        <v>1586</v>
      </c>
      <c r="E1189" s="11">
        <v>28</v>
      </c>
      <c r="F1189" s="11" t="s">
        <v>38</v>
      </c>
      <c r="G1189" s="11" t="s">
        <v>78</v>
      </c>
      <c r="H1189" s="11" t="s">
        <v>26</v>
      </c>
      <c r="I1189" s="11" t="s">
        <v>27</v>
      </c>
      <c r="J1189" s="11" t="s">
        <v>42</v>
      </c>
      <c r="K1189" s="11" t="s">
        <v>60</v>
      </c>
      <c r="L1189" s="11" t="s">
        <v>61</v>
      </c>
      <c r="M1189" s="11" t="s">
        <v>62</v>
      </c>
      <c r="N1189" s="11">
        <v>15100</v>
      </c>
      <c r="O1189" s="11">
        <v>10</v>
      </c>
      <c r="P1189" s="17">
        <v>0.02</v>
      </c>
      <c r="Q1189" s="11">
        <v>3760</v>
      </c>
      <c r="R1189" s="11" t="s">
        <v>32</v>
      </c>
      <c r="S1189" s="11" t="s">
        <v>33</v>
      </c>
      <c r="T1189" s="11" t="s">
        <v>34</v>
      </c>
      <c r="U1189" s="11">
        <v>5</v>
      </c>
      <c r="V1189" s="11" t="str">
        <f>TEXT('E-Commerce Sales Data'!$B1189,"mmmm")</f>
        <v>September</v>
      </c>
      <c r="W1189" s="8">
        <f t="shared" si="72"/>
        <v>82000</v>
      </c>
      <c r="X1189">
        <f t="shared" si="73"/>
        <v>13</v>
      </c>
      <c r="Y1189">
        <f t="shared" si="74"/>
        <v>35730</v>
      </c>
      <c r="Z1189">
        <f t="shared" si="75"/>
        <v>51</v>
      </c>
    </row>
    <row r="1190" spans="1:26" x14ac:dyDescent="0.25">
      <c r="A1190" s="5" t="s">
        <v>1785</v>
      </c>
      <c r="B1190" s="6">
        <v>53948</v>
      </c>
      <c r="C1190" s="7" t="s">
        <v>1786</v>
      </c>
      <c r="D1190" s="7" t="s">
        <v>923</v>
      </c>
      <c r="E1190" s="7">
        <v>49</v>
      </c>
      <c r="F1190" s="7" t="s">
        <v>24</v>
      </c>
      <c r="G1190" s="7" t="s">
        <v>914</v>
      </c>
      <c r="H1190" s="7" t="s">
        <v>26</v>
      </c>
      <c r="I1190" s="7" t="s">
        <v>27</v>
      </c>
      <c r="J1190" s="7" t="s">
        <v>42</v>
      </c>
      <c r="K1190" s="7" t="s">
        <v>43</v>
      </c>
      <c r="L1190" s="7" t="s">
        <v>92</v>
      </c>
      <c r="M1190" s="7" t="s">
        <v>93</v>
      </c>
      <c r="N1190" s="7">
        <v>33800</v>
      </c>
      <c r="O1190" s="7">
        <v>1</v>
      </c>
      <c r="P1190" s="16">
        <v>0.1</v>
      </c>
      <c r="Q1190" s="7">
        <v>6100</v>
      </c>
      <c r="R1190" s="7" t="s">
        <v>46</v>
      </c>
      <c r="S1190" s="7" t="s">
        <v>47</v>
      </c>
      <c r="T1190" s="7" t="s">
        <v>34</v>
      </c>
      <c r="U1190" s="7">
        <v>4</v>
      </c>
      <c r="V1190" s="7" t="str">
        <f>TEXT('E-Commerce Sales Data'!$B1190,"mmmm")</f>
        <v>September</v>
      </c>
      <c r="W1190" s="8">
        <f t="shared" si="72"/>
        <v>78240</v>
      </c>
      <c r="X1190">
        <f t="shared" si="73"/>
        <v>12</v>
      </c>
      <c r="Y1190">
        <f t="shared" si="74"/>
        <v>37449.166666666664</v>
      </c>
      <c r="Z1190">
        <f t="shared" si="75"/>
        <v>51</v>
      </c>
    </row>
    <row r="1191" spans="1:26" x14ac:dyDescent="0.25">
      <c r="A1191" s="9" t="s">
        <v>1787</v>
      </c>
      <c r="B1191" s="10">
        <v>53955</v>
      </c>
      <c r="C1191" s="11" t="s">
        <v>1788</v>
      </c>
      <c r="D1191" s="11" t="s">
        <v>920</v>
      </c>
      <c r="E1191" s="11">
        <v>34</v>
      </c>
      <c r="F1191" s="11" t="s">
        <v>38</v>
      </c>
      <c r="G1191" s="11" t="s">
        <v>59</v>
      </c>
      <c r="H1191" s="11" t="s">
        <v>26</v>
      </c>
      <c r="I1191" s="11" t="s">
        <v>27</v>
      </c>
      <c r="J1191" s="11" t="s">
        <v>28</v>
      </c>
      <c r="K1191" s="11" t="s">
        <v>29</v>
      </c>
      <c r="L1191" s="11" t="s">
        <v>96</v>
      </c>
      <c r="M1191" s="11" t="s">
        <v>97</v>
      </c>
      <c r="N1191" s="11">
        <v>36500</v>
      </c>
      <c r="O1191" s="11">
        <v>2</v>
      </c>
      <c r="P1191" s="17">
        <v>0.05</v>
      </c>
      <c r="Q1191" s="11">
        <v>6950</v>
      </c>
      <c r="R1191" s="11" t="s">
        <v>32</v>
      </c>
      <c r="S1191" s="11" t="s">
        <v>33</v>
      </c>
      <c r="T1191" s="11" t="s">
        <v>34</v>
      </c>
      <c r="U1191" s="11">
        <v>4</v>
      </c>
      <c r="V1191" s="11" t="str">
        <f>TEXT('E-Commerce Sales Data'!$B1191,"mmmm")</f>
        <v>September</v>
      </c>
      <c r="W1191" s="8">
        <f t="shared" si="72"/>
        <v>72140</v>
      </c>
      <c r="X1191">
        <f t="shared" si="73"/>
        <v>11</v>
      </c>
      <c r="Y1191">
        <f t="shared" si="74"/>
        <v>37780.909090909088</v>
      </c>
      <c r="Z1191">
        <f t="shared" si="75"/>
        <v>51</v>
      </c>
    </row>
    <row r="1192" spans="1:26" x14ac:dyDescent="0.25">
      <c r="A1192" s="5" t="s">
        <v>1789</v>
      </c>
      <c r="B1192" s="6">
        <v>53962</v>
      </c>
      <c r="C1192" s="7" t="s">
        <v>1381</v>
      </c>
      <c r="D1192" s="7" t="s">
        <v>1535</v>
      </c>
      <c r="E1192" s="7">
        <v>40</v>
      </c>
      <c r="F1192" s="7" t="s">
        <v>24</v>
      </c>
      <c r="G1192" s="7" t="s">
        <v>25</v>
      </c>
      <c r="H1192" s="7" t="s">
        <v>26</v>
      </c>
      <c r="I1192" s="7" t="s">
        <v>27</v>
      </c>
      <c r="J1192" s="7" t="s">
        <v>28</v>
      </c>
      <c r="K1192" s="7" t="s">
        <v>60</v>
      </c>
      <c r="L1192" s="7" t="s">
        <v>53</v>
      </c>
      <c r="M1192" s="7" t="s">
        <v>103</v>
      </c>
      <c r="N1192" s="7">
        <v>2270</v>
      </c>
      <c r="O1192" s="7">
        <v>25</v>
      </c>
      <c r="P1192" s="16">
        <v>0</v>
      </c>
      <c r="Q1192" s="7">
        <v>700</v>
      </c>
      <c r="R1192" s="7" t="s">
        <v>55</v>
      </c>
      <c r="S1192" s="7" t="s">
        <v>33</v>
      </c>
      <c r="T1192" s="7" t="s">
        <v>34</v>
      </c>
      <c r="U1192" s="7">
        <v>5</v>
      </c>
      <c r="V1192" s="7" t="str">
        <f>TEXT('E-Commerce Sales Data'!$B1192,"mmmm")</f>
        <v>September</v>
      </c>
      <c r="W1192" s="8">
        <f t="shared" si="72"/>
        <v>65190</v>
      </c>
      <c r="X1192">
        <f t="shared" si="73"/>
        <v>10</v>
      </c>
      <c r="Y1192">
        <f t="shared" si="74"/>
        <v>37909</v>
      </c>
      <c r="Z1192">
        <f t="shared" si="75"/>
        <v>51</v>
      </c>
    </row>
    <row r="1193" spans="1:26" x14ac:dyDescent="0.25">
      <c r="A1193" s="9" t="s">
        <v>1790</v>
      </c>
      <c r="B1193" s="10">
        <v>53969</v>
      </c>
      <c r="C1193" s="11" t="s">
        <v>1791</v>
      </c>
      <c r="D1193" s="11" t="s">
        <v>1430</v>
      </c>
      <c r="E1193" s="11">
        <v>37</v>
      </c>
      <c r="F1193" s="11" t="s">
        <v>38</v>
      </c>
      <c r="G1193" s="11" t="s">
        <v>924</v>
      </c>
      <c r="H1193" s="11" t="s">
        <v>26</v>
      </c>
      <c r="I1193" s="11" t="s">
        <v>27</v>
      </c>
      <c r="J1193" s="11" t="s">
        <v>42</v>
      </c>
      <c r="K1193" s="11" t="s">
        <v>43</v>
      </c>
      <c r="L1193" s="11" t="s">
        <v>68</v>
      </c>
      <c r="M1193" s="11" t="s">
        <v>106</v>
      </c>
      <c r="N1193" s="11">
        <v>52400</v>
      </c>
      <c r="O1193" s="11">
        <v>1</v>
      </c>
      <c r="P1193" s="17">
        <v>0.08</v>
      </c>
      <c r="Q1193" s="11">
        <v>11000</v>
      </c>
      <c r="R1193" s="11" t="s">
        <v>46</v>
      </c>
      <c r="S1193" s="11" t="s">
        <v>47</v>
      </c>
      <c r="T1193" s="11" t="s">
        <v>34</v>
      </c>
      <c r="U1193" s="11">
        <v>4</v>
      </c>
      <c r="V1193" s="11" t="str">
        <f>TEXT('E-Commerce Sales Data'!$B1193,"mmmm")</f>
        <v>October</v>
      </c>
      <c r="W1193" s="8">
        <f t="shared" si="72"/>
        <v>64490</v>
      </c>
      <c r="X1193">
        <f t="shared" si="73"/>
        <v>9</v>
      </c>
      <c r="Y1193">
        <f t="shared" si="74"/>
        <v>41868.888888888891</v>
      </c>
      <c r="Z1193">
        <f t="shared" si="75"/>
        <v>51</v>
      </c>
    </row>
    <row r="1194" spans="1:26" x14ac:dyDescent="0.25">
      <c r="A1194" s="5" t="s">
        <v>1792</v>
      </c>
      <c r="B1194" s="6">
        <v>53976</v>
      </c>
      <c r="C1194" s="7" t="s">
        <v>1793</v>
      </c>
      <c r="D1194" s="7" t="s">
        <v>1236</v>
      </c>
      <c r="E1194" s="7">
        <v>45</v>
      </c>
      <c r="F1194" s="7" t="s">
        <v>24</v>
      </c>
      <c r="G1194" s="7" t="s">
        <v>59</v>
      </c>
      <c r="H1194" s="7" t="s">
        <v>26</v>
      </c>
      <c r="I1194" s="7" t="s">
        <v>27</v>
      </c>
      <c r="J1194" s="7" t="s">
        <v>28</v>
      </c>
      <c r="K1194" s="7" t="s">
        <v>29</v>
      </c>
      <c r="L1194" s="7" t="s">
        <v>30</v>
      </c>
      <c r="M1194" s="7" t="s">
        <v>31</v>
      </c>
      <c r="N1194" s="7">
        <v>149000</v>
      </c>
      <c r="O1194" s="7">
        <v>1</v>
      </c>
      <c r="P1194" s="16">
        <v>0.1</v>
      </c>
      <c r="Q1194" s="7">
        <v>16800</v>
      </c>
      <c r="R1194" s="7" t="s">
        <v>32</v>
      </c>
      <c r="S1194" s="7" t="s">
        <v>47</v>
      </c>
      <c r="T1194" s="7" t="s">
        <v>34</v>
      </c>
      <c r="U1194" s="7">
        <v>5</v>
      </c>
      <c r="V1194" s="7" t="str">
        <f>TEXT('E-Commerce Sales Data'!$B1194,"mmmm")</f>
        <v>October</v>
      </c>
      <c r="W1194" s="8">
        <f t="shared" si="72"/>
        <v>53490</v>
      </c>
      <c r="X1194">
        <f t="shared" si="73"/>
        <v>8</v>
      </c>
      <c r="Y1194">
        <f t="shared" si="74"/>
        <v>40552.5</v>
      </c>
      <c r="Z1194">
        <f t="shared" si="75"/>
        <v>51</v>
      </c>
    </row>
    <row r="1195" spans="1:26" x14ac:dyDescent="0.25">
      <c r="A1195" s="9" t="s">
        <v>1794</v>
      </c>
      <c r="B1195" s="10">
        <v>53983</v>
      </c>
      <c r="C1195" s="11" t="s">
        <v>1315</v>
      </c>
      <c r="D1195" s="11" t="s">
        <v>1250</v>
      </c>
      <c r="E1195" s="11">
        <v>29</v>
      </c>
      <c r="F1195" s="11" t="s">
        <v>38</v>
      </c>
      <c r="G1195" s="11" t="s">
        <v>1795</v>
      </c>
      <c r="H1195" s="11" t="s">
        <v>26</v>
      </c>
      <c r="I1195" s="11" t="s">
        <v>27</v>
      </c>
      <c r="J1195" s="11" t="s">
        <v>28</v>
      </c>
      <c r="K1195" s="11" t="s">
        <v>60</v>
      </c>
      <c r="L1195" s="11" t="s">
        <v>92</v>
      </c>
      <c r="M1195" s="11" t="s">
        <v>111</v>
      </c>
      <c r="N1195" s="11">
        <v>2970</v>
      </c>
      <c r="O1195" s="11">
        <v>15</v>
      </c>
      <c r="P1195" s="17">
        <v>0.05</v>
      </c>
      <c r="Q1195" s="11">
        <v>990</v>
      </c>
      <c r="R1195" s="11" t="s">
        <v>80</v>
      </c>
      <c r="S1195" s="11" t="s">
        <v>33</v>
      </c>
      <c r="T1195" s="11" t="s">
        <v>34</v>
      </c>
      <c r="U1195" s="11">
        <v>4</v>
      </c>
      <c r="V1195" s="11" t="str">
        <f>TEXT('E-Commerce Sales Data'!$B1195,"mmmm")</f>
        <v>October</v>
      </c>
      <c r="W1195" s="8">
        <f t="shared" si="72"/>
        <v>36690</v>
      </c>
      <c r="X1195">
        <f t="shared" si="73"/>
        <v>7</v>
      </c>
      <c r="Y1195">
        <f t="shared" si="74"/>
        <v>25060</v>
      </c>
      <c r="Z1195">
        <f t="shared" si="75"/>
        <v>51</v>
      </c>
    </row>
    <row r="1196" spans="1:26" x14ac:dyDescent="0.25">
      <c r="A1196" s="5" t="s">
        <v>1796</v>
      </c>
      <c r="B1196" s="6">
        <v>53990</v>
      </c>
      <c r="C1196" s="7" t="s">
        <v>1797</v>
      </c>
      <c r="D1196" s="7" t="s">
        <v>1219</v>
      </c>
      <c r="E1196" s="7">
        <v>51</v>
      </c>
      <c r="F1196" s="7" t="s">
        <v>24</v>
      </c>
      <c r="G1196" s="7" t="s">
        <v>914</v>
      </c>
      <c r="H1196" s="7" t="s">
        <v>26</v>
      </c>
      <c r="I1196" s="7" t="s">
        <v>27</v>
      </c>
      <c r="J1196" s="7" t="s">
        <v>42</v>
      </c>
      <c r="K1196" s="7" t="s">
        <v>43</v>
      </c>
      <c r="L1196" s="7" t="s">
        <v>44</v>
      </c>
      <c r="M1196" s="7" t="s">
        <v>45</v>
      </c>
      <c r="N1196" s="7">
        <v>27800</v>
      </c>
      <c r="O1196" s="7">
        <v>4</v>
      </c>
      <c r="P1196" s="16">
        <v>7.0000000000000007E-2</v>
      </c>
      <c r="Q1196" s="7">
        <v>6550</v>
      </c>
      <c r="R1196" s="7" t="s">
        <v>46</v>
      </c>
      <c r="S1196" s="7" t="s">
        <v>33</v>
      </c>
      <c r="T1196" s="7" t="s">
        <v>34</v>
      </c>
      <c r="U1196" s="7">
        <v>4</v>
      </c>
      <c r="V1196" s="7" t="str">
        <f>TEXT('E-Commerce Sales Data'!$B1196,"mmmm")</f>
        <v>October</v>
      </c>
      <c r="W1196" s="8">
        <f t="shared" si="72"/>
        <v>35700</v>
      </c>
      <c r="X1196">
        <f t="shared" si="73"/>
        <v>6</v>
      </c>
      <c r="Y1196">
        <f t="shared" si="74"/>
        <v>28741.666666666668</v>
      </c>
      <c r="Z1196">
        <f t="shared" si="75"/>
        <v>51</v>
      </c>
    </row>
    <row r="1197" spans="1:26" x14ac:dyDescent="0.25">
      <c r="A1197" s="9" t="s">
        <v>1798</v>
      </c>
      <c r="B1197" s="10">
        <v>53997</v>
      </c>
      <c r="C1197" s="11" t="s">
        <v>1396</v>
      </c>
      <c r="D1197" s="11" t="s">
        <v>1490</v>
      </c>
      <c r="E1197" s="11">
        <v>32</v>
      </c>
      <c r="F1197" s="11" t="s">
        <v>38</v>
      </c>
      <c r="G1197" s="11" t="s">
        <v>59</v>
      </c>
      <c r="H1197" s="11" t="s">
        <v>26</v>
      </c>
      <c r="I1197" s="11" t="s">
        <v>27</v>
      </c>
      <c r="J1197" s="11" t="s">
        <v>28</v>
      </c>
      <c r="K1197" s="11" t="s">
        <v>29</v>
      </c>
      <c r="L1197" s="11" t="s">
        <v>53</v>
      </c>
      <c r="M1197" s="11" t="s">
        <v>54</v>
      </c>
      <c r="N1197" s="11">
        <v>57800</v>
      </c>
      <c r="O1197" s="11">
        <v>2</v>
      </c>
      <c r="P1197" s="17">
        <v>0.05</v>
      </c>
      <c r="Q1197" s="11">
        <v>11400</v>
      </c>
      <c r="R1197" s="11" t="s">
        <v>32</v>
      </c>
      <c r="S1197" s="11" t="s">
        <v>47</v>
      </c>
      <c r="T1197" s="11" t="s">
        <v>34</v>
      </c>
      <c r="U1197" s="11">
        <v>5</v>
      </c>
      <c r="V1197" s="11" t="str">
        <f>TEXT('E-Commerce Sales Data'!$B1197,"mmmm")</f>
        <v>November</v>
      </c>
      <c r="W1197" s="8">
        <f t="shared" si="72"/>
        <v>29150</v>
      </c>
      <c r="X1197">
        <f t="shared" si="73"/>
        <v>5</v>
      </c>
      <c r="Y1197">
        <f t="shared" si="74"/>
        <v>28930</v>
      </c>
      <c r="Z1197">
        <f t="shared" si="75"/>
        <v>47</v>
      </c>
    </row>
    <row r="1198" spans="1:26" x14ac:dyDescent="0.25">
      <c r="A1198" s="5" t="s">
        <v>1799</v>
      </c>
      <c r="B1198" s="6">
        <v>54004</v>
      </c>
      <c r="C1198" s="7" t="s">
        <v>1074</v>
      </c>
      <c r="D1198" s="7" t="s">
        <v>1757</v>
      </c>
      <c r="E1198" s="7">
        <v>39</v>
      </c>
      <c r="F1198" s="7" t="s">
        <v>24</v>
      </c>
      <c r="G1198" s="7" t="s">
        <v>1168</v>
      </c>
      <c r="H1198" s="7" t="s">
        <v>26</v>
      </c>
      <c r="I1198" s="7" t="s">
        <v>27</v>
      </c>
      <c r="J1198" s="7" t="s">
        <v>42</v>
      </c>
      <c r="K1198" s="7" t="s">
        <v>60</v>
      </c>
      <c r="L1198" s="7" t="s">
        <v>61</v>
      </c>
      <c r="M1198" s="7" t="s">
        <v>62</v>
      </c>
      <c r="N1198" s="7">
        <v>15400</v>
      </c>
      <c r="O1198" s="7">
        <v>10</v>
      </c>
      <c r="P1198" s="16">
        <v>0.03</v>
      </c>
      <c r="Q1198" s="7">
        <v>3820</v>
      </c>
      <c r="R1198" s="7" t="s">
        <v>55</v>
      </c>
      <c r="S1198" s="7" t="s">
        <v>33</v>
      </c>
      <c r="T1198" s="7" t="s">
        <v>34</v>
      </c>
      <c r="U1198" s="7">
        <v>4</v>
      </c>
      <c r="V1198" s="7" t="str">
        <f>TEXT('E-Commerce Sales Data'!$B1198,"mmmm")</f>
        <v>November</v>
      </c>
      <c r="W1198" s="8">
        <f t="shared" si="72"/>
        <v>17750</v>
      </c>
      <c r="X1198">
        <f t="shared" si="73"/>
        <v>4</v>
      </c>
      <c r="Y1198">
        <f t="shared" si="74"/>
        <v>21712.5</v>
      </c>
      <c r="Z1198">
        <f t="shared" si="75"/>
        <v>47</v>
      </c>
    </row>
    <row r="1199" spans="1:26" x14ac:dyDescent="0.25">
      <c r="A1199" s="9" t="s">
        <v>1800</v>
      </c>
      <c r="B1199" s="10">
        <v>54011</v>
      </c>
      <c r="C1199" s="11" t="s">
        <v>1692</v>
      </c>
      <c r="D1199" s="11" t="s">
        <v>913</v>
      </c>
      <c r="E1199" s="11">
        <v>27</v>
      </c>
      <c r="F1199" s="11" t="s">
        <v>38</v>
      </c>
      <c r="G1199" s="11" t="s">
        <v>928</v>
      </c>
      <c r="H1199" s="11" t="s">
        <v>26</v>
      </c>
      <c r="I1199" s="11" t="s">
        <v>27</v>
      </c>
      <c r="J1199" s="11" t="s">
        <v>28</v>
      </c>
      <c r="K1199" s="11" t="s">
        <v>43</v>
      </c>
      <c r="L1199" s="11" t="s">
        <v>68</v>
      </c>
      <c r="M1199" s="11" t="s">
        <v>69</v>
      </c>
      <c r="N1199" s="11">
        <v>52700</v>
      </c>
      <c r="O1199" s="11">
        <v>2</v>
      </c>
      <c r="P1199" s="17">
        <v>0.1</v>
      </c>
      <c r="Q1199" s="11">
        <v>8600</v>
      </c>
      <c r="R1199" s="11" t="s">
        <v>32</v>
      </c>
      <c r="S1199" s="11" t="s">
        <v>47</v>
      </c>
      <c r="T1199" s="11" t="s">
        <v>34</v>
      </c>
      <c r="U1199" s="11">
        <v>5</v>
      </c>
      <c r="V1199" s="11" t="str">
        <f>TEXT('E-Commerce Sales Data'!$B1199,"mmmm")</f>
        <v>November</v>
      </c>
      <c r="W1199" s="8">
        <f t="shared" si="72"/>
        <v>13930</v>
      </c>
      <c r="X1199">
        <f t="shared" si="73"/>
        <v>3</v>
      </c>
      <c r="Y1199">
        <f t="shared" si="74"/>
        <v>23816.666666666668</v>
      </c>
      <c r="Z1199">
        <f t="shared" si="75"/>
        <v>47</v>
      </c>
    </row>
    <row r="1200" spans="1:26" x14ac:dyDescent="0.25">
      <c r="A1200" s="5" t="s">
        <v>1801</v>
      </c>
      <c r="B1200" s="6">
        <v>54018</v>
      </c>
      <c r="C1200" s="7" t="s">
        <v>1802</v>
      </c>
      <c r="D1200" s="7" t="s">
        <v>1027</v>
      </c>
      <c r="E1200" s="7">
        <v>47</v>
      </c>
      <c r="F1200" s="7" t="s">
        <v>24</v>
      </c>
      <c r="G1200" s="7" t="s">
        <v>953</v>
      </c>
      <c r="H1200" s="7" t="s">
        <v>953</v>
      </c>
      <c r="I1200" s="7" t="s">
        <v>27</v>
      </c>
      <c r="J1200" s="7" t="s">
        <v>42</v>
      </c>
      <c r="K1200" s="7" t="s">
        <v>29</v>
      </c>
      <c r="L1200" s="7" t="s">
        <v>53</v>
      </c>
      <c r="M1200" s="7" t="s">
        <v>75</v>
      </c>
      <c r="N1200" s="7">
        <v>8350</v>
      </c>
      <c r="O1200" s="7">
        <v>4</v>
      </c>
      <c r="P1200" s="16">
        <v>0.05</v>
      </c>
      <c r="Q1200" s="7">
        <v>2210</v>
      </c>
      <c r="R1200" s="7" t="s">
        <v>46</v>
      </c>
      <c r="S1200" s="7" t="s">
        <v>33</v>
      </c>
      <c r="T1200" s="7" t="s">
        <v>34</v>
      </c>
      <c r="U1200" s="7">
        <v>3</v>
      </c>
      <c r="V1200" s="7" t="str">
        <f>TEXT('E-Commerce Sales Data'!$B1200,"mmmm")</f>
        <v>November</v>
      </c>
      <c r="W1200" s="8">
        <f t="shared" si="72"/>
        <v>5330</v>
      </c>
      <c r="X1200">
        <f t="shared" si="73"/>
        <v>2</v>
      </c>
      <c r="Y1200">
        <f t="shared" si="74"/>
        <v>9375</v>
      </c>
      <c r="Z1200">
        <f t="shared" si="75"/>
        <v>47</v>
      </c>
    </row>
    <row r="1201" spans="1:26" x14ac:dyDescent="0.25">
      <c r="A1201" s="12" t="s">
        <v>1803</v>
      </c>
      <c r="B1201" s="13">
        <v>54025</v>
      </c>
      <c r="C1201" s="1" t="s">
        <v>1804</v>
      </c>
      <c r="D1201" s="1" t="s">
        <v>37</v>
      </c>
      <c r="E1201" s="1">
        <v>30</v>
      </c>
      <c r="F1201" s="1" t="s">
        <v>38</v>
      </c>
      <c r="G1201" s="1" t="s">
        <v>25</v>
      </c>
      <c r="H1201" s="1" t="s">
        <v>26</v>
      </c>
      <c r="I1201" s="1" t="s">
        <v>27</v>
      </c>
      <c r="J1201" s="1" t="s">
        <v>28</v>
      </c>
      <c r="K1201" s="1" t="s">
        <v>29</v>
      </c>
      <c r="L1201" s="1" t="s">
        <v>53</v>
      </c>
      <c r="M1201" s="1" t="s">
        <v>79</v>
      </c>
      <c r="N1201" s="1">
        <v>10400</v>
      </c>
      <c r="O1201" s="1">
        <v>7</v>
      </c>
      <c r="P1201" s="18">
        <v>0</v>
      </c>
      <c r="Q1201" s="1">
        <v>3120</v>
      </c>
      <c r="R1201" s="1" t="s">
        <v>32</v>
      </c>
      <c r="S1201" s="1" t="s">
        <v>33</v>
      </c>
      <c r="T1201" s="1" t="s">
        <v>34</v>
      </c>
      <c r="U1201" s="1">
        <v>4</v>
      </c>
      <c r="V1201" s="1" t="str">
        <f>TEXT('E-Commerce Sales Data'!$B1201,"mmmm")</f>
        <v>November</v>
      </c>
      <c r="W1201" s="8">
        <f t="shared" si="72"/>
        <v>3120</v>
      </c>
      <c r="X1201">
        <f t="shared" si="73"/>
        <v>1</v>
      </c>
      <c r="Y1201">
        <f t="shared" si="74"/>
        <v>10400</v>
      </c>
      <c r="Z1201">
        <f t="shared" si="75"/>
        <v>30</v>
      </c>
    </row>
  </sheetData>
  <conditionalFormatting sqref="E1:E1048576">
    <cfRule type="cellIs" dxfId="0" priority="1" operator="greaterThan">
      <formula>30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1717-8960-4292-80A8-A4A41D98B9DE}">
  <dimension ref="B2:P38"/>
  <sheetViews>
    <sheetView workbookViewId="0">
      <selection activeCell="C16" sqref="C16"/>
    </sheetView>
  </sheetViews>
  <sheetFormatPr defaultRowHeight="15" x14ac:dyDescent="0.25"/>
  <cols>
    <col min="2" max="2" width="15.85546875" bestFit="1" customWidth="1"/>
    <col min="3" max="3" width="12.5703125" bestFit="1" customWidth="1"/>
    <col min="5" max="5" width="13.42578125" bestFit="1" customWidth="1"/>
    <col min="6" max="6" width="12.5703125" bestFit="1" customWidth="1"/>
    <col min="8" max="8" width="11.28515625" bestFit="1" customWidth="1"/>
    <col min="9" max="9" width="25.85546875" bestFit="1" customWidth="1"/>
    <col min="10" max="10" width="23.42578125" bestFit="1" customWidth="1"/>
    <col min="11" max="11" width="16.28515625" bestFit="1" customWidth="1"/>
    <col min="12" max="12" width="15.5703125" bestFit="1" customWidth="1"/>
    <col min="14" max="14" width="11.28515625" bestFit="1" customWidth="1"/>
    <col min="15" max="15" width="23.7109375" bestFit="1" customWidth="1"/>
  </cols>
  <sheetData>
    <row r="2" spans="2:16" x14ac:dyDescent="0.25">
      <c r="B2" s="45" t="s">
        <v>1814</v>
      </c>
      <c r="C2" s="36"/>
      <c r="E2" s="46" t="s">
        <v>1815</v>
      </c>
      <c r="F2" s="36"/>
    </row>
    <row r="3" spans="2:16" x14ac:dyDescent="0.25">
      <c r="B3" s="36"/>
      <c r="C3" s="36"/>
      <c r="E3" s="36"/>
      <c r="F3" s="36"/>
      <c r="H3" s="47" t="s">
        <v>1847</v>
      </c>
      <c r="I3" s="36"/>
    </row>
    <row r="4" spans="2:16" x14ac:dyDescent="0.25">
      <c r="B4" s="21" t="s">
        <v>1813</v>
      </c>
      <c r="C4" t="s">
        <v>1812</v>
      </c>
      <c r="E4" s="21" t="s">
        <v>10</v>
      </c>
      <c r="F4" t="s">
        <v>1812</v>
      </c>
      <c r="H4" s="36"/>
      <c r="I4" s="36"/>
      <c r="K4" s="48" t="s">
        <v>1842</v>
      </c>
      <c r="L4" s="48"/>
    </row>
    <row r="5" spans="2:16" x14ac:dyDescent="0.25">
      <c r="B5" s="22" t="s">
        <v>1140</v>
      </c>
      <c r="C5">
        <v>47110</v>
      </c>
      <c r="E5" s="22" t="s">
        <v>29</v>
      </c>
      <c r="F5">
        <v>18359490</v>
      </c>
      <c r="H5" s="21" t="s">
        <v>1846</v>
      </c>
      <c r="I5" t="s">
        <v>1845</v>
      </c>
      <c r="K5" s="48"/>
      <c r="L5" s="48"/>
    </row>
    <row r="6" spans="2:16" x14ac:dyDescent="0.25">
      <c r="B6" s="22" t="s">
        <v>1059</v>
      </c>
      <c r="C6">
        <v>1240</v>
      </c>
      <c r="E6" s="22" t="s">
        <v>43</v>
      </c>
      <c r="F6">
        <v>9326900</v>
      </c>
      <c r="H6" s="22">
        <v>23</v>
      </c>
      <c r="I6">
        <v>383</v>
      </c>
      <c r="K6" s="21" t="s">
        <v>1810</v>
      </c>
      <c r="L6" t="s">
        <v>1841</v>
      </c>
    </row>
    <row r="7" spans="2:16" x14ac:dyDescent="0.25">
      <c r="B7" s="22" t="s">
        <v>957</v>
      </c>
      <c r="C7">
        <v>72700</v>
      </c>
      <c r="E7" s="22" t="s">
        <v>60</v>
      </c>
      <c r="F7">
        <v>1251430</v>
      </c>
      <c r="H7" s="22">
        <v>24</v>
      </c>
      <c r="I7">
        <v>32261</v>
      </c>
      <c r="K7" s="22" t="s">
        <v>106</v>
      </c>
      <c r="L7">
        <v>59</v>
      </c>
    </row>
    <row r="8" spans="2:16" x14ac:dyDescent="0.25">
      <c r="B8" s="22" t="s">
        <v>51</v>
      </c>
      <c r="C8">
        <v>2444730</v>
      </c>
      <c r="E8" s="22" t="s">
        <v>1811</v>
      </c>
      <c r="F8">
        <v>28937820</v>
      </c>
      <c r="H8" s="22">
        <v>25</v>
      </c>
      <c r="I8">
        <v>36578</v>
      </c>
      <c r="K8" s="22" t="s">
        <v>111</v>
      </c>
      <c r="L8">
        <v>876</v>
      </c>
    </row>
    <row r="9" spans="2:16" x14ac:dyDescent="0.25">
      <c r="B9" s="22" t="s">
        <v>953</v>
      </c>
      <c r="C9">
        <v>305050</v>
      </c>
      <c r="H9" s="22">
        <v>26</v>
      </c>
      <c r="I9">
        <v>37681</v>
      </c>
      <c r="K9" s="22" t="s">
        <v>93</v>
      </c>
      <c r="L9">
        <v>61</v>
      </c>
      <c r="N9" s="44" t="s">
        <v>1844</v>
      </c>
      <c r="O9" s="36"/>
    </row>
    <row r="10" spans="2:16" x14ac:dyDescent="0.25">
      <c r="B10" s="22" t="s">
        <v>67</v>
      </c>
      <c r="C10">
        <v>1509420</v>
      </c>
      <c r="H10" s="22">
        <v>27</v>
      </c>
      <c r="I10">
        <v>35761</v>
      </c>
      <c r="K10" s="22" t="s">
        <v>75</v>
      </c>
      <c r="L10">
        <v>419</v>
      </c>
      <c r="N10" s="36"/>
      <c r="O10" s="36"/>
    </row>
    <row r="11" spans="2:16" x14ac:dyDescent="0.25">
      <c r="B11" s="22" t="s">
        <v>1088</v>
      </c>
      <c r="C11">
        <v>129200</v>
      </c>
      <c r="H11" s="22">
        <v>28</v>
      </c>
      <c r="I11">
        <v>38791</v>
      </c>
      <c r="K11" s="22" t="s">
        <v>31</v>
      </c>
      <c r="L11">
        <v>120</v>
      </c>
      <c r="N11" s="21" t="s">
        <v>5</v>
      </c>
      <c r="O11" s="14" t="s">
        <v>1843</v>
      </c>
      <c r="P11" s="23"/>
    </row>
    <row r="12" spans="2:16" x14ac:dyDescent="0.25">
      <c r="B12" s="22" t="s">
        <v>40</v>
      </c>
      <c r="C12">
        <v>2067030</v>
      </c>
      <c r="E12" s="45" t="s">
        <v>1839</v>
      </c>
      <c r="F12" s="36"/>
      <c r="H12" s="22">
        <v>30</v>
      </c>
      <c r="I12">
        <v>35489</v>
      </c>
      <c r="K12" s="22" t="s">
        <v>54</v>
      </c>
      <c r="L12">
        <v>240</v>
      </c>
      <c r="N12" s="22" t="s">
        <v>38</v>
      </c>
      <c r="O12" s="24">
        <v>2642</v>
      </c>
    </row>
    <row r="13" spans="2:16" x14ac:dyDescent="0.25">
      <c r="B13" s="22" t="s">
        <v>1010</v>
      </c>
      <c r="C13">
        <v>2030730</v>
      </c>
      <c r="E13" s="36"/>
      <c r="F13" s="36"/>
      <c r="H13" s="22">
        <v>31</v>
      </c>
      <c r="I13">
        <v>37318</v>
      </c>
      <c r="K13" s="22" t="s">
        <v>79</v>
      </c>
      <c r="L13">
        <v>765</v>
      </c>
      <c r="N13" s="22" t="s">
        <v>24</v>
      </c>
      <c r="O13" s="24">
        <v>2457</v>
      </c>
    </row>
    <row r="14" spans="2:16" x14ac:dyDescent="0.25">
      <c r="B14" s="22" t="s">
        <v>965</v>
      </c>
      <c r="C14">
        <v>330070</v>
      </c>
      <c r="E14" s="21" t="s">
        <v>1810</v>
      </c>
      <c r="F14" t="s">
        <v>1812</v>
      </c>
      <c r="H14" s="22">
        <v>32</v>
      </c>
      <c r="I14">
        <v>33548</v>
      </c>
      <c r="K14" s="22" t="s">
        <v>86</v>
      </c>
      <c r="L14">
        <v>1189</v>
      </c>
      <c r="N14" s="22" t="s">
        <v>1811</v>
      </c>
      <c r="O14" s="24">
        <v>5099</v>
      </c>
    </row>
    <row r="15" spans="2:16" x14ac:dyDescent="0.25">
      <c r="B15" s="22" t="s">
        <v>26</v>
      </c>
      <c r="C15">
        <v>16926155</v>
      </c>
      <c r="E15" s="22" t="s">
        <v>1816</v>
      </c>
      <c r="F15">
        <v>787750</v>
      </c>
      <c r="H15" s="22">
        <v>33</v>
      </c>
      <c r="I15">
        <v>34253</v>
      </c>
      <c r="K15" s="22" t="s">
        <v>45</v>
      </c>
      <c r="L15">
        <v>415</v>
      </c>
    </row>
    <row r="16" spans="2:16" x14ac:dyDescent="0.25">
      <c r="B16" s="22" t="s">
        <v>1130</v>
      </c>
      <c r="C16">
        <v>11300</v>
      </c>
      <c r="E16" s="22" t="s">
        <v>1817</v>
      </c>
      <c r="F16">
        <v>702580</v>
      </c>
      <c r="H16" s="22">
        <v>34</v>
      </c>
      <c r="I16">
        <v>36856</v>
      </c>
      <c r="K16" s="22" t="s">
        <v>69</v>
      </c>
      <c r="L16">
        <v>240</v>
      </c>
    </row>
    <row r="17" spans="2:12" x14ac:dyDescent="0.25">
      <c r="B17" s="22" t="s">
        <v>1045</v>
      </c>
      <c r="C17">
        <v>62200</v>
      </c>
      <c r="E17" s="22" t="s">
        <v>1818</v>
      </c>
      <c r="F17">
        <v>803925</v>
      </c>
      <c r="H17" s="22">
        <v>35</v>
      </c>
      <c r="I17">
        <v>34027</v>
      </c>
      <c r="K17" s="22" t="s">
        <v>103</v>
      </c>
      <c r="L17">
        <v>1450</v>
      </c>
    </row>
    <row r="18" spans="2:12" x14ac:dyDescent="0.25">
      <c r="B18" s="22" t="s">
        <v>85</v>
      </c>
      <c r="C18">
        <v>746370</v>
      </c>
      <c r="E18" s="22" t="s">
        <v>1819</v>
      </c>
      <c r="F18">
        <v>776685</v>
      </c>
      <c r="H18" s="22">
        <v>36</v>
      </c>
      <c r="I18">
        <v>33891</v>
      </c>
      <c r="K18" s="22" t="s">
        <v>97</v>
      </c>
      <c r="L18">
        <v>122</v>
      </c>
    </row>
    <row r="19" spans="2:12" x14ac:dyDescent="0.25">
      <c r="B19" s="22" t="s">
        <v>102</v>
      </c>
      <c r="C19">
        <v>395865</v>
      </c>
      <c r="E19" s="22" t="s">
        <v>1820</v>
      </c>
      <c r="F19">
        <v>823260</v>
      </c>
      <c r="H19" s="22">
        <v>37</v>
      </c>
      <c r="I19">
        <v>35616</v>
      </c>
      <c r="K19" s="22" t="s">
        <v>62</v>
      </c>
      <c r="L19">
        <v>1194</v>
      </c>
    </row>
    <row r="20" spans="2:12" x14ac:dyDescent="0.25">
      <c r="B20" s="22" t="s">
        <v>74</v>
      </c>
      <c r="C20">
        <v>1005470</v>
      </c>
      <c r="E20" s="22" t="s">
        <v>1821</v>
      </c>
      <c r="F20">
        <v>876360</v>
      </c>
      <c r="H20" s="22">
        <v>38</v>
      </c>
      <c r="I20">
        <v>2406</v>
      </c>
      <c r="K20" s="22" t="s">
        <v>1811</v>
      </c>
      <c r="L20">
        <v>7150</v>
      </c>
    </row>
    <row r="21" spans="2:12" x14ac:dyDescent="0.25">
      <c r="B21" s="22" t="s">
        <v>982</v>
      </c>
      <c r="C21">
        <v>71730</v>
      </c>
      <c r="E21" s="22" t="s">
        <v>1822</v>
      </c>
      <c r="F21">
        <v>924840</v>
      </c>
      <c r="H21" s="22">
        <v>39</v>
      </c>
      <c r="I21">
        <v>36274</v>
      </c>
    </row>
    <row r="22" spans="2:12" x14ac:dyDescent="0.25">
      <c r="B22" s="22" t="s">
        <v>971</v>
      </c>
      <c r="C22">
        <v>13100</v>
      </c>
      <c r="E22" s="22" t="s">
        <v>1823</v>
      </c>
      <c r="F22">
        <v>1085910</v>
      </c>
      <c r="H22" s="22">
        <v>40</v>
      </c>
      <c r="I22">
        <v>33511</v>
      </c>
    </row>
    <row r="23" spans="2:12" x14ac:dyDescent="0.25">
      <c r="B23" s="22" t="s">
        <v>90</v>
      </c>
      <c r="C23">
        <v>768350</v>
      </c>
      <c r="E23" s="22" t="s">
        <v>1824</v>
      </c>
      <c r="F23">
        <v>1059550</v>
      </c>
      <c r="H23" s="22">
        <v>41</v>
      </c>
      <c r="I23">
        <v>35930</v>
      </c>
    </row>
    <row r="24" spans="2:12" x14ac:dyDescent="0.25">
      <c r="B24" s="22" t="s">
        <v>1811</v>
      </c>
      <c r="C24">
        <v>28937820</v>
      </c>
      <c r="E24" s="22" t="s">
        <v>1825</v>
      </c>
      <c r="F24">
        <v>1130690</v>
      </c>
      <c r="H24" s="22">
        <v>42</v>
      </c>
      <c r="I24">
        <v>33180</v>
      </c>
    </row>
    <row r="25" spans="2:12" x14ac:dyDescent="0.25">
      <c r="E25" s="22" t="s">
        <v>1826</v>
      </c>
      <c r="F25">
        <v>1198660</v>
      </c>
      <c r="H25" s="22">
        <v>43</v>
      </c>
      <c r="I25">
        <v>33357</v>
      </c>
    </row>
    <row r="26" spans="2:12" x14ac:dyDescent="0.25">
      <c r="E26" s="22" t="s">
        <v>1827</v>
      </c>
      <c r="F26">
        <v>1217590</v>
      </c>
      <c r="H26" s="22">
        <v>44</v>
      </c>
      <c r="I26">
        <v>2295</v>
      </c>
    </row>
    <row r="27" spans="2:12" x14ac:dyDescent="0.25">
      <c r="E27" s="22" t="s">
        <v>1828</v>
      </c>
      <c r="F27">
        <v>1381160</v>
      </c>
      <c r="H27" s="22">
        <v>45</v>
      </c>
      <c r="I27">
        <v>35334</v>
      </c>
    </row>
    <row r="28" spans="2:12" x14ac:dyDescent="0.25">
      <c r="E28" s="22" t="s">
        <v>1829</v>
      </c>
      <c r="F28">
        <v>1378360</v>
      </c>
      <c r="H28" s="22">
        <v>46</v>
      </c>
      <c r="I28">
        <v>1573</v>
      </c>
    </row>
    <row r="29" spans="2:12" x14ac:dyDescent="0.25">
      <c r="E29" s="22" t="s">
        <v>1830</v>
      </c>
      <c r="F29">
        <v>1425840</v>
      </c>
      <c r="H29" s="22">
        <v>47</v>
      </c>
      <c r="I29">
        <v>1349</v>
      </c>
    </row>
    <row r="30" spans="2:12" x14ac:dyDescent="0.25">
      <c r="E30" s="22" t="s">
        <v>1831</v>
      </c>
      <c r="F30">
        <v>1504000</v>
      </c>
      <c r="H30" s="22">
        <v>48</v>
      </c>
      <c r="I30">
        <v>1292</v>
      </c>
    </row>
    <row r="31" spans="2:12" x14ac:dyDescent="0.25">
      <c r="E31" s="22" t="s">
        <v>1832</v>
      </c>
      <c r="F31">
        <v>1518610</v>
      </c>
      <c r="H31" s="22">
        <v>49</v>
      </c>
      <c r="I31">
        <v>630</v>
      </c>
    </row>
    <row r="32" spans="2:12" x14ac:dyDescent="0.25">
      <c r="E32" s="22" t="s">
        <v>1833</v>
      </c>
      <c r="F32">
        <v>1756390</v>
      </c>
      <c r="H32" s="22">
        <v>50</v>
      </c>
      <c r="I32">
        <v>478</v>
      </c>
    </row>
    <row r="33" spans="5:9" x14ac:dyDescent="0.25">
      <c r="E33" s="22" t="s">
        <v>1834</v>
      </c>
      <c r="F33">
        <v>1676130</v>
      </c>
      <c r="H33" s="22">
        <v>51</v>
      </c>
      <c r="I33">
        <v>476</v>
      </c>
    </row>
    <row r="34" spans="5:9" x14ac:dyDescent="0.25">
      <c r="E34" s="22" t="s">
        <v>1835</v>
      </c>
      <c r="F34">
        <v>1582110</v>
      </c>
      <c r="H34" s="22">
        <v>52</v>
      </c>
      <c r="I34">
        <v>250</v>
      </c>
    </row>
    <row r="35" spans="5:9" x14ac:dyDescent="0.25">
      <c r="E35" s="22" t="s">
        <v>1836</v>
      </c>
      <c r="F35">
        <v>1691950</v>
      </c>
      <c r="H35" s="22">
        <v>53</v>
      </c>
      <c r="I35">
        <v>206</v>
      </c>
    </row>
    <row r="36" spans="5:9" x14ac:dyDescent="0.25">
      <c r="E36" s="22" t="s">
        <v>1837</v>
      </c>
      <c r="F36">
        <v>1817350</v>
      </c>
      <c r="H36" s="22">
        <v>54</v>
      </c>
      <c r="I36">
        <v>212</v>
      </c>
    </row>
    <row r="37" spans="5:9" x14ac:dyDescent="0.25">
      <c r="E37" s="22" t="s">
        <v>1838</v>
      </c>
      <c r="F37">
        <v>1818120</v>
      </c>
      <c r="H37" s="22">
        <v>55</v>
      </c>
      <c r="I37">
        <v>222</v>
      </c>
    </row>
    <row r="38" spans="5:9" x14ac:dyDescent="0.25">
      <c r="E38" s="22" t="s">
        <v>1811</v>
      </c>
      <c r="F38">
        <v>28937820</v>
      </c>
      <c r="H38" s="22" t="s">
        <v>1811</v>
      </c>
      <c r="I38">
        <v>681428</v>
      </c>
    </row>
  </sheetData>
  <mergeCells count="6">
    <mergeCell ref="N9:O10"/>
    <mergeCell ref="B2:C3"/>
    <mergeCell ref="E2:F3"/>
    <mergeCell ref="E12:F13"/>
    <mergeCell ref="H3:I4"/>
    <mergeCell ref="K4:L5"/>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0CC6-1D39-4598-9589-969DC282D8F4}">
  <dimension ref="B5:AO63"/>
  <sheetViews>
    <sheetView topLeftCell="Y27" workbookViewId="0">
      <selection activeCell="AK38" sqref="AK38"/>
    </sheetView>
  </sheetViews>
  <sheetFormatPr defaultRowHeight="15" x14ac:dyDescent="0.25"/>
  <cols>
    <col min="2" max="2" width="13.42578125" bestFit="1" customWidth="1"/>
    <col min="3" max="3" width="12.5703125" bestFit="1" customWidth="1"/>
    <col min="14" max="14" width="20" bestFit="1" customWidth="1"/>
    <col min="15" max="15" width="12.5703125" bestFit="1" customWidth="1"/>
    <col min="21" max="21" width="15.85546875" bestFit="1" customWidth="1"/>
    <col min="22" max="22" width="12.5703125" bestFit="1" customWidth="1"/>
    <col min="27" max="27" width="16.28515625" bestFit="1" customWidth="1"/>
    <col min="28" max="28" width="16.140625" bestFit="1" customWidth="1"/>
  </cols>
  <sheetData>
    <row r="5" spans="2:28" x14ac:dyDescent="0.25">
      <c r="B5" s="21" t="s">
        <v>1810</v>
      </c>
      <c r="C5" t="s">
        <v>1812</v>
      </c>
    </row>
    <row r="6" spans="2:28" x14ac:dyDescent="0.25">
      <c r="B6" s="22" t="s">
        <v>38</v>
      </c>
      <c r="C6">
        <v>9984355</v>
      </c>
      <c r="N6" s="21" t="s">
        <v>1810</v>
      </c>
      <c r="O6" t="s">
        <v>1812</v>
      </c>
    </row>
    <row r="7" spans="2:28" x14ac:dyDescent="0.25">
      <c r="B7" s="22" t="s">
        <v>24</v>
      </c>
      <c r="C7">
        <v>18953465</v>
      </c>
      <c r="N7" s="22" t="s">
        <v>1091</v>
      </c>
      <c r="O7">
        <v>2340</v>
      </c>
    </row>
    <row r="8" spans="2:28" x14ac:dyDescent="0.25">
      <c r="B8" s="22" t="s">
        <v>1811</v>
      </c>
      <c r="C8">
        <v>28937820</v>
      </c>
      <c r="N8" s="22" t="s">
        <v>66</v>
      </c>
      <c r="O8">
        <v>1215470</v>
      </c>
    </row>
    <row r="9" spans="2:28" x14ac:dyDescent="0.25">
      <c r="N9" s="22" t="s">
        <v>1453</v>
      </c>
      <c r="O9">
        <v>27500</v>
      </c>
    </row>
    <row r="10" spans="2:28" x14ac:dyDescent="0.25">
      <c r="N10" s="22" t="s">
        <v>1125</v>
      </c>
      <c r="O10">
        <v>64800</v>
      </c>
    </row>
    <row r="11" spans="2:28" x14ac:dyDescent="0.25">
      <c r="N11" s="22" t="s">
        <v>1350</v>
      </c>
      <c r="O11">
        <v>91500</v>
      </c>
      <c r="AA11" s="21" t="s">
        <v>1810</v>
      </c>
      <c r="AB11" t="s">
        <v>1840</v>
      </c>
    </row>
    <row r="12" spans="2:28" x14ac:dyDescent="0.25">
      <c r="N12" s="22" t="s">
        <v>1069</v>
      </c>
      <c r="O12">
        <v>54200</v>
      </c>
      <c r="AA12" s="22" t="s">
        <v>106</v>
      </c>
      <c r="AB12">
        <v>59</v>
      </c>
    </row>
    <row r="13" spans="2:28" x14ac:dyDescent="0.25">
      <c r="N13" s="22" t="s">
        <v>1044</v>
      </c>
      <c r="O13">
        <v>35000</v>
      </c>
      <c r="AA13" s="22" t="s">
        <v>111</v>
      </c>
      <c r="AB13">
        <v>59</v>
      </c>
    </row>
    <row r="14" spans="2:28" x14ac:dyDescent="0.25">
      <c r="N14" s="22" t="s">
        <v>932</v>
      </c>
      <c r="O14">
        <v>288010</v>
      </c>
      <c r="AA14" s="22" t="s">
        <v>93</v>
      </c>
      <c r="AB14">
        <v>61</v>
      </c>
    </row>
    <row r="15" spans="2:28" x14ac:dyDescent="0.25">
      <c r="N15" s="22" t="s">
        <v>39</v>
      </c>
      <c r="O15">
        <v>1866480</v>
      </c>
      <c r="AA15" s="22" t="s">
        <v>75</v>
      </c>
      <c r="AB15">
        <v>120</v>
      </c>
    </row>
    <row r="16" spans="2:28" x14ac:dyDescent="0.25">
      <c r="N16" s="22" t="s">
        <v>1020</v>
      </c>
      <c r="O16">
        <v>243450</v>
      </c>
      <c r="AA16" s="22" t="s">
        <v>31</v>
      </c>
      <c r="AB16">
        <v>120</v>
      </c>
    </row>
    <row r="17" spans="14:41" x14ac:dyDescent="0.25">
      <c r="N17" s="22" t="s">
        <v>1129</v>
      </c>
      <c r="O17">
        <v>11300</v>
      </c>
      <c r="AA17" s="22" t="s">
        <v>54</v>
      </c>
      <c r="AB17">
        <v>120</v>
      </c>
    </row>
    <row r="18" spans="14:41" x14ac:dyDescent="0.25">
      <c r="N18" s="22" t="s">
        <v>957</v>
      </c>
      <c r="O18">
        <v>72700</v>
      </c>
      <c r="AA18" s="22" t="s">
        <v>79</v>
      </c>
      <c r="AB18">
        <v>120</v>
      </c>
    </row>
    <row r="19" spans="14:41" x14ac:dyDescent="0.25">
      <c r="N19" s="22" t="s">
        <v>101</v>
      </c>
      <c r="O19">
        <v>351505</v>
      </c>
      <c r="AA19" s="22" t="s">
        <v>86</v>
      </c>
      <c r="AB19">
        <v>61</v>
      </c>
    </row>
    <row r="20" spans="14:41" x14ac:dyDescent="0.25">
      <c r="N20" s="22" t="s">
        <v>1016</v>
      </c>
      <c r="O20">
        <v>44360</v>
      </c>
      <c r="AA20" s="22" t="s">
        <v>45</v>
      </c>
      <c r="AB20">
        <v>120</v>
      </c>
      <c r="AO20">
        <f>(GETPIVOTDATA("Gender",$AA$11,"Product","File Folder"))</f>
        <v>59</v>
      </c>
    </row>
    <row r="21" spans="14:41" x14ac:dyDescent="0.25">
      <c r="N21" s="22" t="s">
        <v>970</v>
      </c>
      <c r="O21">
        <v>13100</v>
      </c>
      <c r="AA21" s="22" t="s">
        <v>69</v>
      </c>
      <c r="AB21">
        <v>120</v>
      </c>
    </row>
    <row r="22" spans="14:41" x14ac:dyDescent="0.25">
      <c r="N22" s="22" t="s">
        <v>51</v>
      </c>
      <c r="O22">
        <v>2444730</v>
      </c>
      <c r="AA22" s="22" t="s">
        <v>103</v>
      </c>
      <c r="AB22">
        <v>59</v>
      </c>
    </row>
    <row r="23" spans="14:41" x14ac:dyDescent="0.25">
      <c r="N23" s="22" t="s">
        <v>953</v>
      </c>
      <c r="O23">
        <v>264450</v>
      </c>
      <c r="AA23" s="22" t="s">
        <v>97</v>
      </c>
      <c r="AB23">
        <v>61</v>
      </c>
    </row>
    <row r="24" spans="14:41" x14ac:dyDescent="0.25">
      <c r="N24" s="22" t="s">
        <v>1087</v>
      </c>
      <c r="O24">
        <v>129200</v>
      </c>
      <c r="AA24" s="22" t="s">
        <v>62</v>
      </c>
      <c r="AB24">
        <v>120</v>
      </c>
    </row>
    <row r="25" spans="14:41" x14ac:dyDescent="0.25">
      <c r="N25" s="22" t="s">
        <v>73</v>
      </c>
      <c r="O25">
        <v>881970</v>
      </c>
      <c r="AA25" s="22" t="s">
        <v>1811</v>
      </c>
      <c r="AB25">
        <v>1200</v>
      </c>
    </row>
    <row r="26" spans="14:41" x14ac:dyDescent="0.25">
      <c r="N26" s="22" t="s">
        <v>964</v>
      </c>
      <c r="O26">
        <v>86620</v>
      </c>
    </row>
    <row r="27" spans="14:41" x14ac:dyDescent="0.25">
      <c r="N27" s="22" t="s">
        <v>84</v>
      </c>
      <c r="O27">
        <v>657570</v>
      </c>
    </row>
    <row r="28" spans="14:41" x14ac:dyDescent="0.25">
      <c r="N28" s="22" t="s">
        <v>1085</v>
      </c>
      <c r="O28">
        <v>88800</v>
      </c>
    </row>
    <row r="29" spans="14:41" x14ac:dyDescent="0.25">
      <c r="N29" s="22" t="s">
        <v>999</v>
      </c>
      <c r="O29">
        <v>6700</v>
      </c>
    </row>
    <row r="30" spans="14:41" x14ac:dyDescent="0.25">
      <c r="N30" s="22" t="s">
        <v>1009</v>
      </c>
      <c r="O30">
        <v>1216520</v>
      </c>
    </row>
    <row r="31" spans="14:41" x14ac:dyDescent="0.25">
      <c r="N31" s="22" t="s">
        <v>928</v>
      </c>
      <c r="O31">
        <v>342390</v>
      </c>
    </row>
    <row r="32" spans="14:41" x14ac:dyDescent="0.25">
      <c r="N32" s="22" t="s">
        <v>89</v>
      </c>
      <c r="O32">
        <v>768350</v>
      </c>
      <c r="U32" s="21" t="s">
        <v>1858</v>
      </c>
      <c r="V32" t="s">
        <v>1812</v>
      </c>
    </row>
    <row r="33" spans="14:22" x14ac:dyDescent="0.25">
      <c r="N33" s="22" t="s">
        <v>1368</v>
      </c>
      <c r="O33">
        <v>142150</v>
      </c>
      <c r="U33" s="22" t="s">
        <v>1140</v>
      </c>
      <c r="V33">
        <v>47110</v>
      </c>
    </row>
    <row r="34" spans="14:22" x14ac:dyDescent="0.25">
      <c r="N34" s="22" t="s">
        <v>1333</v>
      </c>
      <c r="O34">
        <v>189090</v>
      </c>
      <c r="U34" s="22" t="s">
        <v>1059</v>
      </c>
      <c r="V34">
        <v>1240</v>
      </c>
    </row>
    <row r="35" spans="14:22" x14ac:dyDescent="0.25">
      <c r="N35" s="22" t="s">
        <v>1328</v>
      </c>
      <c r="O35">
        <v>109500</v>
      </c>
      <c r="U35" s="22" t="s">
        <v>957</v>
      </c>
      <c r="V35">
        <v>72700</v>
      </c>
    </row>
    <row r="36" spans="14:22" x14ac:dyDescent="0.25">
      <c r="N36" s="22" t="s">
        <v>981</v>
      </c>
      <c r="O36">
        <v>54350</v>
      </c>
      <c r="U36" s="22" t="s">
        <v>51</v>
      </c>
      <c r="V36">
        <v>2444730</v>
      </c>
    </row>
    <row r="37" spans="14:22" x14ac:dyDescent="0.25">
      <c r="N37" s="22" t="s">
        <v>1076</v>
      </c>
      <c r="O37">
        <v>27200</v>
      </c>
      <c r="U37" s="22" t="s">
        <v>953</v>
      </c>
      <c r="V37">
        <v>305050</v>
      </c>
    </row>
    <row r="38" spans="14:22" x14ac:dyDescent="0.25">
      <c r="N38" s="22" t="s">
        <v>1054</v>
      </c>
      <c r="O38">
        <v>118000</v>
      </c>
      <c r="U38" s="22" t="s">
        <v>67</v>
      </c>
      <c r="V38">
        <v>1509420</v>
      </c>
    </row>
    <row r="39" spans="14:22" x14ac:dyDescent="0.25">
      <c r="N39" s="22" t="s">
        <v>1081</v>
      </c>
      <c r="O39">
        <v>1780</v>
      </c>
      <c r="U39" s="22" t="s">
        <v>1088</v>
      </c>
      <c r="V39">
        <v>129200</v>
      </c>
    </row>
    <row r="40" spans="14:22" x14ac:dyDescent="0.25">
      <c r="N40" s="22" t="s">
        <v>25</v>
      </c>
      <c r="O40">
        <v>7428900</v>
      </c>
      <c r="U40" s="22" t="s">
        <v>40</v>
      </c>
      <c r="V40">
        <v>2067030</v>
      </c>
    </row>
    <row r="41" spans="14:22" x14ac:dyDescent="0.25">
      <c r="N41" s="22" t="s">
        <v>1267</v>
      </c>
      <c r="O41">
        <v>27350</v>
      </c>
      <c r="U41" s="22" t="s">
        <v>1010</v>
      </c>
      <c r="V41">
        <v>2030730</v>
      </c>
    </row>
    <row r="42" spans="14:22" x14ac:dyDescent="0.25">
      <c r="N42" s="22" t="s">
        <v>78</v>
      </c>
      <c r="O42">
        <v>1123320</v>
      </c>
      <c r="U42" s="22" t="s">
        <v>965</v>
      </c>
      <c r="V42">
        <v>330070</v>
      </c>
    </row>
    <row r="43" spans="14:22" x14ac:dyDescent="0.25">
      <c r="N43" s="22" t="s">
        <v>914</v>
      </c>
      <c r="O43">
        <v>1139250</v>
      </c>
      <c r="U43" s="22" t="s">
        <v>26</v>
      </c>
      <c r="V43">
        <v>16926155</v>
      </c>
    </row>
    <row r="44" spans="14:22" x14ac:dyDescent="0.25">
      <c r="N44" s="22" t="s">
        <v>1795</v>
      </c>
      <c r="O44">
        <v>2970</v>
      </c>
      <c r="U44" s="22" t="s">
        <v>1130</v>
      </c>
      <c r="V44">
        <v>11300</v>
      </c>
    </row>
    <row r="45" spans="14:22" x14ac:dyDescent="0.25">
      <c r="N45" s="22" t="s">
        <v>1024</v>
      </c>
      <c r="O45">
        <v>4720</v>
      </c>
      <c r="U45" s="22" t="s">
        <v>1045</v>
      </c>
      <c r="V45">
        <v>62200</v>
      </c>
    </row>
    <row r="46" spans="14:22" x14ac:dyDescent="0.25">
      <c r="N46" s="22" t="s">
        <v>1028</v>
      </c>
      <c r="O46">
        <v>40600</v>
      </c>
      <c r="U46" s="22" t="s">
        <v>85</v>
      </c>
      <c r="V46">
        <v>746370</v>
      </c>
    </row>
    <row r="47" spans="14:22" x14ac:dyDescent="0.25">
      <c r="N47" s="22" t="s">
        <v>1058</v>
      </c>
      <c r="O47">
        <v>1240</v>
      </c>
      <c r="U47" s="22" t="s">
        <v>102</v>
      </c>
      <c r="V47">
        <v>395865</v>
      </c>
    </row>
    <row r="48" spans="14:22" x14ac:dyDescent="0.25">
      <c r="N48" s="22" t="s">
        <v>59</v>
      </c>
      <c r="O48">
        <v>5623825</v>
      </c>
      <c r="U48" s="22" t="s">
        <v>74</v>
      </c>
      <c r="V48">
        <v>1005470</v>
      </c>
    </row>
    <row r="49" spans="14:22" x14ac:dyDescent="0.25">
      <c r="N49" s="22" t="s">
        <v>1034</v>
      </c>
      <c r="O49">
        <v>10700</v>
      </c>
      <c r="U49" s="22" t="s">
        <v>982</v>
      </c>
      <c r="V49">
        <v>71730</v>
      </c>
    </row>
    <row r="50" spans="14:22" x14ac:dyDescent="0.25">
      <c r="N50" s="22" t="s">
        <v>1174</v>
      </c>
      <c r="O50">
        <v>102750</v>
      </c>
      <c r="U50" s="22" t="s">
        <v>971</v>
      </c>
      <c r="V50">
        <v>13100</v>
      </c>
    </row>
    <row r="51" spans="14:22" x14ac:dyDescent="0.25">
      <c r="N51" s="22" t="s">
        <v>1050</v>
      </c>
      <c r="O51">
        <v>128480</v>
      </c>
      <c r="U51" s="22" t="s">
        <v>90</v>
      </c>
      <c r="V51">
        <v>768350</v>
      </c>
    </row>
    <row r="52" spans="14:22" x14ac:dyDescent="0.25">
      <c r="N52" s="22" t="s">
        <v>1168</v>
      </c>
      <c r="O52">
        <v>211550</v>
      </c>
      <c r="U52" s="22" t="s">
        <v>1811</v>
      </c>
      <c r="V52">
        <v>28937820</v>
      </c>
    </row>
    <row r="53" spans="14:22" x14ac:dyDescent="0.25">
      <c r="N53" s="22" t="s">
        <v>960</v>
      </c>
      <c r="O53">
        <v>135850</v>
      </c>
    </row>
    <row r="54" spans="14:22" x14ac:dyDescent="0.25">
      <c r="N54" s="22" t="s">
        <v>924</v>
      </c>
      <c r="O54">
        <v>388210</v>
      </c>
    </row>
    <row r="55" spans="14:22" x14ac:dyDescent="0.25">
      <c r="N55" s="22" t="s">
        <v>1136</v>
      </c>
      <c r="O55">
        <v>97320</v>
      </c>
    </row>
    <row r="56" spans="14:22" x14ac:dyDescent="0.25">
      <c r="N56" s="22" t="s">
        <v>1347</v>
      </c>
      <c r="O56">
        <v>184650</v>
      </c>
    </row>
    <row r="57" spans="14:22" x14ac:dyDescent="0.25">
      <c r="N57" s="22" t="s">
        <v>1301</v>
      </c>
      <c r="O57">
        <v>55200</v>
      </c>
    </row>
    <row r="58" spans="14:22" x14ac:dyDescent="0.25">
      <c r="N58" s="22" t="s">
        <v>992</v>
      </c>
      <c r="O58">
        <v>147400</v>
      </c>
    </row>
    <row r="59" spans="14:22" x14ac:dyDescent="0.25">
      <c r="N59" s="22" t="s">
        <v>1196</v>
      </c>
      <c r="O59">
        <v>1840</v>
      </c>
    </row>
    <row r="60" spans="14:22" x14ac:dyDescent="0.25">
      <c r="N60" s="22" t="s">
        <v>1207</v>
      </c>
      <c r="O60">
        <v>13800</v>
      </c>
    </row>
    <row r="61" spans="14:22" x14ac:dyDescent="0.25">
      <c r="N61" s="22" t="s">
        <v>1139</v>
      </c>
      <c r="O61">
        <v>33310</v>
      </c>
    </row>
    <row r="62" spans="14:22" x14ac:dyDescent="0.25">
      <c r="N62" s="22" t="s">
        <v>1295</v>
      </c>
      <c r="O62">
        <v>123500</v>
      </c>
    </row>
    <row r="63" spans="14:22" x14ac:dyDescent="0.25">
      <c r="N63" s="22" t="s">
        <v>1811</v>
      </c>
      <c r="O63">
        <v>28937820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C07B-5CAD-4D25-9E2B-D22A2BA24B1F}">
  <dimension ref="B4:K16"/>
  <sheetViews>
    <sheetView workbookViewId="0">
      <selection activeCell="B13" sqref="B13"/>
    </sheetView>
  </sheetViews>
  <sheetFormatPr defaultRowHeight="15" x14ac:dyDescent="0.25"/>
  <cols>
    <col min="2" max="2" width="16" bestFit="1" customWidth="1"/>
    <col min="5" max="5" width="20" bestFit="1" customWidth="1"/>
    <col min="8" max="8" width="16" bestFit="1" customWidth="1"/>
    <col min="10" max="10" width="11" bestFit="1" customWidth="1"/>
    <col min="11" max="11" width="15.5703125" bestFit="1" customWidth="1"/>
  </cols>
  <sheetData>
    <row r="4" spans="2:11" x14ac:dyDescent="0.25">
      <c r="B4" t="s">
        <v>1849</v>
      </c>
      <c r="E4" t="s">
        <v>1852</v>
      </c>
    </row>
    <row r="5" spans="2:11" x14ac:dyDescent="0.25">
      <c r="B5" t="s">
        <v>1848</v>
      </c>
      <c r="E5" t="s">
        <v>1851</v>
      </c>
    </row>
    <row r="6" spans="2:11" x14ac:dyDescent="0.25">
      <c r="B6">
        <v>3504934205</v>
      </c>
      <c r="E6">
        <v>65309</v>
      </c>
    </row>
    <row r="8" spans="2:11" x14ac:dyDescent="0.25">
      <c r="J8">
        <f>(GETPIVOTDATA("Total_profit",$B$5))</f>
        <v>3504934205</v>
      </c>
    </row>
    <row r="11" spans="2:11" x14ac:dyDescent="0.25">
      <c r="B11" t="s">
        <v>1808</v>
      </c>
      <c r="E11" t="s">
        <v>1853</v>
      </c>
    </row>
    <row r="12" spans="2:11" x14ac:dyDescent="0.25">
      <c r="B12" t="s">
        <v>1850</v>
      </c>
      <c r="E12" t="s">
        <v>1843</v>
      </c>
    </row>
    <row r="13" spans="2:11" x14ac:dyDescent="0.25">
      <c r="B13" s="26">
        <v>36268467.114305072</v>
      </c>
      <c r="E13">
        <v>13</v>
      </c>
      <c r="H13" t="s">
        <v>15</v>
      </c>
    </row>
    <row r="14" spans="2:11" x14ac:dyDescent="0.25">
      <c r="H14" t="s">
        <v>1856</v>
      </c>
    </row>
    <row r="15" spans="2:11" x14ac:dyDescent="0.25">
      <c r="H15" s="19">
        <v>63.009999999999827</v>
      </c>
      <c r="K15" t="s">
        <v>1841</v>
      </c>
    </row>
    <row r="16" spans="2:11" x14ac:dyDescent="0.25">
      <c r="K16">
        <v>7150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E9036-9168-40AA-A53B-480C33E04B72}">
  <dimension ref="A1"/>
  <sheetViews>
    <sheetView workbookViewId="0">
      <selection activeCell="J8" sqref="J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EFE6-BD2B-4D19-94C1-1EF97F349068}">
  <dimension ref="A1:V48"/>
  <sheetViews>
    <sheetView showGridLines="0" zoomScale="56" zoomScaleNormal="95" workbookViewId="0">
      <selection activeCell="C10" sqref="C10:D11"/>
    </sheetView>
  </sheetViews>
  <sheetFormatPr defaultRowHeight="15" x14ac:dyDescent="0.25"/>
  <sheetData>
    <row r="1" spans="1:22" x14ac:dyDescent="0.25">
      <c r="A1" s="36" t="e" vm="1">
        <f>_xlfn.IMAGE("https://img.logo.dev/flipkart.com?token=live_6a1a28fd-6420-4492-aeb0-b297461d9de2&amp;size=128&amp;retina=true&amp;format=png",,1)</f>
        <v>#VALUE!</v>
      </c>
      <c r="B1" s="36"/>
      <c r="C1" s="37" t="s">
        <v>1857</v>
      </c>
      <c r="D1" s="38"/>
      <c r="E1" s="38"/>
      <c r="F1" s="38"/>
      <c r="G1" s="38"/>
      <c r="H1" s="38"/>
      <c r="I1" s="38"/>
      <c r="J1" s="38"/>
      <c r="K1" s="38"/>
      <c r="L1" s="38"/>
      <c r="M1" s="38"/>
      <c r="N1" s="38"/>
      <c r="O1" s="38"/>
      <c r="P1" s="38"/>
      <c r="Q1" s="38"/>
      <c r="R1" s="38"/>
      <c r="S1" s="38"/>
      <c r="T1" s="38"/>
      <c r="U1" s="38"/>
      <c r="V1" s="25"/>
    </row>
    <row r="2" spans="1:22" x14ac:dyDescent="0.25">
      <c r="A2" s="36"/>
      <c r="B2" s="36"/>
      <c r="C2" s="38"/>
      <c r="D2" s="38"/>
      <c r="E2" s="38"/>
      <c r="F2" s="38"/>
      <c r="G2" s="38"/>
      <c r="H2" s="38"/>
      <c r="I2" s="38"/>
      <c r="J2" s="38"/>
      <c r="K2" s="38"/>
      <c r="L2" s="38"/>
      <c r="M2" s="38"/>
      <c r="N2" s="38"/>
      <c r="O2" s="38"/>
      <c r="P2" s="38"/>
      <c r="Q2" s="38"/>
      <c r="R2" s="38"/>
      <c r="S2" s="38"/>
      <c r="T2" s="38"/>
      <c r="U2" s="38"/>
      <c r="V2" s="25"/>
    </row>
    <row r="3" spans="1:22" x14ac:dyDescent="0.25">
      <c r="A3" s="36"/>
      <c r="B3" s="36"/>
      <c r="C3" s="38"/>
      <c r="D3" s="38"/>
      <c r="E3" s="38"/>
      <c r="F3" s="38"/>
      <c r="G3" s="38"/>
      <c r="H3" s="38"/>
      <c r="I3" s="38"/>
      <c r="J3" s="38"/>
      <c r="K3" s="38"/>
      <c r="L3" s="38"/>
      <c r="M3" s="38"/>
      <c r="N3" s="38"/>
      <c r="O3" s="38"/>
      <c r="P3" s="38"/>
      <c r="Q3" s="38"/>
      <c r="R3" s="38"/>
      <c r="S3" s="38"/>
      <c r="T3" s="38"/>
      <c r="U3" s="38"/>
      <c r="V3" s="25"/>
    </row>
    <row r="4" spans="1:22" x14ac:dyDescent="0.25">
      <c r="A4" s="36"/>
      <c r="B4" s="36"/>
      <c r="C4" s="38"/>
      <c r="D4" s="38"/>
      <c r="E4" s="38"/>
      <c r="F4" s="38"/>
      <c r="G4" s="38"/>
      <c r="H4" s="38"/>
      <c r="I4" s="38"/>
      <c r="J4" s="38"/>
      <c r="K4" s="38"/>
      <c r="L4" s="38"/>
      <c r="M4" s="38"/>
      <c r="N4" s="38"/>
      <c r="O4" s="38"/>
      <c r="P4" s="38"/>
      <c r="Q4" s="38"/>
      <c r="R4" s="38"/>
      <c r="S4" s="38"/>
      <c r="T4" s="38"/>
      <c r="U4" s="38"/>
      <c r="V4" s="25"/>
    </row>
    <row r="5" spans="1:22" x14ac:dyDescent="0.25">
      <c r="A5" s="36"/>
      <c r="B5" s="36"/>
      <c r="C5" s="38"/>
      <c r="D5" s="38"/>
      <c r="E5" s="38"/>
      <c r="F5" s="38"/>
      <c r="G5" s="38"/>
      <c r="H5" s="38"/>
      <c r="I5" s="38"/>
      <c r="J5" s="38"/>
      <c r="K5" s="38"/>
      <c r="L5" s="38"/>
      <c r="M5" s="38"/>
      <c r="N5" s="38"/>
      <c r="O5" s="38"/>
      <c r="P5" s="38"/>
      <c r="Q5" s="38"/>
      <c r="R5" s="38"/>
      <c r="S5" s="38"/>
      <c r="T5" s="38"/>
      <c r="U5" s="38"/>
      <c r="V5" s="25"/>
    </row>
    <row r="6" spans="1:22" x14ac:dyDescent="0.25">
      <c r="A6" s="25"/>
      <c r="B6" s="25"/>
      <c r="C6" s="25"/>
      <c r="D6" s="25"/>
      <c r="E6" s="25"/>
      <c r="F6" s="25"/>
      <c r="G6" s="25"/>
      <c r="H6" s="25"/>
      <c r="I6" s="25"/>
      <c r="J6" s="25"/>
      <c r="K6" s="25"/>
      <c r="L6" s="25"/>
      <c r="M6" s="25"/>
      <c r="N6" s="25"/>
      <c r="O6" s="25"/>
      <c r="P6" s="25"/>
      <c r="Q6" s="25"/>
      <c r="R6" s="25"/>
      <c r="S6" s="25"/>
      <c r="T6" s="25"/>
      <c r="U6" s="25"/>
      <c r="V6" s="25"/>
    </row>
    <row r="7" spans="1:22" x14ac:dyDescent="0.25">
      <c r="A7" s="32" t="e" vm="2">
        <f>_xlfn.IMAGE("https://encrypted-tbn0.gstatic.com/images?q=tbn:ANd9GcQZFBiG-4d9VZopn2gwWaeW6eGgEjUDTY_4aV8yg8BDLeYEOngDoPsiuyI&amp;s=10",,1)</f>
        <v>#VALUE!</v>
      </c>
      <c r="B7" s="32"/>
      <c r="C7" s="39" t="s">
        <v>1849</v>
      </c>
      <c r="D7" s="40"/>
      <c r="E7" s="25"/>
      <c r="F7" s="32" t="e" vm="3">
        <f>_xlfn.IMAGE("https://encrypted-tbn0.gstatic.com/images?q=tbn:ANd9GcQGnseZtSpXSExIbY9diYzB34RBx1BSb9J_dn2U3_5zbA&amp;s",,1)</f>
        <v>#VALUE!</v>
      </c>
      <c r="G7" s="32"/>
      <c r="H7" s="33" t="s">
        <v>1854</v>
      </c>
      <c r="I7" s="42"/>
      <c r="J7" s="25"/>
      <c r="K7" s="32" t="e" vm="4">
        <f>_xlfn.IMAGE("https://encrypted-tbn0.gstatic.com/images?q=tbn:ANd9GcSWC4EL_f8nZaTIRLKHG8d5XSfu1qwfsHsrHnAgD7CEtKjfB2SjOy5H8bA&amp;s=10",,1)</f>
        <v>#VALUE!</v>
      </c>
      <c r="L7" s="32"/>
      <c r="M7" s="33" t="s">
        <v>1855</v>
      </c>
      <c r="N7" s="42"/>
      <c r="O7" s="25"/>
      <c r="P7" s="32" t="e" vm="5">
        <f>_xlfn.IMAGE("https://img.icons8.com/ios7/600w/40C057/discount.png",,1)</f>
        <v>#VALUE!</v>
      </c>
      <c r="Q7" s="32"/>
      <c r="R7" s="33" t="s">
        <v>15</v>
      </c>
      <c r="S7" s="34"/>
      <c r="T7" s="32"/>
      <c r="U7" s="32"/>
      <c r="V7" s="25"/>
    </row>
    <row r="8" spans="1:22" x14ac:dyDescent="0.25">
      <c r="A8" s="32"/>
      <c r="B8" s="32"/>
      <c r="C8" s="40"/>
      <c r="D8" s="40"/>
      <c r="E8" s="25"/>
      <c r="F8" s="32"/>
      <c r="G8" s="32"/>
      <c r="H8" s="42"/>
      <c r="I8" s="42"/>
      <c r="J8" s="25"/>
      <c r="K8" s="32"/>
      <c r="L8" s="32"/>
      <c r="M8" s="42"/>
      <c r="N8" s="42"/>
      <c r="O8" s="25"/>
      <c r="P8" s="32"/>
      <c r="Q8" s="32"/>
      <c r="R8" s="34"/>
      <c r="S8" s="34"/>
      <c r="T8" s="32"/>
      <c r="U8" s="32"/>
      <c r="V8" s="25"/>
    </row>
    <row r="9" spans="1:22" x14ac:dyDescent="0.25">
      <c r="A9" s="32"/>
      <c r="B9" s="32"/>
      <c r="C9" s="40"/>
      <c r="D9" s="40"/>
      <c r="E9" s="25"/>
      <c r="F9" s="32"/>
      <c r="G9" s="32"/>
      <c r="H9" s="42"/>
      <c r="I9" s="42"/>
      <c r="J9" s="25"/>
      <c r="K9" s="32"/>
      <c r="L9" s="32"/>
      <c r="M9" s="42"/>
      <c r="N9" s="42"/>
      <c r="O9" s="25"/>
      <c r="P9" s="32"/>
      <c r="Q9" s="32"/>
      <c r="R9" s="34"/>
      <c r="S9" s="34"/>
      <c r="T9" s="32"/>
      <c r="U9" s="32"/>
      <c r="V9" s="25"/>
    </row>
    <row r="10" spans="1:22" x14ac:dyDescent="0.25">
      <c r="A10" s="32"/>
      <c r="B10" s="32"/>
      <c r="C10" s="41">
        <f>(GETPIVOTDATA("Total_profit",kpi!$B$5))</f>
        <v>3504934205</v>
      </c>
      <c r="D10" s="41"/>
      <c r="E10" s="25"/>
      <c r="F10" s="32"/>
      <c r="G10" s="32"/>
      <c r="H10" s="43">
        <f>(GETPIVOTDATA("Avg_sale ",kpi!$B$12))</f>
        <v>36268467.114305072</v>
      </c>
      <c r="I10" s="43"/>
      <c r="J10" s="25"/>
      <c r="K10" s="32"/>
      <c r="L10" s="32"/>
      <c r="M10" s="31">
        <f>(GETPIVOTDATA("Customer_Rating",kpi!$E$12))</f>
        <v>13</v>
      </c>
      <c r="N10" s="31"/>
      <c r="O10" s="25"/>
      <c r="P10" s="32"/>
      <c r="Q10" s="32"/>
      <c r="R10" s="35">
        <f>(GETPIVOTDATA("Discount",kpi!$H$14))</f>
        <v>63.009999999999827</v>
      </c>
      <c r="S10" s="35"/>
      <c r="T10" s="32"/>
      <c r="U10" s="32"/>
      <c r="V10" s="25"/>
    </row>
    <row r="11" spans="1:22" x14ac:dyDescent="0.25">
      <c r="A11" s="32"/>
      <c r="B11" s="32"/>
      <c r="C11" s="41"/>
      <c r="D11" s="41"/>
      <c r="E11" s="25"/>
      <c r="F11" s="32"/>
      <c r="G11" s="32"/>
      <c r="H11" s="43"/>
      <c r="I11" s="43"/>
      <c r="J11" s="25"/>
      <c r="K11" s="32"/>
      <c r="L11" s="32"/>
      <c r="M11" s="31"/>
      <c r="N11" s="31"/>
      <c r="O11" s="25"/>
      <c r="P11" s="32"/>
      <c r="Q11" s="32"/>
      <c r="R11" s="35"/>
      <c r="S11" s="35"/>
      <c r="T11" s="32"/>
      <c r="U11" s="32"/>
      <c r="V11" s="25"/>
    </row>
    <row r="12" spans="1:22" x14ac:dyDescent="0.25">
      <c r="A12" s="25"/>
      <c r="B12" s="25"/>
      <c r="C12" s="25"/>
      <c r="D12" s="25"/>
      <c r="E12" s="25"/>
      <c r="F12" s="25"/>
      <c r="G12" s="25"/>
      <c r="H12" s="25"/>
      <c r="I12" s="25"/>
      <c r="J12" s="25"/>
      <c r="K12" s="25"/>
      <c r="L12" s="25"/>
      <c r="M12" s="25"/>
      <c r="N12" s="25"/>
      <c r="O12" s="25"/>
      <c r="P12" s="25"/>
      <c r="Q12" s="25"/>
      <c r="R12" s="25"/>
      <c r="S12" s="25"/>
      <c r="T12" s="32"/>
      <c r="U12" s="32"/>
      <c r="V12" s="25"/>
    </row>
    <row r="13" spans="1:22" x14ac:dyDescent="0.25">
      <c r="A13" s="25"/>
      <c r="B13" s="25"/>
      <c r="C13" s="25"/>
      <c r="D13" s="25"/>
      <c r="E13" s="25"/>
      <c r="F13" s="25"/>
      <c r="G13" s="25"/>
      <c r="H13" s="25"/>
      <c r="I13" s="25"/>
      <c r="J13" s="25"/>
      <c r="K13" s="25"/>
      <c r="L13" s="25"/>
      <c r="M13" s="25"/>
      <c r="N13" s="25"/>
      <c r="O13" s="25"/>
      <c r="P13" s="25"/>
      <c r="Q13" s="25"/>
      <c r="R13" s="25"/>
      <c r="S13" s="25"/>
      <c r="T13" s="32"/>
      <c r="U13" s="32"/>
      <c r="V13" s="25"/>
    </row>
    <row r="14" spans="1:22" x14ac:dyDescent="0.25">
      <c r="A14" s="25"/>
      <c r="B14" s="25"/>
      <c r="C14" s="25"/>
      <c r="D14" s="25"/>
      <c r="E14" s="25"/>
      <c r="F14" s="25"/>
      <c r="G14" s="25"/>
      <c r="H14" s="25"/>
      <c r="I14" s="25"/>
      <c r="J14" s="25"/>
      <c r="K14" s="25"/>
      <c r="L14" s="25"/>
      <c r="M14" s="25"/>
      <c r="N14" s="25"/>
      <c r="O14" s="25"/>
      <c r="P14" s="25"/>
      <c r="Q14" s="25"/>
      <c r="R14" s="25"/>
      <c r="S14" s="25"/>
      <c r="T14" s="25"/>
      <c r="U14" s="25"/>
      <c r="V14" s="25"/>
    </row>
    <row r="15" spans="1:22" x14ac:dyDescent="0.25">
      <c r="A15" s="25"/>
      <c r="B15" s="25"/>
      <c r="C15" s="25"/>
      <c r="D15" s="25"/>
      <c r="E15" s="25"/>
      <c r="F15" s="25"/>
      <c r="G15" s="25"/>
      <c r="H15" s="25"/>
      <c r="I15" s="25"/>
      <c r="J15" s="25"/>
      <c r="K15" s="25"/>
      <c r="L15" s="25"/>
      <c r="M15" s="25"/>
      <c r="N15" s="25"/>
      <c r="O15" s="25"/>
      <c r="P15" s="25"/>
      <c r="Q15" s="25"/>
      <c r="R15" s="25"/>
      <c r="S15" s="25"/>
      <c r="T15" s="25"/>
      <c r="U15" s="25"/>
      <c r="V15" s="25"/>
    </row>
    <row r="16" spans="1:22" x14ac:dyDescent="0.25">
      <c r="A16" s="25"/>
      <c r="B16" s="25"/>
      <c r="C16" s="25"/>
      <c r="D16" s="25"/>
      <c r="E16" s="25"/>
      <c r="F16" s="25"/>
      <c r="G16" s="25"/>
      <c r="H16" s="25"/>
      <c r="I16" s="25"/>
      <c r="J16" s="25"/>
      <c r="K16" s="25"/>
      <c r="L16" s="25"/>
      <c r="M16" s="25"/>
      <c r="N16" s="25"/>
      <c r="O16" s="25"/>
      <c r="P16" s="25"/>
      <c r="Q16" s="25"/>
      <c r="R16" s="25"/>
      <c r="S16" s="25"/>
      <c r="T16" s="25"/>
      <c r="U16" s="25"/>
      <c r="V16" s="25"/>
    </row>
    <row r="17" spans="1:22" x14ac:dyDescent="0.25">
      <c r="A17" s="25"/>
      <c r="B17" s="25"/>
      <c r="C17" s="25"/>
      <c r="D17" s="25"/>
      <c r="E17" s="25"/>
      <c r="F17" s="25"/>
      <c r="G17" s="25"/>
      <c r="H17" s="25"/>
      <c r="I17" s="25"/>
      <c r="J17" s="25"/>
      <c r="K17" s="25"/>
      <c r="L17" s="25"/>
      <c r="M17" s="25"/>
      <c r="N17" s="25"/>
      <c r="O17" s="25"/>
      <c r="P17" s="25"/>
      <c r="Q17" s="25"/>
      <c r="R17" s="25"/>
      <c r="S17" s="25"/>
      <c r="T17" s="25"/>
      <c r="U17" s="25"/>
      <c r="V17" s="25"/>
    </row>
    <row r="18" spans="1:22" x14ac:dyDescent="0.25">
      <c r="A18" s="25"/>
      <c r="B18" s="25"/>
      <c r="C18" s="25"/>
      <c r="D18" s="25"/>
      <c r="E18" s="25"/>
      <c r="F18" s="25"/>
      <c r="G18" s="25"/>
      <c r="H18" s="25"/>
      <c r="I18" s="25"/>
      <c r="J18" s="25"/>
      <c r="K18" s="25"/>
      <c r="L18" s="25"/>
      <c r="M18" s="25"/>
      <c r="N18" s="25"/>
      <c r="O18" s="25"/>
      <c r="P18" s="25"/>
      <c r="Q18" s="25"/>
      <c r="R18" s="25"/>
      <c r="S18" s="25"/>
      <c r="T18" s="25"/>
      <c r="U18" s="25"/>
      <c r="V18" s="25"/>
    </row>
    <row r="19" spans="1:22" x14ac:dyDescent="0.25">
      <c r="A19" s="25"/>
      <c r="B19" s="25"/>
      <c r="C19" s="25"/>
      <c r="D19" s="25"/>
      <c r="E19" s="25"/>
      <c r="F19" s="25"/>
      <c r="G19" s="25"/>
      <c r="H19" s="25"/>
      <c r="I19" s="25"/>
      <c r="J19" s="25"/>
      <c r="K19" s="25"/>
      <c r="L19" s="25"/>
      <c r="M19" s="25"/>
      <c r="N19" s="25"/>
      <c r="O19" s="25"/>
      <c r="P19" s="25"/>
      <c r="Q19" s="25"/>
      <c r="R19" s="25"/>
      <c r="S19" s="25"/>
      <c r="T19" s="25"/>
      <c r="U19" s="25"/>
      <c r="V19" s="25"/>
    </row>
    <row r="20" spans="1:22" x14ac:dyDescent="0.25">
      <c r="A20" s="25"/>
      <c r="B20" s="25"/>
      <c r="C20" s="25"/>
      <c r="D20" s="25"/>
      <c r="E20" s="25"/>
      <c r="F20" s="25"/>
      <c r="G20" s="25"/>
      <c r="H20" s="25"/>
      <c r="I20" s="25"/>
      <c r="J20" s="25"/>
      <c r="K20" s="25"/>
      <c r="L20" s="25"/>
      <c r="M20" s="25"/>
      <c r="N20" s="25"/>
      <c r="O20" s="25"/>
      <c r="P20" s="25"/>
      <c r="Q20" s="25"/>
      <c r="R20" s="25"/>
      <c r="S20" s="25"/>
      <c r="T20" s="25"/>
      <c r="U20" s="25"/>
      <c r="V20" s="25"/>
    </row>
    <row r="21" spans="1:22" x14ac:dyDescent="0.25">
      <c r="A21" s="25"/>
      <c r="B21" s="25"/>
      <c r="C21" s="25"/>
      <c r="D21" s="25"/>
      <c r="E21" s="25"/>
      <c r="F21" s="25"/>
      <c r="G21" s="25"/>
      <c r="H21" s="25"/>
      <c r="I21" s="25"/>
      <c r="J21" s="25"/>
      <c r="K21" s="25"/>
      <c r="L21" s="25"/>
      <c r="M21" s="25"/>
      <c r="N21" s="25"/>
      <c r="O21" s="25"/>
      <c r="P21" s="25"/>
      <c r="Q21" s="25"/>
      <c r="R21" s="25"/>
      <c r="S21" s="25"/>
      <c r="T21" s="25"/>
      <c r="U21" s="25"/>
      <c r="V21" s="25"/>
    </row>
    <row r="22" spans="1:22" x14ac:dyDescent="0.25">
      <c r="A22" s="25"/>
      <c r="B22" s="25"/>
      <c r="C22" s="25"/>
      <c r="D22" s="25"/>
      <c r="E22" s="25"/>
      <c r="F22" s="25"/>
      <c r="G22" s="25"/>
      <c r="H22" s="25"/>
      <c r="I22" s="25"/>
      <c r="J22" s="25"/>
      <c r="K22" s="25"/>
      <c r="L22" s="25"/>
      <c r="M22" s="25"/>
      <c r="N22" s="25"/>
      <c r="O22" s="25"/>
      <c r="P22" s="25"/>
      <c r="Q22" s="25"/>
      <c r="R22" s="25"/>
      <c r="S22" s="25"/>
      <c r="T22" s="25"/>
      <c r="U22" s="25"/>
      <c r="V22" s="25"/>
    </row>
    <row r="23" spans="1:22" x14ac:dyDescent="0.25">
      <c r="A23" s="25"/>
      <c r="B23" s="25"/>
      <c r="C23" s="25"/>
      <c r="D23" s="25"/>
      <c r="E23" s="25"/>
      <c r="F23" s="25"/>
      <c r="G23" s="25"/>
      <c r="H23" s="25"/>
      <c r="I23" s="25"/>
      <c r="J23" s="25"/>
      <c r="K23" s="25"/>
      <c r="L23" s="25"/>
      <c r="M23" s="25"/>
      <c r="N23" s="25"/>
      <c r="O23" s="25"/>
      <c r="P23" s="25"/>
      <c r="Q23" s="25"/>
      <c r="R23" s="25"/>
      <c r="S23" s="25"/>
      <c r="T23" s="25"/>
      <c r="U23" s="25"/>
      <c r="V23" s="25"/>
    </row>
    <row r="24" spans="1:22" x14ac:dyDescent="0.25">
      <c r="A24" s="25"/>
      <c r="B24" s="25"/>
      <c r="C24" s="25"/>
      <c r="D24" s="25"/>
      <c r="E24" s="25"/>
      <c r="F24" s="25"/>
      <c r="G24" s="25"/>
      <c r="H24" s="25"/>
      <c r="I24" s="25"/>
      <c r="J24" s="25"/>
      <c r="K24" s="25"/>
      <c r="L24" s="25"/>
      <c r="M24" s="25"/>
      <c r="N24" s="25"/>
      <c r="O24" s="25"/>
      <c r="P24" s="25"/>
      <c r="Q24" s="25"/>
      <c r="R24" s="25"/>
      <c r="S24" s="25"/>
      <c r="T24" s="25"/>
      <c r="U24" s="25"/>
      <c r="V24" s="25"/>
    </row>
    <row r="25" spans="1:22" x14ac:dyDescent="0.25">
      <c r="A25" s="25"/>
      <c r="B25" s="25"/>
      <c r="C25" s="25"/>
      <c r="D25" s="25"/>
      <c r="E25" s="25"/>
      <c r="F25" s="25"/>
      <c r="G25" s="25"/>
      <c r="H25" s="25"/>
      <c r="I25" s="25"/>
      <c r="J25" s="25"/>
      <c r="K25" s="25"/>
      <c r="L25" s="25"/>
      <c r="M25" s="25"/>
      <c r="N25" s="25"/>
      <c r="O25" s="25"/>
      <c r="P25" s="25"/>
      <c r="Q25" s="25"/>
      <c r="R25" s="25"/>
      <c r="S25" s="25"/>
      <c r="T25" s="25"/>
      <c r="U25" s="25"/>
      <c r="V25" s="25"/>
    </row>
    <row r="26" spans="1:22" x14ac:dyDescent="0.25">
      <c r="A26" s="25"/>
      <c r="B26" s="25"/>
      <c r="C26" s="25"/>
      <c r="D26" s="25"/>
      <c r="E26" s="25"/>
      <c r="F26" s="25"/>
      <c r="G26" s="25"/>
      <c r="H26" s="25"/>
      <c r="I26" s="25"/>
      <c r="J26" s="25"/>
      <c r="K26" s="25"/>
      <c r="L26" s="25"/>
      <c r="M26" s="25"/>
      <c r="N26" s="25"/>
      <c r="O26" s="25"/>
      <c r="P26" s="25"/>
      <c r="Q26" s="25"/>
      <c r="R26" s="25"/>
      <c r="S26" s="25"/>
      <c r="T26" s="25"/>
      <c r="U26" s="25"/>
      <c r="V26" s="25"/>
    </row>
    <row r="27" spans="1:22" x14ac:dyDescent="0.25">
      <c r="A27" s="25"/>
      <c r="B27" s="25"/>
      <c r="C27" s="25"/>
      <c r="D27" s="25"/>
      <c r="E27" s="25"/>
      <c r="F27" s="25"/>
      <c r="G27" s="25"/>
      <c r="H27" s="25"/>
      <c r="I27" s="25"/>
      <c r="J27" s="25"/>
      <c r="K27" s="25"/>
      <c r="L27" s="25"/>
      <c r="M27" s="25"/>
      <c r="N27" s="25"/>
      <c r="O27" s="25"/>
      <c r="P27" s="25"/>
      <c r="Q27" s="25"/>
      <c r="R27" s="25"/>
      <c r="S27" s="25"/>
      <c r="T27" s="25"/>
      <c r="U27" s="25"/>
      <c r="V27" s="25"/>
    </row>
    <row r="28" spans="1:22" x14ac:dyDescent="0.25">
      <c r="A28" s="25"/>
      <c r="B28" s="25"/>
      <c r="C28" s="25"/>
      <c r="D28" s="25"/>
      <c r="E28" s="25"/>
      <c r="F28" s="25"/>
      <c r="G28" s="25"/>
      <c r="H28" s="25"/>
      <c r="I28" s="25"/>
      <c r="J28" s="25"/>
      <c r="K28" s="25"/>
      <c r="L28" s="25"/>
      <c r="M28" s="25"/>
      <c r="N28" s="25"/>
      <c r="O28" s="25"/>
      <c r="P28" s="25"/>
      <c r="Q28" s="25"/>
      <c r="R28" s="25"/>
      <c r="S28" s="25"/>
      <c r="T28" s="25"/>
      <c r="U28" s="25"/>
      <c r="V28" s="25"/>
    </row>
    <row r="29" spans="1:22" x14ac:dyDescent="0.25">
      <c r="A29" s="25"/>
      <c r="B29" s="25"/>
      <c r="C29" s="25"/>
      <c r="D29" s="25"/>
      <c r="E29" s="25"/>
      <c r="F29" s="25"/>
      <c r="G29" s="25"/>
      <c r="H29" s="25"/>
      <c r="I29" s="25"/>
      <c r="J29" s="25"/>
      <c r="K29" s="25"/>
      <c r="L29" s="25"/>
      <c r="M29" s="25"/>
      <c r="N29" s="25"/>
      <c r="O29" s="25"/>
      <c r="P29" s="25"/>
      <c r="Q29" s="25"/>
      <c r="R29" s="25"/>
      <c r="S29" s="25"/>
      <c r="T29" s="25"/>
      <c r="U29" s="25"/>
      <c r="V29" s="25"/>
    </row>
    <row r="30" spans="1:22" x14ac:dyDescent="0.25">
      <c r="A30" s="25"/>
      <c r="B30" s="25"/>
      <c r="C30" s="25"/>
      <c r="D30" s="25"/>
      <c r="E30" s="25"/>
      <c r="F30" s="25"/>
      <c r="G30" s="25"/>
      <c r="H30" s="25"/>
      <c r="I30" s="25"/>
      <c r="J30" s="25"/>
      <c r="K30" s="25"/>
      <c r="L30" s="25"/>
      <c r="M30" s="25"/>
      <c r="N30" s="25"/>
      <c r="O30" s="25"/>
      <c r="P30" s="25"/>
      <c r="Q30" s="25"/>
      <c r="R30" s="25"/>
      <c r="S30" s="25"/>
      <c r="T30" s="25"/>
      <c r="U30" s="25"/>
      <c r="V30" s="25"/>
    </row>
    <row r="31" spans="1:22" x14ac:dyDescent="0.25">
      <c r="A31" s="25"/>
      <c r="B31" s="25"/>
      <c r="C31" s="25"/>
      <c r="D31" s="25"/>
      <c r="E31" s="25"/>
      <c r="F31" s="25"/>
      <c r="G31" s="25"/>
      <c r="H31" s="25"/>
      <c r="I31" s="25"/>
      <c r="J31" s="25"/>
      <c r="K31" s="25"/>
      <c r="L31" s="25"/>
      <c r="M31" s="25"/>
      <c r="N31" s="25"/>
      <c r="O31" s="25"/>
      <c r="P31" s="25"/>
      <c r="Q31" s="25"/>
      <c r="R31" s="25"/>
      <c r="S31" s="25"/>
      <c r="T31" s="25"/>
      <c r="U31" s="25"/>
      <c r="V31" s="25"/>
    </row>
    <row r="32" spans="1:22" x14ac:dyDescent="0.25">
      <c r="A32" s="25"/>
      <c r="B32" s="25"/>
      <c r="C32" s="25"/>
      <c r="D32" s="25"/>
      <c r="E32" s="25"/>
      <c r="F32" s="25"/>
      <c r="G32" s="25"/>
      <c r="H32" s="25"/>
      <c r="I32" s="25"/>
      <c r="J32" s="25"/>
      <c r="K32" s="25"/>
      <c r="L32" s="25"/>
      <c r="M32" s="25"/>
      <c r="N32" s="25"/>
      <c r="O32" s="25"/>
      <c r="P32" s="25"/>
      <c r="Q32" s="25"/>
      <c r="R32" s="25"/>
      <c r="S32" s="25"/>
      <c r="T32" s="25"/>
      <c r="U32" s="25"/>
      <c r="V32" s="25"/>
    </row>
    <row r="33" spans="1:22" x14ac:dyDescent="0.25">
      <c r="A33" s="25"/>
      <c r="B33" s="25"/>
      <c r="C33" s="25"/>
      <c r="D33" s="25"/>
      <c r="E33" s="25"/>
      <c r="F33" s="25"/>
      <c r="G33" s="25"/>
      <c r="H33" s="25"/>
      <c r="I33" s="25"/>
      <c r="J33" s="25"/>
      <c r="K33" s="25"/>
      <c r="L33" s="25"/>
      <c r="M33" s="25"/>
      <c r="N33" s="25"/>
      <c r="O33" s="25"/>
      <c r="P33" s="25"/>
      <c r="Q33" s="25"/>
      <c r="R33" s="25"/>
      <c r="S33" s="25"/>
      <c r="T33" s="25"/>
      <c r="U33" s="25"/>
      <c r="V33" s="25"/>
    </row>
    <row r="34" spans="1:22" x14ac:dyDescent="0.25">
      <c r="A34" s="25"/>
      <c r="B34" s="25"/>
      <c r="C34" s="25"/>
      <c r="D34" s="25"/>
      <c r="E34" s="25"/>
      <c r="F34" s="25"/>
      <c r="G34" s="25"/>
      <c r="H34" s="25"/>
      <c r="I34" s="25"/>
      <c r="J34" s="25"/>
      <c r="K34" s="25"/>
      <c r="L34" s="25"/>
      <c r="M34" s="25"/>
      <c r="N34" s="25"/>
      <c r="O34" s="25"/>
      <c r="P34" s="25"/>
      <c r="Q34" s="25"/>
      <c r="R34" s="25"/>
      <c r="S34" s="25"/>
      <c r="T34" s="25"/>
      <c r="U34" s="25"/>
      <c r="V34" s="25"/>
    </row>
    <row r="35" spans="1:22" x14ac:dyDescent="0.25">
      <c r="A35" s="25"/>
      <c r="B35" s="25"/>
      <c r="C35" s="25"/>
      <c r="D35" s="25"/>
      <c r="E35" s="25"/>
      <c r="F35" s="25"/>
      <c r="G35" s="25"/>
      <c r="H35" s="25"/>
      <c r="I35" s="25"/>
      <c r="J35" s="25"/>
      <c r="K35" s="25"/>
      <c r="L35" s="25"/>
      <c r="M35" s="25"/>
      <c r="N35" s="25"/>
      <c r="O35" s="25"/>
      <c r="P35" s="25"/>
      <c r="Q35" s="25"/>
      <c r="R35" s="25"/>
      <c r="S35" s="25"/>
      <c r="T35" s="25"/>
      <c r="U35" s="25"/>
      <c r="V35" s="25"/>
    </row>
    <row r="36" spans="1:22" x14ac:dyDescent="0.25">
      <c r="A36" s="25"/>
      <c r="B36" s="25"/>
      <c r="C36" s="25"/>
      <c r="D36" s="25"/>
      <c r="E36" s="25"/>
      <c r="F36" s="25"/>
      <c r="G36" s="25"/>
      <c r="H36" s="25"/>
      <c r="I36" s="25"/>
      <c r="J36" s="25"/>
      <c r="K36" s="25"/>
      <c r="L36" s="25"/>
      <c r="M36" s="25"/>
      <c r="N36" s="25"/>
      <c r="O36" s="25"/>
      <c r="P36" s="25"/>
      <c r="Q36" s="25"/>
      <c r="R36" s="25"/>
      <c r="S36" s="25"/>
      <c r="T36" s="25"/>
      <c r="U36" s="25"/>
      <c r="V36" s="25"/>
    </row>
    <row r="37" spans="1:22" x14ac:dyDescent="0.25">
      <c r="A37" s="25"/>
      <c r="B37" s="25"/>
      <c r="C37" s="25"/>
      <c r="D37" s="25"/>
      <c r="E37" s="25"/>
      <c r="F37" s="25"/>
      <c r="G37" s="25"/>
      <c r="H37" s="25"/>
      <c r="I37" s="25"/>
      <c r="J37" s="25"/>
      <c r="K37" s="25"/>
      <c r="L37" s="25"/>
      <c r="M37" s="25"/>
      <c r="N37" s="25"/>
      <c r="O37" s="25"/>
      <c r="P37" s="25"/>
      <c r="Q37" s="25"/>
      <c r="R37" s="25"/>
      <c r="S37" s="25"/>
      <c r="T37" s="25"/>
      <c r="U37" s="25"/>
      <c r="V37" s="25"/>
    </row>
    <row r="38" spans="1:22" x14ac:dyDescent="0.25">
      <c r="A38" s="25"/>
      <c r="B38" s="25"/>
      <c r="C38" s="25"/>
      <c r="D38" s="25"/>
      <c r="E38" s="25"/>
      <c r="F38" s="25"/>
      <c r="G38" s="25"/>
      <c r="H38" s="25"/>
      <c r="I38" s="25"/>
      <c r="J38" s="25"/>
      <c r="K38" s="25"/>
      <c r="L38" s="25"/>
      <c r="M38" s="25"/>
      <c r="N38" s="25"/>
      <c r="O38" s="25"/>
      <c r="P38" s="25"/>
      <c r="Q38" s="25"/>
      <c r="R38" s="25"/>
      <c r="S38" s="25"/>
      <c r="T38" s="25"/>
      <c r="U38" s="25"/>
      <c r="V38" s="25"/>
    </row>
    <row r="39" spans="1:22" x14ac:dyDescent="0.25">
      <c r="A39" s="25"/>
      <c r="B39" s="25"/>
      <c r="C39" s="25"/>
      <c r="D39" s="25"/>
      <c r="E39" s="25"/>
      <c r="F39" s="25"/>
      <c r="G39" s="25"/>
      <c r="H39" s="25"/>
      <c r="I39" s="25"/>
      <c r="J39" s="25"/>
      <c r="K39" s="25"/>
      <c r="L39" s="25"/>
      <c r="M39" s="25"/>
      <c r="N39" s="25"/>
      <c r="O39" s="25"/>
      <c r="P39" s="25"/>
      <c r="Q39" s="25"/>
      <c r="R39" s="25"/>
      <c r="S39" s="25"/>
      <c r="T39" s="25"/>
      <c r="U39" s="25"/>
      <c r="V39" s="25"/>
    </row>
    <row r="40" spans="1:22" x14ac:dyDescent="0.25">
      <c r="A40" s="25"/>
      <c r="B40" s="25"/>
      <c r="C40" s="25"/>
      <c r="D40" s="25"/>
      <c r="E40" s="25"/>
      <c r="F40" s="25"/>
      <c r="G40" s="25"/>
      <c r="H40" s="25"/>
      <c r="I40" s="25"/>
      <c r="J40" s="25"/>
      <c r="K40" s="25"/>
      <c r="L40" s="25"/>
      <c r="M40" s="25"/>
      <c r="N40" s="25"/>
      <c r="O40" s="25"/>
      <c r="P40" s="25"/>
      <c r="Q40" s="25"/>
      <c r="R40" s="25"/>
      <c r="S40" s="25"/>
      <c r="T40" s="25"/>
      <c r="U40" s="25"/>
      <c r="V40" s="25"/>
    </row>
    <row r="41" spans="1:22" x14ac:dyDescent="0.25">
      <c r="A41" s="25"/>
      <c r="B41" s="25"/>
      <c r="C41" s="25"/>
      <c r="D41" s="25"/>
      <c r="E41" s="25"/>
      <c r="F41" s="25"/>
      <c r="G41" s="25"/>
      <c r="H41" s="25"/>
      <c r="I41" s="25"/>
      <c r="J41" s="25"/>
      <c r="K41" s="25"/>
      <c r="L41" s="25"/>
      <c r="M41" s="25"/>
      <c r="N41" s="25"/>
      <c r="O41" s="25"/>
      <c r="P41" s="25"/>
      <c r="Q41" s="25"/>
      <c r="R41" s="25"/>
      <c r="S41" s="25"/>
      <c r="T41" s="25"/>
      <c r="U41" s="25"/>
      <c r="V41" s="25"/>
    </row>
    <row r="42" spans="1:22" x14ac:dyDescent="0.25">
      <c r="A42" s="25"/>
      <c r="B42" s="25"/>
      <c r="C42" s="25"/>
      <c r="D42" s="25"/>
      <c r="E42" s="25"/>
      <c r="F42" s="25"/>
      <c r="G42" s="25"/>
      <c r="H42" s="25"/>
      <c r="I42" s="25"/>
      <c r="J42" s="25"/>
      <c r="K42" s="25"/>
      <c r="L42" s="25"/>
      <c r="M42" s="25"/>
      <c r="N42" s="25"/>
      <c r="O42" s="25"/>
      <c r="P42" s="25"/>
      <c r="Q42" s="25"/>
      <c r="R42" s="25"/>
      <c r="S42" s="25"/>
      <c r="T42" s="25"/>
      <c r="U42" s="25"/>
      <c r="V42" s="25"/>
    </row>
    <row r="43" spans="1:22" x14ac:dyDescent="0.25">
      <c r="A43" s="25"/>
      <c r="B43" s="25"/>
      <c r="C43" s="25"/>
      <c r="D43" s="25"/>
      <c r="E43" s="25"/>
      <c r="F43" s="25"/>
      <c r="G43" s="25"/>
      <c r="H43" s="25"/>
      <c r="I43" s="25"/>
      <c r="J43" s="25"/>
      <c r="K43" s="25"/>
      <c r="L43" s="25"/>
      <c r="M43" s="25"/>
      <c r="N43" s="25"/>
      <c r="O43" s="25"/>
      <c r="P43" s="25"/>
      <c r="Q43" s="25"/>
      <c r="R43" s="25"/>
      <c r="S43" s="25"/>
      <c r="T43" s="25"/>
      <c r="U43" s="25"/>
      <c r="V43" s="25"/>
    </row>
    <row r="44" spans="1:22" x14ac:dyDescent="0.25">
      <c r="A44" s="25"/>
      <c r="B44" s="25"/>
      <c r="C44" s="25"/>
      <c r="D44" s="25"/>
      <c r="E44" s="25"/>
      <c r="F44" s="25"/>
      <c r="G44" s="25"/>
      <c r="H44" s="25"/>
      <c r="I44" s="25"/>
      <c r="J44" s="25"/>
      <c r="K44" s="25"/>
      <c r="L44" s="25"/>
      <c r="M44" s="25"/>
      <c r="N44" s="25"/>
      <c r="O44" s="25"/>
      <c r="P44" s="25"/>
      <c r="Q44" s="25"/>
      <c r="R44" s="25"/>
      <c r="S44" s="25"/>
      <c r="T44" s="25"/>
      <c r="U44" s="25"/>
      <c r="V44" s="25"/>
    </row>
    <row r="45" spans="1:22" x14ac:dyDescent="0.25">
      <c r="A45" s="25"/>
      <c r="B45" s="25"/>
      <c r="C45" s="25"/>
      <c r="D45" s="25"/>
      <c r="E45" s="25"/>
      <c r="F45" s="25"/>
      <c r="G45" s="25"/>
      <c r="H45" s="25"/>
      <c r="I45" s="25"/>
      <c r="J45" s="25"/>
      <c r="K45" s="25"/>
      <c r="L45" s="25"/>
      <c r="M45" s="25"/>
      <c r="N45" s="25"/>
      <c r="O45" s="25"/>
      <c r="P45" s="25"/>
      <c r="Q45" s="25"/>
      <c r="R45" s="25"/>
      <c r="S45" s="25"/>
      <c r="T45" s="25"/>
      <c r="U45" s="25"/>
      <c r="V45" s="25"/>
    </row>
    <row r="46" spans="1:22" x14ac:dyDescent="0.25">
      <c r="A46" s="25"/>
      <c r="B46" s="25"/>
      <c r="C46" s="25"/>
      <c r="D46" s="25"/>
      <c r="E46" s="25"/>
      <c r="F46" s="25"/>
      <c r="G46" s="25"/>
      <c r="H46" s="25"/>
      <c r="I46" s="25"/>
      <c r="J46" s="25"/>
      <c r="K46" s="25"/>
      <c r="L46" s="25"/>
      <c r="M46" s="25"/>
      <c r="N46" s="25"/>
      <c r="O46" s="25"/>
      <c r="P46" s="25"/>
      <c r="Q46" s="25"/>
      <c r="R46" s="25"/>
      <c r="S46" s="25"/>
      <c r="T46" s="25"/>
      <c r="U46" s="25"/>
      <c r="V46" s="25"/>
    </row>
    <row r="47" spans="1:22" x14ac:dyDescent="0.25">
      <c r="A47" s="25"/>
      <c r="B47" s="25"/>
      <c r="C47" s="25"/>
      <c r="D47" s="25"/>
      <c r="E47" s="25"/>
      <c r="F47" s="25"/>
      <c r="G47" s="25"/>
      <c r="H47" s="25"/>
      <c r="I47" s="25"/>
      <c r="J47" s="25"/>
      <c r="K47" s="25"/>
      <c r="L47" s="25"/>
      <c r="M47" s="25"/>
      <c r="N47" s="25"/>
      <c r="O47" s="25"/>
      <c r="P47" s="25"/>
      <c r="Q47" s="25"/>
      <c r="R47" s="25"/>
      <c r="S47" s="25"/>
      <c r="T47" s="25"/>
      <c r="U47" s="25"/>
      <c r="V47" s="25"/>
    </row>
    <row r="48" spans="1:22" x14ac:dyDescent="0.25">
      <c r="A48" s="25"/>
      <c r="B48" s="25"/>
      <c r="C48" s="25"/>
      <c r="D48" s="25"/>
      <c r="E48" s="25"/>
      <c r="F48" s="25"/>
      <c r="G48" s="25"/>
      <c r="H48" s="25"/>
      <c r="I48" s="25"/>
      <c r="J48" s="25"/>
      <c r="K48" s="25"/>
      <c r="L48" s="25"/>
      <c r="M48" s="25"/>
      <c r="N48" s="25"/>
      <c r="O48" s="25"/>
      <c r="P48" s="25"/>
      <c r="Q48" s="25"/>
      <c r="R48" s="25"/>
      <c r="S48" s="25"/>
      <c r="T48" s="25"/>
      <c r="U48" s="25"/>
      <c r="V48" s="25"/>
    </row>
  </sheetData>
  <mergeCells count="15">
    <mergeCell ref="M10:N11"/>
    <mergeCell ref="P7:Q11"/>
    <mergeCell ref="R7:S9"/>
    <mergeCell ref="R10:S11"/>
    <mergeCell ref="A1:B5"/>
    <mergeCell ref="C1:U5"/>
    <mergeCell ref="A7:B11"/>
    <mergeCell ref="C7:D9"/>
    <mergeCell ref="C10:D11"/>
    <mergeCell ref="F7:G11"/>
    <mergeCell ref="H7:I9"/>
    <mergeCell ref="H10:I11"/>
    <mergeCell ref="K7:L11"/>
    <mergeCell ref="M7:N9"/>
    <mergeCell ref="T7:U1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1900-C47F-411E-86D4-26BF529C79E7}">
  <dimension ref="AE5:AE9"/>
  <sheetViews>
    <sheetView tabSelected="1" zoomScale="112" zoomScaleNormal="112" workbookViewId="0">
      <selection activeCell="X48" sqref="X48"/>
    </sheetView>
  </sheetViews>
  <sheetFormatPr defaultRowHeight="15" x14ac:dyDescent="0.25"/>
  <cols>
    <col min="1" max="15" width="9.140625" style="28"/>
    <col min="16" max="16" width="10" style="28" bestFit="1" customWidth="1"/>
    <col min="17" max="30" width="9.140625" style="28"/>
    <col min="31" max="31" width="15.85546875" style="28" bestFit="1" customWidth="1"/>
    <col min="32" max="16384" width="9.140625" style="28"/>
  </cols>
  <sheetData>
    <row r="5" spans="31:31" x14ac:dyDescent="0.25">
      <c r="AE5" s="27">
        <f>(GETPIVOTDATA("Total_profit",kpi!$B$5))</f>
        <v>3504934205</v>
      </c>
    </row>
    <row r="6" spans="31:31" x14ac:dyDescent="0.25">
      <c r="AE6" s="29">
        <f>(GETPIVOTDATA("Avg_sale ",kpi!$B$12))</f>
        <v>36268467.114305072</v>
      </c>
    </row>
    <row r="7" spans="31:31" x14ac:dyDescent="0.25">
      <c r="AE7" s="28">
        <f>(GETPIVOTDATA("Customer_Rating",kpi!$E$12))</f>
        <v>13</v>
      </c>
    </row>
    <row r="8" spans="31:31" x14ac:dyDescent="0.25">
      <c r="AE8" s="30">
        <f>(GETPIVOTDATA("Discount",kpi!$H$14))</f>
        <v>63.009999999999827</v>
      </c>
    </row>
    <row r="9" spans="31:31" x14ac:dyDescent="0.25">
      <c r="AE9" s="28">
        <f>(GETPIVOTDATA("Quantity",kpi!$K$15))</f>
        <v>7150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EB535F-C453-4941-8983-FBC9D1D2A1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E-Commerce Sales Data</vt:lpstr>
      <vt:lpstr>pivot_table </vt:lpstr>
      <vt:lpstr>charts</vt:lpstr>
      <vt:lpstr>kpi</vt:lpstr>
      <vt:lpstr>silenser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pradnesh jadhav</cp:lastModifiedBy>
  <dcterms:created xsi:type="dcterms:W3CDTF">2026-09-12T13:51:49Z</dcterms:created>
  <dcterms:modified xsi:type="dcterms:W3CDTF">2026-09-28T07:31:51Z</dcterms:modified>
</cp:coreProperties>
</file>